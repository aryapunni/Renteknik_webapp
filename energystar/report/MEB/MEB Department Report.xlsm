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T:\Facilities\01 Goetz\"/>
    </mc:Choice>
  </mc:AlternateContent>
  <bookViews>
    <workbookView xWindow="0" yWindow="0" windowWidth="6525" windowHeight="5385"/>
  </bookViews>
  <sheets>
    <sheet name="MEB Report" sheetId="3" r:id="rId1"/>
    <sheet name="Device Report" sheetId="6" r:id="rId2"/>
    <sheet name="Comed Report" sheetId="5" state="hidden" r:id="rId3"/>
    <sheet name="Daily Peaks" sheetId="7" r:id="rId4"/>
    <sheet name="1" sheetId="1" r:id="rId5"/>
    <sheet name="2" sheetId="4" state="hidden" r:id="rId6"/>
    <sheet name="Sheet1" sheetId="2" r:id="rId7"/>
  </sheets>
  <definedNames>
    <definedName name="_xlnm._FilterDatabase" localSheetId="4" hidden="1">'1'!$A$3:$AM$682</definedName>
  </definedNames>
  <calcPr calcId="162913"/>
</workbook>
</file>

<file path=xl/calcChain.xml><?xml version="1.0" encoding="utf-8"?>
<calcChain xmlns="http://schemas.openxmlformats.org/spreadsheetml/2006/main">
  <c r="A586" i="1" l="1"/>
  <c r="A489" i="1"/>
  <c r="A392" i="1"/>
  <c r="A295" i="1"/>
  <c r="A198" i="1"/>
  <c r="A101" i="1"/>
  <c r="A4" i="1"/>
  <c r="B1" i="1" l="1"/>
  <c r="C2" i="1" l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B3" i="3"/>
  <c r="B4" i="3"/>
  <c r="B5" i="3"/>
  <c r="B6" i="3"/>
  <c r="B7" i="3"/>
  <c r="B8" i="3"/>
  <c r="B2" i="3"/>
  <c r="AI174" i="1"/>
  <c r="AL174" i="1" s="1"/>
  <c r="AJ174" i="1"/>
  <c r="AK174" i="1"/>
  <c r="AM174" i="1" s="1"/>
  <c r="AI175" i="1"/>
  <c r="AL175" i="1" s="1"/>
  <c r="AJ175" i="1"/>
  <c r="AK175" i="1"/>
  <c r="AM175" i="1" s="1"/>
  <c r="AI176" i="1"/>
  <c r="AL176" i="1" s="1"/>
  <c r="AJ176" i="1"/>
  <c r="AK176" i="1"/>
  <c r="AM176" i="1" s="1"/>
  <c r="AI177" i="1"/>
  <c r="AL177" i="1" s="1"/>
  <c r="AJ177" i="1"/>
  <c r="AK177" i="1"/>
  <c r="AM177" i="1" s="1"/>
  <c r="AI178" i="1"/>
  <c r="AL178" i="1" s="1"/>
  <c r="AJ178" i="1"/>
  <c r="AK178" i="1"/>
  <c r="AM178" i="1" s="1"/>
  <c r="AI179" i="1"/>
  <c r="AL179" i="1" s="1"/>
  <c r="AJ179" i="1"/>
  <c r="AK179" i="1"/>
  <c r="AM179" i="1" s="1"/>
  <c r="AI180" i="1"/>
  <c r="AL180" i="1" s="1"/>
  <c r="AJ180" i="1"/>
  <c r="AK180" i="1"/>
  <c r="AM180" i="1" s="1"/>
  <c r="AI181" i="1"/>
  <c r="AL181" i="1" s="1"/>
  <c r="AJ181" i="1"/>
  <c r="AK181" i="1"/>
  <c r="AM181" i="1" s="1"/>
  <c r="AI182" i="1"/>
  <c r="AL182" i="1" s="1"/>
  <c r="AJ182" i="1"/>
  <c r="AK182" i="1"/>
  <c r="AM182" i="1" s="1"/>
  <c r="AI183" i="1"/>
  <c r="AL183" i="1" s="1"/>
  <c r="AJ183" i="1"/>
  <c r="AK183" i="1"/>
  <c r="AM183" i="1" s="1"/>
  <c r="AI184" i="1"/>
  <c r="AL184" i="1" s="1"/>
  <c r="AJ184" i="1"/>
  <c r="AK184" i="1"/>
  <c r="AM184" i="1" s="1"/>
  <c r="AI185" i="1"/>
  <c r="AL185" i="1" s="1"/>
  <c r="AJ185" i="1"/>
  <c r="AK185" i="1"/>
  <c r="AM185" i="1" s="1"/>
  <c r="AI186" i="1"/>
  <c r="AL186" i="1" s="1"/>
  <c r="AJ186" i="1"/>
  <c r="AK186" i="1"/>
  <c r="AM186" i="1" s="1"/>
  <c r="AI187" i="1"/>
  <c r="AL187" i="1" s="1"/>
  <c r="AJ187" i="1"/>
  <c r="AK187" i="1"/>
  <c r="AM187" i="1" s="1"/>
  <c r="AI188" i="1"/>
  <c r="AL188" i="1" s="1"/>
  <c r="AJ188" i="1"/>
  <c r="AK188" i="1"/>
  <c r="AM188" i="1" s="1"/>
  <c r="AI189" i="1"/>
  <c r="AL189" i="1" s="1"/>
  <c r="AJ189" i="1"/>
  <c r="AK189" i="1"/>
  <c r="AM189" i="1" s="1"/>
  <c r="AI190" i="1"/>
  <c r="AL190" i="1" s="1"/>
  <c r="AJ190" i="1"/>
  <c r="AK190" i="1"/>
  <c r="AM190" i="1" s="1"/>
  <c r="AI191" i="1"/>
  <c r="AL191" i="1" s="1"/>
  <c r="AJ191" i="1"/>
  <c r="AK191" i="1"/>
  <c r="AM191" i="1" s="1"/>
  <c r="AI192" i="1"/>
  <c r="AL192" i="1" s="1"/>
  <c r="AJ192" i="1"/>
  <c r="AK192" i="1"/>
  <c r="AM192" i="1" s="1"/>
  <c r="AI193" i="1"/>
  <c r="AL193" i="1" s="1"/>
  <c r="AJ193" i="1"/>
  <c r="AK193" i="1"/>
  <c r="AM193" i="1" s="1"/>
  <c r="AI194" i="1"/>
  <c r="AL194" i="1" s="1"/>
  <c r="AJ194" i="1"/>
  <c r="AK194" i="1"/>
  <c r="AM194" i="1" s="1"/>
  <c r="AI195" i="1"/>
  <c r="AL195" i="1" s="1"/>
  <c r="AJ195" i="1"/>
  <c r="AK195" i="1"/>
  <c r="AM195" i="1" s="1"/>
  <c r="AI196" i="1"/>
  <c r="AL196" i="1" s="1"/>
  <c r="AJ196" i="1"/>
  <c r="AK196" i="1"/>
  <c r="AM196" i="1" s="1"/>
  <c r="AI197" i="1"/>
  <c r="AL197" i="1" s="1"/>
  <c r="AJ197" i="1"/>
  <c r="AK197" i="1"/>
  <c r="AM197" i="1" s="1"/>
  <c r="AI199" i="1"/>
  <c r="AL199" i="1" s="1"/>
  <c r="AJ199" i="1"/>
  <c r="AK199" i="1"/>
  <c r="AM199" i="1" s="1"/>
  <c r="AI200" i="1"/>
  <c r="AL200" i="1" s="1"/>
  <c r="AJ200" i="1"/>
  <c r="AK200" i="1"/>
  <c r="AM200" i="1" s="1"/>
  <c r="AI201" i="1"/>
  <c r="AL201" i="1" s="1"/>
  <c r="AJ201" i="1"/>
  <c r="AK201" i="1"/>
  <c r="AM201" i="1" s="1"/>
  <c r="AI202" i="1"/>
  <c r="AL202" i="1" s="1"/>
  <c r="AJ202" i="1"/>
  <c r="AK202" i="1"/>
  <c r="AM202" i="1" s="1"/>
  <c r="AI203" i="1"/>
  <c r="AL203" i="1" s="1"/>
  <c r="AJ203" i="1"/>
  <c r="AK203" i="1"/>
  <c r="AM203" i="1" s="1"/>
  <c r="AI204" i="1"/>
  <c r="AL204" i="1" s="1"/>
  <c r="AJ204" i="1"/>
  <c r="AK204" i="1"/>
  <c r="AM204" i="1" s="1"/>
  <c r="AI205" i="1"/>
  <c r="AL205" i="1" s="1"/>
  <c r="AJ205" i="1"/>
  <c r="AK205" i="1"/>
  <c r="AM205" i="1" s="1"/>
  <c r="AI206" i="1"/>
  <c r="AL206" i="1" s="1"/>
  <c r="AJ206" i="1"/>
  <c r="AK206" i="1"/>
  <c r="AM206" i="1" s="1"/>
  <c r="AI207" i="1"/>
  <c r="AL207" i="1" s="1"/>
  <c r="AJ207" i="1"/>
  <c r="AK207" i="1"/>
  <c r="AM207" i="1" s="1"/>
  <c r="AI208" i="1"/>
  <c r="AL208" i="1" s="1"/>
  <c r="AJ208" i="1"/>
  <c r="AK208" i="1"/>
  <c r="AM208" i="1" s="1"/>
  <c r="AI209" i="1"/>
  <c r="AL209" i="1" s="1"/>
  <c r="AJ209" i="1"/>
  <c r="AK209" i="1"/>
  <c r="AM209" i="1" s="1"/>
  <c r="AI210" i="1"/>
  <c r="AL210" i="1" s="1"/>
  <c r="AJ210" i="1"/>
  <c r="AK210" i="1"/>
  <c r="AM210" i="1" s="1"/>
  <c r="AI211" i="1"/>
  <c r="AL211" i="1" s="1"/>
  <c r="AJ211" i="1"/>
  <c r="AK211" i="1"/>
  <c r="AM211" i="1" s="1"/>
  <c r="AI212" i="1"/>
  <c r="AL212" i="1" s="1"/>
  <c r="AJ212" i="1"/>
  <c r="AK212" i="1"/>
  <c r="AM212" i="1" s="1"/>
  <c r="AI213" i="1"/>
  <c r="AL213" i="1" s="1"/>
  <c r="AJ213" i="1"/>
  <c r="AK213" i="1"/>
  <c r="AM213" i="1" s="1"/>
  <c r="AI214" i="1"/>
  <c r="AL214" i="1" s="1"/>
  <c r="AJ214" i="1"/>
  <c r="AK214" i="1"/>
  <c r="AM214" i="1" s="1"/>
  <c r="AI215" i="1"/>
  <c r="AL215" i="1" s="1"/>
  <c r="AJ215" i="1"/>
  <c r="AK215" i="1"/>
  <c r="AM215" i="1" s="1"/>
  <c r="AI216" i="1"/>
  <c r="AL216" i="1" s="1"/>
  <c r="AJ216" i="1"/>
  <c r="AK216" i="1"/>
  <c r="AM216" i="1" s="1"/>
  <c r="AI217" i="1"/>
  <c r="AL217" i="1" s="1"/>
  <c r="AJ217" i="1"/>
  <c r="AK217" i="1"/>
  <c r="AM217" i="1" s="1"/>
  <c r="AI218" i="1"/>
  <c r="AL218" i="1" s="1"/>
  <c r="AJ218" i="1"/>
  <c r="AK218" i="1"/>
  <c r="AM218" i="1" s="1"/>
  <c r="AI219" i="1"/>
  <c r="AL219" i="1" s="1"/>
  <c r="AJ219" i="1"/>
  <c r="AK219" i="1"/>
  <c r="AM219" i="1" s="1"/>
  <c r="AI220" i="1"/>
  <c r="AL220" i="1" s="1"/>
  <c r="AJ220" i="1"/>
  <c r="AK220" i="1"/>
  <c r="AM220" i="1" s="1"/>
  <c r="AI221" i="1"/>
  <c r="AL221" i="1" s="1"/>
  <c r="AJ221" i="1"/>
  <c r="AK221" i="1"/>
  <c r="AM221" i="1" s="1"/>
  <c r="AI222" i="1"/>
  <c r="AL222" i="1" s="1"/>
  <c r="AJ222" i="1"/>
  <c r="AK222" i="1"/>
  <c r="AM222" i="1" s="1"/>
  <c r="AI223" i="1"/>
  <c r="AL223" i="1" s="1"/>
  <c r="AJ223" i="1"/>
  <c r="AK223" i="1"/>
  <c r="AM223" i="1" s="1"/>
  <c r="AI224" i="1"/>
  <c r="AL224" i="1" s="1"/>
  <c r="AJ224" i="1"/>
  <c r="AK224" i="1"/>
  <c r="AM224" i="1" s="1"/>
  <c r="AI225" i="1"/>
  <c r="AL225" i="1" s="1"/>
  <c r="AJ225" i="1"/>
  <c r="AK225" i="1"/>
  <c r="AM225" i="1" s="1"/>
  <c r="AI226" i="1"/>
  <c r="AL226" i="1" s="1"/>
  <c r="AJ226" i="1"/>
  <c r="AK226" i="1"/>
  <c r="AM226" i="1" s="1"/>
  <c r="AI227" i="1"/>
  <c r="AL227" i="1" s="1"/>
  <c r="AJ227" i="1"/>
  <c r="AK227" i="1"/>
  <c r="AM227" i="1" s="1"/>
  <c r="AI228" i="1"/>
  <c r="AL228" i="1" s="1"/>
  <c r="AJ228" i="1"/>
  <c r="AK228" i="1"/>
  <c r="AM228" i="1" s="1"/>
  <c r="AI229" i="1"/>
  <c r="AL229" i="1" s="1"/>
  <c r="AJ229" i="1"/>
  <c r="AK229" i="1"/>
  <c r="AM229" i="1" s="1"/>
  <c r="AI230" i="1"/>
  <c r="AL230" i="1" s="1"/>
  <c r="AJ230" i="1"/>
  <c r="AK230" i="1"/>
  <c r="AM230" i="1" s="1"/>
  <c r="AI231" i="1"/>
  <c r="AL231" i="1" s="1"/>
  <c r="AJ231" i="1"/>
  <c r="AK231" i="1"/>
  <c r="AM231" i="1" s="1"/>
  <c r="AI232" i="1"/>
  <c r="AL232" i="1" s="1"/>
  <c r="AJ232" i="1"/>
  <c r="AK232" i="1"/>
  <c r="AM232" i="1" s="1"/>
  <c r="AI233" i="1"/>
  <c r="AL233" i="1" s="1"/>
  <c r="AJ233" i="1"/>
  <c r="AK233" i="1"/>
  <c r="AM233" i="1" s="1"/>
  <c r="AI234" i="1"/>
  <c r="AL234" i="1" s="1"/>
  <c r="AJ234" i="1"/>
  <c r="AK234" i="1"/>
  <c r="AM234" i="1" s="1"/>
  <c r="AI235" i="1"/>
  <c r="AL235" i="1" s="1"/>
  <c r="AJ235" i="1"/>
  <c r="AK235" i="1"/>
  <c r="AM235" i="1" s="1"/>
  <c r="AI236" i="1"/>
  <c r="AL236" i="1" s="1"/>
  <c r="AJ236" i="1"/>
  <c r="AK236" i="1"/>
  <c r="AM236" i="1" s="1"/>
  <c r="AI237" i="1"/>
  <c r="AL237" i="1" s="1"/>
  <c r="AJ237" i="1"/>
  <c r="AK237" i="1"/>
  <c r="AM237" i="1" s="1"/>
  <c r="AI238" i="1"/>
  <c r="AL238" i="1" s="1"/>
  <c r="AJ238" i="1"/>
  <c r="AK238" i="1"/>
  <c r="AM238" i="1" s="1"/>
  <c r="AI239" i="1"/>
  <c r="AL239" i="1" s="1"/>
  <c r="AJ239" i="1"/>
  <c r="AK239" i="1"/>
  <c r="AM239" i="1" s="1"/>
  <c r="AI240" i="1"/>
  <c r="AL240" i="1" s="1"/>
  <c r="AJ240" i="1"/>
  <c r="AK240" i="1"/>
  <c r="AM240" i="1" s="1"/>
  <c r="AI241" i="1"/>
  <c r="AL241" i="1" s="1"/>
  <c r="AJ241" i="1"/>
  <c r="AK241" i="1"/>
  <c r="AM241" i="1" s="1"/>
  <c r="AI242" i="1"/>
  <c r="AL242" i="1" s="1"/>
  <c r="AJ242" i="1"/>
  <c r="AK242" i="1"/>
  <c r="AM242" i="1" s="1"/>
  <c r="AI243" i="1"/>
  <c r="AL243" i="1" s="1"/>
  <c r="AJ243" i="1"/>
  <c r="AK243" i="1"/>
  <c r="AM243" i="1" s="1"/>
  <c r="AI244" i="1"/>
  <c r="AL244" i="1" s="1"/>
  <c r="AJ244" i="1"/>
  <c r="AK244" i="1"/>
  <c r="AM244" i="1" s="1"/>
  <c r="AI245" i="1"/>
  <c r="AL245" i="1" s="1"/>
  <c r="AJ245" i="1"/>
  <c r="AK245" i="1"/>
  <c r="AM245" i="1" s="1"/>
  <c r="AI246" i="1"/>
  <c r="AL246" i="1" s="1"/>
  <c r="AJ246" i="1"/>
  <c r="AK246" i="1"/>
  <c r="AM246" i="1" s="1"/>
  <c r="AI247" i="1"/>
  <c r="AL247" i="1" s="1"/>
  <c r="AJ247" i="1"/>
  <c r="AK247" i="1"/>
  <c r="AM247" i="1" s="1"/>
  <c r="AI248" i="1"/>
  <c r="AL248" i="1" s="1"/>
  <c r="AJ248" i="1"/>
  <c r="AK248" i="1"/>
  <c r="AM248" i="1" s="1"/>
  <c r="AI249" i="1"/>
  <c r="AL249" i="1" s="1"/>
  <c r="AJ249" i="1"/>
  <c r="AK249" i="1"/>
  <c r="AM249" i="1" s="1"/>
  <c r="AI250" i="1"/>
  <c r="AL250" i="1" s="1"/>
  <c r="AJ250" i="1"/>
  <c r="AK250" i="1"/>
  <c r="AM250" i="1" s="1"/>
  <c r="AI251" i="1"/>
  <c r="AL251" i="1" s="1"/>
  <c r="AJ251" i="1"/>
  <c r="AK251" i="1"/>
  <c r="AM251" i="1" s="1"/>
  <c r="AI252" i="1"/>
  <c r="AL252" i="1" s="1"/>
  <c r="AJ252" i="1"/>
  <c r="AK252" i="1"/>
  <c r="AM252" i="1" s="1"/>
  <c r="AI253" i="1"/>
  <c r="AL253" i="1" s="1"/>
  <c r="AJ253" i="1"/>
  <c r="AK253" i="1"/>
  <c r="AM253" i="1" s="1"/>
  <c r="AI254" i="1"/>
  <c r="AL254" i="1" s="1"/>
  <c r="AJ254" i="1"/>
  <c r="AK254" i="1"/>
  <c r="AM254" i="1" s="1"/>
  <c r="AI255" i="1"/>
  <c r="AL255" i="1" s="1"/>
  <c r="AJ255" i="1"/>
  <c r="AK255" i="1"/>
  <c r="AM255" i="1" s="1"/>
  <c r="AI256" i="1"/>
  <c r="AL256" i="1" s="1"/>
  <c r="AJ256" i="1"/>
  <c r="AK256" i="1"/>
  <c r="AM256" i="1" s="1"/>
  <c r="AI257" i="1"/>
  <c r="AL257" i="1" s="1"/>
  <c r="AJ257" i="1"/>
  <c r="AK257" i="1"/>
  <c r="AM257" i="1" s="1"/>
  <c r="AI258" i="1"/>
  <c r="AL258" i="1" s="1"/>
  <c r="AJ258" i="1"/>
  <c r="AK258" i="1"/>
  <c r="AM258" i="1" s="1"/>
  <c r="AI259" i="1"/>
  <c r="AL259" i="1" s="1"/>
  <c r="AJ259" i="1"/>
  <c r="AK259" i="1"/>
  <c r="AM259" i="1" s="1"/>
  <c r="AI260" i="1"/>
  <c r="AL260" i="1" s="1"/>
  <c r="AJ260" i="1"/>
  <c r="AK260" i="1"/>
  <c r="AM260" i="1" s="1"/>
  <c r="AI261" i="1"/>
  <c r="AL261" i="1" s="1"/>
  <c r="AJ261" i="1"/>
  <c r="AK261" i="1"/>
  <c r="AM261" i="1" s="1"/>
  <c r="AI262" i="1"/>
  <c r="AL262" i="1" s="1"/>
  <c r="AJ262" i="1"/>
  <c r="AK262" i="1"/>
  <c r="AM262" i="1" s="1"/>
  <c r="AI263" i="1"/>
  <c r="AL263" i="1" s="1"/>
  <c r="AJ263" i="1"/>
  <c r="AK263" i="1"/>
  <c r="AM263" i="1" s="1"/>
  <c r="AI264" i="1"/>
  <c r="AL264" i="1" s="1"/>
  <c r="AJ264" i="1"/>
  <c r="AK264" i="1"/>
  <c r="AM264" i="1" s="1"/>
  <c r="AI265" i="1"/>
  <c r="AL265" i="1" s="1"/>
  <c r="AJ265" i="1"/>
  <c r="AK265" i="1"/>
  <c r="AM265" i="1" s="1"/>
  <c r="AI266" i="1"/>
  <c r="AL266" i="1" s="1"/>
  <c r="AJ266" i="1"/>
  <c r="AK266" i="1"/>
  <c r="AM266" i="1" s="1"/>
  <c r="AI267" i="1"/>
  <c r="AL267" i="1" s="1"/>
  <c r="AJ267" i="1"/>
  <c r="AK267" i="1"/>
  <c r="AM267" i="1" s="1"/>
  <c r="AI268" i="1"/>
  <c r="AL268" i="1" s="1"/>
  <c r="AJ268" i="1"/>
  <c r="AK268" i="1"/>
  <c r="AM268" i="1" s="1"/>
  <c r="AI269" i="1"/>
  <c r="AL269" i="1" s="1"/>
  <c r="AJ269" i="1"/>
  <c r="AK269" i="1"/>
  <c r="AM269" i="1" s="1"/>
  <c r="AI270" i="1"/>
  <c r="AL270" i="1" s="1"/>
  <c r="AJ270" i="1"/>
  <c r="AK270" i="1"/>
  <c r="AM270" i="1" s="1"/>
  <c r="AI271" i="1"/>
  <c r="AL271" i="1" s="1"/>
  <c r="AJ271" i="1"/>
  <c r="AK271" i="1"/>
  <c r="AM271" i="1" s="1"/>
  <c r="AI272" i="1"/>
  <c r="AL272" i="1" s="1"/>
  <c r="AJ272" i="1"/>
  <c r="AK272" i="1"/>
  <c r="AM272" i="1" s="1"/>
  <c r="AI273" i="1"/>
  <c r="AL273" i="1" s="1"/>
  <c r="AJ273" i="1"/>
  <c r="AK273" i="1"/>
  <c r="AM273" i="1" s="1"/>
  <c r="AI274" i="1"/>
  <c r="AL274" i="1" s="1"/>
  <c r="AJ274" i="1"/>
  <c r="AK274" i="1"/>
  <c r="AM274" i="1" s="1"/>
  <c r="AI275" i="1"/>
  <c r="AL275" i="1" s="1"/>
  <c r="AJ275" i="1"/>
  <c r="AK275" i="1"/>
  <c r="AM275" i="1" s="1"/>
  <c r="AI276" i="1"/>
  <c r="AL276" i="1" s="1"/>
  <c r="AJ276" i="1"/>
  <c r="AK276" i="1"/>
  <c r="AM276" i="1" s="1"/>
  <c r="AI277" i="1"/>
  <c r="AL277" i="1" s="1"/>
  <c r="AJ277" i="1"/>
  <c r="AK277" i="1"/>
  <c r="AM277" i="1" s="1"/>
  <c r="AI278" i="1"/>
  <c r="AL278" i="1" s="1"/>
  <c r="AJ278" i="1"/>
  <c r="AK278" i="1"/>
  <c r="AM278" i="1" s="1"/>
  <c r="AI279" i="1"/>
  <c r="AL279" i="1" s="1"/>
  <c r="AJ279" i="1"/>
  <c r="AK279" i="1"/>
  <c r="AM279" i="1" s="1"/>
  <c r="AI280" i="1"/>
  <c r="AL280" i="1" s="1"/>
  <c r="AJ280" i="1"/>
  <c r="AK280" i="1"/>
  <c r="AM280" i="1" s="1"/>
  <c r="AI281" i="1"/>
  <c r="AL281" i="1" s="1"/>
  <c r="AJ281" i="1"/>
  <c r="AK281" i="1"/>
  <c r="AM281" i="1" s="1"/>
  <c r="AI282" i="1"/>
  <c r="AL282" i="1" s="1"/>
  <c r="AJ282" i="1"/>
  <c r="AK282" i="1"/>
  <c r="AM282" i="1" s="1"/>
  <c r="AI283" i="1"/>
  <c r="AL283" i="1" s="1"/>
  <c r="AJ283" i="1"/>
  <c r="AK283" i="1"/>
  <c r="AM283" i="1" s="1"/>
  <c r="AI284" i="1"/>
  <c r="AL284" i="1" s="1"/>
  <c r="AJ284" i="1"/>
  <c r="AK284" i="1"/>
  <c r="AM284" i="1" s="1"/>
  <c r="AI285" i="1"/>
  <c r="AL285" i="1" s="1"/>
  <c r="AJ285" i="1"/>
  <c r="AK285" i="1"/>
  <c r="AM285" i="1" s="1"/>
  <c r="AI286" i="1"/>
  <c r="AL286" i="1" s="1"/>
  <c r="AJ286" i="1"/>
  <c r="AK286" i="1"/>
  <c r="AM286" i="1" s="1"/>
  <c r="AI287" i="1"/>
  <c r="AL287" i="1" s="1"/>
  <c r="AJ287" i="1"/>
  <c r="AK287" i="1"/>
  <c r="AM287" i="1" s="1"/>
  <c r="AI288" i="1"/>
  <c r="AL288" i="1" s="1"/>
  <c r="AJ288" i="1"/>
  <c r="AK288" i="1"/>
  <c r="AM288" i="1" s="1"/>
  <c r="AI289" i="1"/>
  <c r="AL289" i="1" s="1"/>
  <c r="AJ289" i="1"/>
  <c r="AK289" i="1"/>
  <c r="AM289" i="1" s="1"/>
  <c r="AI290" i="1"/>
  <c r="AL290" i="1" s="1"/>
  <c r="AJ290" i="1"/>
  <c r="AK290" i="1"/>
  <c r="AM290" i="1" s="1"/>
  <c r="AI291" i="1"/>
  <c r="AL291" i="1" s="1"/>
  <c r="AJ291" i="1"/>
  <c r="AK291" i="1"/>
  <c r="AM291" i="1" s="1"/>
  <c r="AI292" i="1"/>
  <c r="AL292" i="1" s="1"/>
  <c r="AJ292" i="1"/>
  <c r="AK292" i="1"/>
  <c r="AM292" i="1" s="1"/>
  <c r="AI293" i="1"/>
  <c r="AL293" i="1" s="1"/>
  <c r="AJ293" i="1"/>
  <c r="AK293" i="1"/>
  <c r="AM293" i="1" s="1"/>
  <c r="AI294" i="1"/>
  <c r="AL294" i="1" s="1"/>
  <c r="AJ294" i="1"/>
  <c r="AK294" i="1"/>
  <c r="AM294" i="1" s="1"/>
  <c r="AI296" i="1"/>
  <c r="AL296" i="1" s="1"/>
  <c r="AJ296" i="1"/>
  <c r="AK296" i="1"/>
  <c r="AM296" i="1" s="1"/>
  <c r="AI297" i="1"/>
  <c r="AL297" i="1" s="1"/>
  <c r="AJ297" i="1"/>
  <c r="AK297" i="1"/>
  <c r="AM297" i="1" s="1"/>
  <c r="AI298" i="1"/>
  <c r="AL298" i="1" s="1"/>
  <c r="AJ298" i="1"/>
  <c r="AK298" i="1"/>
  <c r="AM298" i="1" s="1"/>
  <c r="AI299" i="1"/>
  <c r="AL299" i="1" s="1"/>
  <c r="AJ299" i="1"/>
  <c r="AK299" i="1"/>
  <c r="AM299" i="1" s="1"/>
  <c r="AI300" i="1"/>
  <c r="AL300" i="1" s="1"/>
  <c r="AJ300" i="1"/>
  <c r="AK300" i="1"/>
  <c r="AM300" i="1" s="1"/>
  <c r="AI301" i="1"/>
  <c r="AL301" i="1" s="1"/>
  <c r="AJ301" i="1"/>
  <c r="AK301" i="1"/>
  <c r="AM301" i="1" s="1"/>
  <c r="AI302" i="1"/>
  <c r="AL302" i="1" s="1"/>
  <c r="AJ302" i="1"/>
  <c r="AK302" i="1"/>
  <c r="AM302" i="1" s="1"/>
  <c r="AI303" i="1"/>
  <c r="AL303" i="1" s="1"/>
  <c r="AJ303" i="1"/>
  <c r="AK303" i="1"/>
  <c r="AM303" i="1" s="1"/>
  <c r="AI304" i="1"/>
  <c r="AL304" i="1" s="1"/>
  <c r="AJ304" i="1"/>
  <c r="AK304" i="1"/>
  <c r="AM304" i="1" s="1"/>
  <c r="AI305" i="1"/>
  <c r="AL305" i="1" s="1"/>
  <c r="AJ305" i="1"/>
  <c r="AK305" i="1"/>
  <c r="AM305" i="1" s="1"/>
  <c r="AI306" i="1"/>
  <c r="AL306" i="1" s="1"/>
  <c r="AJ306" i="1"/>
  <c r="AK306" i="1"/>
  <c r="AM306" i="1" s="1"/>
  <c r="AI307" i="1"/>
  <c r="AL307" i="1" s="1"/>
  <c r="AJ307" i="1"/>
  <c r="AK307" i="1"/>
  <c r="AM307" i="1" s="1"/>
  <c r="AI308" i="1"/>
  <c r="AL308" i="1" s="1"/>
  <c r="AJ308" i="1"/>
  <c r="AK308" i="1"/>
  <c r="AM308" i="1" s="1"/>
  <c r="AI309" i="1"/>
  <c r="AL309" i="1" s="1"/>
  <c r="AJ309" i="1"/>
  <c r="AK309" i="1"/>
  <c r="AM309" i="1" s="1"/>
  <c r="AI310" i="1"/>
  <c r="AL310" i="1" s="1"/>
  <c r="AJ310" i="1"/>
  <c r="AK310" i="1"/>
  <c r="AM310" i="1" s="1"/>
  <c r="AI311" i="1"/>
  <c r="AL311" i="1" s="1"/>
  <c r="AJ311" i="1"/>
  <c r="AK311" i="1"/>
  <c r="AM311" i="1" s="1"/>
  <c r="AI312" i="1"/>
  <c r="AL312" i="1" s="1"/>
  <c r="AJ312" i="1"/>
  <c r="AK312" i="1"/>
  <c r="AM312" i="1" s="1"/>
  <c r="AI313" i="1"/>
  <c r="AL313" i="1" s="1"/>
  <c r="AJ313" i="1"/>
  <c r="AK313" i="1"/>
  <c r="AM313" i="1" s="1"/>
  <c r="AI314" i="1"/>
  <c r="AL314" i="1" s="1"/>
  <c r="AJ314" i="1"/>
  <c r="AK314" i="1"/>
  <c r="AM314" i="1" s="1"/>
  <c r="AI315" i="1"/>
  <c r="AL315" i="1" s="1"/>
  <c r="AJ315" i="1"/>
  <c r="AK315" i="1"/>
  <c r="AM315" i="1" s="1"/>
  <c r="AI316" i="1"/>
  <c r="AL316" i="1" s="1"/>
  <c r="AJ316" i="1"/>
  <c r="AK316" i="1"/>
  <c r="AM316" i="1" s="1"/>
  <c r="AI317" i="1"/>
  <c r="AL317" i="1" s="1"/>
  <c r="AJ317" i="1"/>
  <c r="AK317" i="1"/>
  <c r="AM317" i="1" s="1"/>
  <c r="AI318" i="1"/>
  <c r="AL318" i="1" s="1"/>
  <c r="AJ318" i="1"/>
  <c r="AK318" i="1"/>
  <c r="AM318" i="1" s="1"/>
  <c r="AI319" i="1"/>
  <c r="AL319" i="1" s="1"/>
  <c r="AJ319" i="1"/>
  <c r="AK319" i="1"/>
  <c r="AM319" i="1" s="1"/>
  <c r="AI320" i="1"/>
  <c r="AL320" i="1" s="1"/>
  <c r="AJ320" i="1"/>
  <c r="AK320" i="1"/>
  <c r="AM320" i="1" s="1"/>
  <c r="AI321" i="1"/>
  <c r="AL321" i="1" s="1"/>
  <c r="AJ321" i="1"/>
  <c r="AK321" i="1"/>
  <c r="AM321" i="1" s="1"/>
  <c r="AI322" i="1"/>
  <c r="AL322" i="1" s="1"/>
  <c r="AJ322" i="1"/>
  <c r="AK322" i="1"/>
  <c r="AM322" i="1" s="1"/>
  <c r="AI323" i="1"/>
  <c r="AL323" i="1" s="1"/>
  <c r="AJ323" i="1"/>
  <c r="AK323" i="1"/>
  <c r="AM323" i="1" s="1"/>
  <c r="AI324" i="1"/>
  <c r="AL324" i="1" s="1"/>
  <c r="AJ324" i="1"/>
  <c r="AK324" i="1"/>
  <c r="AM324" i="1" s="1"/>
  <c r="AI325" i="1"/>
  <c r="AL325" i="1" s="1"/>
  <c r="AJ325" i="1"/>
  <c r="AK325" i="1"/>
  <c r="AM325" i="1" s="1"/>
  <c r="AI326" i="1"/>
  <c r="AL326" i="1" s="1"/>
  <c r="AJ326" i="1"/>
  <c r="AK326" i="1"/>
  <c r="AM326" i="1" s="1"/>
  <c r="AI327" i="1"/>
  <c r="AL327" i="1" s="1"/>
  <c r="AJ327" i="1"/>
  <c r="AK327" i="1"/>
  <c r="AM327" i="1" s="1"/>
  <c r="AI328" i="1"/>
  <c r="AL328" i="1" s="1"/>
  <c r="AJ328" i="1"/>
  <c r="AK328" i="1"/>
  <c r="AM328" i="1" s="1"/>
  <c r="AI329" i="1"/>
  <c r="AL329" i="1" s="1"/>
  <c r="AJ329" i="1"/>
  <c r="AK329" i="1"/>
  <c r="AM329" i="1" s="1"/>
  <c r="AI330" i="1"/>
  <c r="AL330" i="1" s="1"/>
  <c r="AJ330" i="1"/>
  <c r="AK330" i="1"/>
  <c r="AM330" i="1" s="1"/>
  <c r="AI331" i="1"/>
  <c r="AL331" i="1" s="1"/>
  <c r="AJ331" i="1"/>
  <c r="AK331" i="1"/>
  <c r="AM331" i="1" s="1"/>
  <c r="AI332" i="1"/>
  <c r="AL332" i="1" s="1"/>
  <c r="AJ332" i="1"/>
  <c r="AK332" i="1"/>
  <c r="AM332" i="1" s="1"/>
  <c r="AI333" i="1"/>
  <c r="AL333" i="1" s="1"/>
  <c r="AJ333" i="1"/>
  <c r="AK333" i="1"/>
  <c r="AM333" i="1" s="1"/>
  <c r="AI334" i="1"/>
  <c r="AL334" i="1" s="1"/>
  <c r="AJ334" i="1"/>
  <c r="AK334" i="1"/>
  <c r="AM334" i="1" s="1"/>
  <c r="AI335" i="1"/>
  <c r="AL335" i="1" s="1"/>
  <c r="AJ335" i="1"/>
  <c r="AK335" i="1"/>
  <c r="AM335" i="1" s="1"/>
  <c r="AI336" i="1"/>
  <c r="AL336" i="1" s="1"/>
  <c r="AJ336" i="1"/>
  <c r="AK336" i="1"/>
  <c r="AM336" i="1" s="1"/>
  <c r="AI337" i="1"/>
  <c r="AL337" i="1" s="1"/>
  <c r="AJ337" i="1"/>
  <c r="AK337" i="1"/>
  <c r="AM337" i="1" s="1"/>
  <c r="AI338" i="1"/>
  <c r="AL338" i="1" s="1"/>
  <c r="AJ338" i="1"/>
  <c r="AK338" i="1"/>
  <c r="AM338" i="1" s="1"/>
  <c r="AI339" i="1"/>
  <c r="AL339" i="1" s="1"/>
  <c r="AJ339" i="1"/>
  <c r="AK339" i="1"/>
  <c r="AM339" i="1" s="1"/>
  <c r="AI340" i="1"/>
  <c r="AL340" i="1" s="1"/>
  <c r="AJ340" i="1"/>
  <c r="AK340" i="1"/>
  <c r="AM340" i="1" s="1"/>
  <c r="AI341" i="1"/>
  <c r="AL341" i="1" s="1"/>
  <c r="AJ341" i="1"/>
  <c r="AK341" i="1"/>
  <c r="AM341" i="1" s="1"/>
  <c r="AI342" i="1"/>
  <c r="AL342" i="1" s="1"/>
  <c r="AJ342" i="1"/>
  <c r="AK342" i="1"/>
  <c r="AM342" i="1" s="1"/>
  <c r="AI343" i="1"/>
  <c r="AL343" i="1" s="1"/>
  <c r="AJ343" i="1"/>
  <c r="AK343" i="1"/>
  <c r="AM343" i="1" s="1"/>
  <c r="AI344" i="1"/>
  <c r="AL344" i="1" s="1"/>
  <c r="AJ344" i="1"/>
  <c r="AK344" i="1"/>
  <c r="AM344" i="1" s="1"/>
  <c r="AI345" i="1"/>
  <c r="AL345" i="1" s="1"/>
  <c r="AJ345" i="1"/>
  <c r="AK345" i="1"/>
  <c r="AM345" i="1" s="1"/>
  <c r="AI346" i="1"/>
  <c r="AL346" i="1" s="1"/>
  <c r="AJ346" i="1"/>
  <c r="AK346" i="1"/>
  <c r="AM346" i="1" s="1"/>
  <c r="AI347" i="1"/>
  <c r="AL347" i="1" s="1"/>
  <c r="AJ347" i="1"/>
  <c r="AK347" i="1"/>
  <c r="AM347" i="1" s="1"/>
  <c r="AI348" i="1"/>
  <c r="AL348" i="1" s="1"/>
  <c r="AJ348" i="1"/>
  <c r="AK348" i="1"/>
  <c r="AM348" i="1" s="1"/>
  <c r="AI349" i="1"/>
  <c r="AL349" i="1" s="1"/>
  <c r="AJ349" i="1"/>
  <c r="AK349" i="1"/>
  <c r="AM349" i="1" s="1"/>
  <c r="AI350" i="1"/>
  <c r="AL350" i="1" s="1"/>
  <c r="AJ350" i="1"/>
  <c r="AK350" i="1"/>
  <c r="AM350" i="1" s="1"/>
  <c r="AI351" i="1"/>
  <c r="AL351" i="1" s="1"/>
  <c r="AJ351" i="1"/>
  <c r="AK351" i="1"/>
  <c r="AM351" i="1" s="1"/>
  <c r="AI352" i="1"/>
  <c r="AL352" i="1" s="1"/>
  <c r="AJ352" i="1"/>
  <c r="AK352" i="1"/>
  <c r="AM352" i="1" s="1"/>
  <c r="AI353" i="1"/>
  <c r="AL353" i="1" s="1"/>
  <c r="AJ353" i="1"/>
  <c r="AK353" i="1"/>
  <c r="AM353" i="1" s="1"/>
  <c r="AI354" i="1"/>
  <c r="AL354" i="1" s="1"/>
  <c r="AJ354" i="1"/>
  <c r="AK354" i="1"/>
  <c r="AM354" i="1" s="1"/>
  <c r="AI355" i="1"/>
  <c r="AL355" i="1" s="1"/>
  <c r="AJ355" i="1"/>
  <c r="AK355" i="1"/>
  <c r="AM355" i="1" s="1"/>
  <c r="AI356" i="1"/>
  <c r="AL356" i="1" s="1"/>
  <c r="AJ356" i="1"/>
  <c r="AK356" i="1"/>
  <c r="AM356" i="1" s="1"/>
  <c r="AI357" i="1"/>
  <c r="AL357" i="1" s="1"/>
  <c r="AJ357" i="1"/>
  <c r="AK357" i="1"/>
  <c r="AM357" i="1" s="1"/>
  <c r="AI358" i="1"/>
  <c r="AL358" i="1" s="1"/>
  <c r="AJ358" i="1"/>
  <c r="AK358" i="1"/>
  <c r="AM358" i="1" s="1"/>
  <c r="AI359" i="1"/>
  <c r="AL359" i="1" s="1"/>
  <c r="AJ359" i="1"/>
  <c r="AK359" i="1"/>
  <c r="AM359" i="1" s="1"/>
  <c r="AI360" i="1"/>
  <c r="AL360" i="1" s="1"/>
  <c r="AJ360" i="1"/>
  <c r="AK360" i="1"/>
  <c r="AM360" i="1" s="1"/>
  <c r="AI361" i="1"/>
  <c r="AL361" i="1" s="1"/>
  <c r="AJ361" i="1"/>
  <c r="AK361" i="1"/>
  <c r="AM361" i="1" s="1"/>
  <c r="AI362" i="1"/>
  <c r="AL362" i="1" s="1"/>
  <c r="AJ362" i="1"/>
  <c r="AK362" i="1"/>
  <c r="AM362" i="1" s="1"/>
  <c r="AI363" i="1"/>
  <c r="AL363" i="1" s="1"/>
  <c r="AJ363" i="1"/>
  <c r="AK363" i="1"/>
  <c r="AM363" i="1" s="1"/>
  <c r="AI364" i="1"/>
  <c r="AL364" i="1" s="1"/>
  <c r="AJ364" i="1"/>
  <c r="AK364" i="1"/>
  <c r="AM364" i="1" s="1"/>
  <c r="AI365" i="1"/>
  <c r="AL365" i="1" s="1"/>
  <c r="AJ365" i="1"/>
  <c r="AK365" i="1"/>
  <c r="AM365" i="1" s="1"/>
  <c r="AI366" i="1"/>
  <c r="AL366" i="1" s="1"/>
  <c r="AJ366" i="1"/>
  <c r="AK366" i="1"/>
  <c r="AM366" i="1" s="1"/>
  <c r="AI367" i="1"/>
  <c r="AL367" i="1" s="1"/>
  <c r="AJ367" i="1"/>
  <c r="AK367" i="1"/>
  <c r="AM367" i="1" s="1"/>
  <c r="AI368" i="1"/>
  <c r="AL368" i="1" s="1"/>
  <c r="AJ368" i="1"/>
  <c r="AK368" i="1"/>
  <c r="AM368" i="1" s="1"/>
  <c r="AI369" i="1"/>
  <c r="AL369" i="1" s="1"/>
  <c r="AJ369" i="1"/>
  <c r="AK369" i="1"/>
  <c r="AM369" i="1" s="1"/>
  <c r="AI370" i="1"/>
  <c r="AL370" i="1" s="1"/>
  <c r="AJ370" i="1"/>
  <c r="AK370" i="1"/>
  <c r="AM370" i="1" s="1"/>
  <c r="AI371" i="1"/>
  <c r="AL371" i="1" s="1"/>
  <c r="AJ371" i="1"/>
  <c r="AK371" i="1"/>
  <c r="AM371" i="1" s="1"/>
  <c r="AI372" i="1"/>
  <c r="AL372" i="1" s="1"/>
  <c r="AJ372" i="1"/>
  <c r="AK372" i="1"/>
  <c r="AM372" i="1" s="1"/>
  <c r="AI373" i="1"/>
  <c r="AL373" i="1" s="1"/>
  <c r="AJ373" i="1"/>
  <c r="AK373" i="1"/>
  <c r="AM373" i="1" s="1"/>
  <c r="AI374" i="1"/>
  <c r="AL374" i="1" s="1"/>
  <c r="AJ374" i="1"/>
  <c r="AK374" i="1"/>
  <c r="AM374" i="1" s="1"/>
  <c r="AI375" i="1"/>
  <c r="AL375" i="1" s="1"/>
  <c r="AJ375" i="1"/>
  <c r="AK375" i="1"/>
  <c r="AM375" i="1" s="1"/>
  <c r="AI376" i="1"/>
  <c r="AL376" i="1" s="1"/>
  <c r="AJ376" i="1"/>
  <c r="AK376" i="1"/>
  <c r="AM376" i="1" s="1"/>
  <c r="AI377" i="1"/>
  <c r="AL377" i="1" s="1"/>
  <c r="AJ377" i="1"/>
  <c r="AK377" i="1"/>
  <c r="AM377" i="1" s="1"/>
  <c r="AI378" i="1"/>
  <c r="AL378" i="1" s="1"/>
  <c r="AJ378" i="1"/>
  <c r="AK378" i="1"/>
  <c r="AM378" i="1" s="1"/>
  <c r="AI379" i="1"/>
  <c r="AL379" i="1" s="1"/>
  <c r="AJ379" i="1"/>
  <c r="AK379" i="1"/>
  <c r="AM379" i="1" s="1"/>
  <c r="AI380" i="1"/>
  <c r="AL380" i="1" s="1"/>
  <c r="AJ380" i="1"/>
  <c r="AK380" i="1"/>
  <c r="AM380" i="1" s="1"/>
  <c r="AI381" i="1"/>
  <c r="AL381" i="1" s="1"/>
  <c r="AJ381" i="1"/>
  <c r="AK381" i="1"/>
  <c r="AM381" i="1" s="1"/>
  <c r="AI382" i="1"/>
  <c r="AL382" i="1" s="1"/>
  <c r="AJ382" i="1"/>
  <c r="AK382" i="1"/>
  <c r="AM382" i="1" s="1"/>
  <c r="AI383" i="1"/>
  <c r="AL383" i="1" s="1"/>
  <c r="AJ383" i="1"/>
  <c r="AK383" i="1"/>
  <c r="AM383" i="1" s="1"/>
  <c r="AI384" i="1"/>
  <c r="AL384" i="1" s="1"/>
  <c r="AJ384" i="1"/>
  <c r="AK384" i="1"/>
  <c r="AM384" i="1" s="1"/>
  <c r="AI385" i="1"/>
  <c r="AL385" i="1" s="1"/>
  <c r="AJ385" i="1"/>
  <c r="AK385" i="1"/>
  <c r="AM385" i="1" s="1"/>
  <c r="AI386" i="1"/>
  <c r="AL386" i="1" s="1"/>
  <c r="AJ386" i="1"/>
  <c r="AK386" i="1"/>
  <c r="AM386" i="1" s="1"/>
  <c r="AI387" i="1"/>
  <c r="AL387" i="1" s="1"/>
  <c r="AJ387" i="1"/>
  <c r="AK387" i="1"/>
  <c r="AM387" i="1" s="1"/>
  <c r="AI388" i="1"/>
  <c r="AL388" i="1" s="1"/>
  <c r="AJ388" i="1"/>
  <c r="AK388" i="1"/>
  <c r="AM388" i="1" s="1"/>
  <c r="AI389" i="1"/>
  <c r="AL389" i="1" s="1"/>
  <c r="AJ389" i="1"/>
  <c r="AK389" i="1"/>
  <c r="AM389" i="1" s="1"/>
  <c r="AI390" i="1"/>
  <c r="AL390" i="1" s="1"/>
  <c r="AJ390" i="1"/>
  <c r="AK390" i="1"/>
  <c r="AM390" i="1" s="1"/>
  <c r="AI391" i="1"/>
  <c r="AL391" i="1" s="1"/>
  <c r="AJ391" i="1"/>
  <c r="AK391" i="1"/>
  <c r="AM391" i="1" s="1"/>
  <c r="AI393" i="1"/>
  <c r="AL393" i="1" s="1"/>
  <c r="AJ393" i="1"/>
  <c r="AK393" i="1"/>
  <c r="AM393" i="1" s="1"/>
  <c r="AI394" i="1"/>
  <c r="AL394" i="1" s="1"/>
  <c r="AJ394" i="1"/>
  <c r="AK394" i="1"/>
  <c r="AM394" i="1" s="1"/>
  <c r="AI395" i="1"/>
  <c r="AL395" i="1" s="1"/>
  <c r="AJ395" i="1"/>
  <c r="AK395" i="1"/>
  <c r="AM395" i="1" s="1"/>
  <c r="AI396" i="1"/>
  <c r="AL396" i="1" s="1"/>
  <c r="AJ396" i="1"/>
  <c r="AK396" i="1"/>
  <c r="AM396" i="1" s="1"/>
  <c r="AI397" i="1"/>
  <c r="AL397" i="1" s="1"/>
  <c r="AJ397" i="1"/>
  <c r="AK397" i="1"/>
  <c r="AM397" i="1" s="1"/>
  <c r="AI398" i="1"/>
  <c r="AL398" i="1" s="1"/>
  <c r="AJ398" i="1"/>
  <c r="AK398" i="1"/>
  <c r="AM398" i="1" s="1"/>
  <c r="AI399" i="1"/>
  <c r="AL399" i="1" s="1"/>
  <c r="AJ399" i="1"/>
  <c r="AK399" i="1"/>
  <c r="AM399" i="1" s="1"/>
  <c r="AI400" i="1"/>
  <c r="AL400" i="1" s="1"/>
  <c r="AJ400" i="1"/>
  <c r="AK400" i="1"/>
  <c r="AM400" i="1" s="1"/>
  <c r="AI401" i="1"/>
  <c r="AL401" i="1" s="1"/>
  <c r="AJ401" i="1"/>
  <c r="AK401" i="1"/>
  <c r="AM401" i="1" s="1"/>
  <c r="AI402" i="1"/>
  <c r="AL402" i="1" s="1"/>
  <c r="AJ402" i="1"/>
  <c r="AK402" i="1"/>
  <c r="AM402" i="1" s="1"/>
  <c r="AI403" i="1"/>
  <c r="AL403" i="1" s="1"/>
  <c r="AJ403" i="1"/>
  <c r="AK403" i="1"/>
  <c r="AM403" i="1" s="1"/>
  <c r="AI404" i="1"/>
  <c r="AL404" i="1" s="1"/>
  <c r="AJ404" i="1"/>
  <c r="AK404" i="1"/>
  <c r="AM404" i="1" s="1"/>
  <c r="AI405" i="1"/>
  <c r="AL405" i="1" s="1"/>
  <c r="AJ405" i="1"/>
  <c r="AK405" i="1"/>
  <c r="AM405" i="1" s="1"/>
  <c r="AI406" i="1"/>
  <c r="AL406" i="1" s="1"/>
  <c r="AJ406" i="1"/>
  <c r="AK406" i="1"/>
  <c r="AM406" i="1" s="1"/>
  <c r="AI407" i="1"/>
  <c r="AL407" i="1" s="1"/>
  <c r="AJ407" i="1"/>
  <c r="AK407" i="1"/>
  <c r="AM407" i="1" s="1"/>
  <c r="AI408" i="1"/>
  <c r="AL408" i="1" s="1"/>
  <c r="AJ408" i="1"/>
  <c r="AK408" i="1"/>
  <c r="AM408" i="1" s="1"/>
  <c r="AI409" i="1"/>
  <c r="AL409" i="1" s="1"/>
  <c r="AJ409" i="1"/>
  <c r="AK409" i="1"/>
  <c r="AM409" i="1" s="1"/>
  <c r="AI410" i="1"/>
  <c r="AL410" i="1" s="1"/>
  <c r="AJ410" i="1"/>
  <c r="AK410" i="1"/>
  <c r="AM410" i="1" s="1"/>
  <c r="AI411" i="1"/>
  <c r="AL411" i="1" s="1"/>
  <c r="AJ411" i="1"/>
  <c r="AK411" i="1"/>
  <c r="AM411" i="1" s="1"/>
  <c r="AI412" i="1"/>
  <c r="AL412" i="1" s="1"/>
  <c r="AJ412" i="1"/>
  <c r="AK412" i="1"/>
  <c r="AM412" i="1" s="1"/>
  <c r="AI413" i="1"/>
  <c r="AL413" i="1" s="1"/>
  <c r="AJ413" i="1"/>
  <c r="AK413" i="1"/>
  <c r="AM413" i="1" s="1"/>
  <c r="AI414" i="1"/>
  <c r="AL414" i="1" s="1"/>
  <c r="AJ414" i="1"/>
  <c r="AK414" i="1"/>
  <c r="AM414" i="1" s="1"/>
  <c r="AI415" i="1"/>
  <c r="AL415" i="1" s="1"/>
  <c r="AJ415" i="1"/>
  <c r="AK415" i="1"/>
  <c r="AM415" i="1" s="1"/>
  <c r="AI416" i="1"/>
  <c r="AL416" i="1" s="1"/>
  <c r="AJ416" i="1"/>
  <c r="AK416" i="1"/>
  <c r="AM416" i="1" s="1"/>
  <c r="AI417" i="1"/>
  <c r="AL417" i="1" s="1"/>
  <c r="AJ417" i="1"/>
  <c r="AK417" i="1"/>
  <c r="AM417" i="1" s="1"/>
  <c r="AI418" i="1"/>
  <c r="AL418" i="1" s="1"/>
  <c r="AJ418" i="1"/>
  <c r="AK418" i="1"/>
  <c r="AM418" i="1" s="1"/>
  <c r="AI419" i="1"/>
  <c r="AL419" i="1" s="1"/>
  <c r="AJ419" i="1"/>
  <c r="AK419" i="1"/>
  <c r="AM419" i="1" s="1"/>
  <c r="AI420" i="1"/>
  <c r="AL420" i="1" s="1"/>
  <c r="AJ420" i="1"/>
  <c r="AK420" i="1"/>
  <c r="AM420" i="1" s="1"/>
  <c r="AI421" i="1"/>
  <c r="AL421" i="1" s="1"/>
  <c r="AJ421" i="1"/>
  <c r="AK421" i="1"/>
  <c r="AM421" i="1" s="1"/>
  <c r="AI422" i="1"/>
  <c r="AL422" i="1" s="1"/>
  <c r="AJ422" i="1"/>
  <c r="AK422" i="1"/>
  <c r="AM422" i="1" s="1"/>
  <c r="AI423" i="1"/>
  <c r="AL423" i="1" s="1"/>
  <c r="AJ423" i="1"/>
  <c r="AK423" i="1"/>
  <c r="AM423" i="1" s="1"/>
  <c r="AI424" i="1"/>
  <c r="AL424" i="1" s="1"/>
  <c r="AJ424" i="1"/>
  <c r="AK424" i="1"/>
  <c r="AM424" i="1" s="1"/>
  <c r="AI425" i="1"/>
  <c r="AL425" i="1" s="1"/>
  <c r="AJ425" i="1"/>
  <c r="AK425" i="1"/>
  <c r="AM425" i="1" s="1"/>
  <c r="AI426" i="1"/>
  <c r="AL426" i="1" s="1"/>
  <c r="AJ426" i="1"/>
  <c r="AK426" i="1"/>
  <c r="AM426" i="1" s="1"/>
  <c r="AI427" i="1"/>
  <c r="AL427" i="1" s="1"/>
  <c r="AJ427" i="1"/>
  <c r="AK427" i="1"/>
  <c r="AM427" i="1" s="1"/>
  <c r="AI428" i="1"/>
  <c r="AL428" i="1" s="1"/>
  <c r="AJ428" i="1"/>
  <c r="AK428" i="1"/>
  <c r="AM428" i="1" s="1"/>
  <c r="AI429" i="1"/>
  <c r="AL429" i="1" s="1"/>
  <c r="AJ429" i="1"/>
  <c r="AK429" i="1"/>
  <c r="AM429" i="1" s="1"/>
  <c r="AI430" i="1"/>
  <c r="AL430" i="1" s="1"/>
  <c r="AJ430" i="1"/>
  <c r="AK430" i="1"/>
  <c r="AM430" i="1" s="1"/>
  <c r="AI431" i="1"/>
  <c r="AL431" i="1" s="1"/>
  <c r="AJ431" i="1"/>
  <c r="AK431" i="1"/>
  <c r="AM431" i="1" s="1"/>
  <c r="AI432" i="1"/>
  <c r="AL432" i="1" s="1"/>
  <c r="AJ432" i="1"/>
  <c r="AK432" i="1"/>
  <c r="AM432" i="1" s="1"/>
  <c r="AI433" i="1"/>
  <c r="AL433" i="1" s="1"/>
  <c r="AJ433" i="1"/>
  <c r="AK433" i="1"/>
  <c r="AM433" i="1" s="1"/>
  <c r="AI434" i="1"/>
  <c r="AL434" i="1" s="1"/>
  <c r="AJ434" i="1"/>
  <c r="AK434" i="1"/>
  <c r="AM434" i="1" s="1"/>
  <c r="AI435" i="1"/>
  <c r="AL435" i="1" s="1"/>
  <c r="AJ435" i="1"/>
  <c r="AK435" i="1"/>
  <c r="AM435" i="1" s="1"/>
  <c r="AI436" i="1"/>
  <c r="AL436" i="1" s="1"/>
  <c r="AJ436" i="1"/>
  <c r="AK436" i="1"/>
  <c r="AM436" i="1" s="1"/>
  <c r="AI437" i="1"/>
  <c r="AL437" i="1" s="1"/>
  <c r="AJ437" i="1"/>
  <c r="AK437" i="1"/>
  <c r="AM437" i="1" s="1"/>
  <c r="AI438" i="1"/>
  <c r="AL438" i="1" s="1"/>
  <c r="AJ438" i="1"/>
  <c r="AK438" i="1"/>
  <c r="AM438" i="1" s="1"/>
  <c r="AI439" i="1"/>
  <c r="AL439" i="1" s="1"/>
  <c r="AJ439" i="1"/>
  <c r="AK439" i="1"/>
  <c r="AM439" i="1" s="1"/>
  <c r="AI440" i="1"/>
  <c r="AL440" i="1" s="1"/>
  <c r="AJ440" i="1"/>
  <c r="AK440" i="1"/>
  <c r="AM440" i="1" s="1"/>
  <c r="AI441" i="1"/>
  <c r="AL441" i="1" s="1"/>
  <c r="AJ441" i="1"/>
  <c r="AK441" i="1"/>
  <c r="AM441" i="1" s="1"/>
  <c r="AI442" i="1"/>
  <c r="AL442" i="1" s="1"/>
  <c r="AJ442" i="1"/>
  <c r="AK442" i="1"/>
  <c r="AM442" i="1" s="1"/>
  <c r="AI443" i="1"/>
  <c r="AL443" i="1" s="1"/>
  <c r="AJ443" i="1"/>
  <c r="AK443" i="1"/>
  <c r="AM443" i="1" s="1"/>
  <c r="AI444" i="1"/>
  <c r="AL444" i="1" s="1"/>
  <c r="AJ444" i="1"/>
  <c r="AK444" i="1"/>
  <c r="AM444" i="1" s="1"/>
  <c r="AI445" i="1"/>
  <c r="AL445" i="1" s="1"/>
  <c r="AJ445" i="1"/>
  <c r="AK445" i="1"/>
  <c r="AM445" i="1" s="1"/>
  <c r="AI446" i="1"/>
  <c r="AL446" i="1" s="1"/>
  <c r="AJ446" i="1"/>
  <c r="AK446" i="1"/>
  <c r="AM446" i="1" s="1"/>
  <c r="AI447" i="1"/>
  <c r="AL447" i="1" s="1"/>
  <c r="AJ447" i="1"/>
  <c r="AK447" i="1"/>
  <c r="AM447" i="1" s="1"/>
  <c r="AI448" i="1"/>
  <c r="AL448" i="1" s="1"/>
  <c r="AJ448" i="1"/>
  <c r="AK448" i="1"/>
  <c r="AM448" i="1" s="1"/>
  <c r="AI449" i="1"/>
  <c r="AL449" i="1" s="1"/>
  <c r="AJ449" i="1"/>
  <c r="AK449" i="1"/>
  <c r="AM449" i="1" s="1"/>
  <c r="AI450" i="1"/>
  <c r="AL450" i="1" s="1"/>
  <c r="AJ450" i="1"/>
  <c r="AK450" i="1"/>
  <c r="AM450" i="1" s="1"/>
  <c r="AI451" i="1"/>
  <c r="AL451" i="1" s="1"/>
  <c r="AJ451" i="1"/>
  <c r="AK451" i="1"/>
  <c r="AM451" i="1" s="1"/>
  <c r="AI452" i="1"/>
  <c r="AL452" i="1" s="1"/>
  <c r="AJ452" i="1"/>
  <c r="AK452" i="1"/>
  <c r="AM452" i="1" s="1"/>
  <c r="AI453" i="1"/>
  <c r="AL453" i="1" s="1"/>
  <c r="AJ453" i="1"/>
  <c r="AK453" i="1"/>
  <c r="AM453" i="1" s="1"/>
  <c r="AI454" i="1"/>
  <c r="AL454" i="1" s="1"/>
  <c r="AJ454" i="1"/>
  <c r="AK454" i="1"/>
  <c r="AM454" i="1" s="1"/>
  <c r="AI455" i="1"/>
  <c r="AL455" i="1" s="1"/>
  <c r="AJ455" i="1"/>
  <c r="AK455" i="1"/>
  <c r="AM455" i="1" s="1"/>
  <c r="AI456" i="1"/>
  <c r="AL456" i="1" s="1"/>
  <c r="AJ456" i="1"/>
  <c r="AK456" i="1"/>
  <c r="AM456" i="1" s="1"/>
  <c r="AI457" i="1"/>
  <c r="AL457" i="1" s="1"/>
  <c r="AJ457" i="1"/>
  <c r="AK457" i="1"/>
  <c r="AM457" i="1" s="1"/>
  <c r="AI458" i="1"/>
  <c r="AL458" i="1" s="1"/>
  <c r="AJ458" i="1"/>
  <c r="AK458" i="1"/>
  <c r="AM458" i="1" s="1"/>
  <c r="AI459" i="1"/>
  <c r="AL459" i="1" s="1"/>
  <c r="AJ459" i="1"/>
  <c r="AK459" i="1"/>
  <c r="AM459" i="1" s="1"/>
  <c r="AI460" i="1"/>
  <c r="AL460" i="1" s="1"/>
  <c r="AJ460" i="1"/>
  <c r="AK460" i="1"/>
  <c r="AM460" i="1" s="1"/>
  <c r="AI461" i="1"/>
  <c r="AL461" i="1" s="1"/>
  <c r="AJ461" i="1"/>
  <c r="AK461" i="1"/>
  <c r="AM461" i="1" s="1"/>
  <c r="AI462" i="1"/>
  <c r="AL462" i="1" s="1"/>
  <c r="AJ462" i="1"/>
  <c r="AK462" i="1"/>
  <c r="AM462" i="1" s="1"/>
  <c r="AI463" i="1"/>
  <c r="AL463" i="1" s="1"/>
  <c r="AJ463" i="1"/>
  <c r="AK463" i="1"/>
  <c r="AM463" i="1" s="1"/>
  <c r="AI464" i="1"/>
  <c r="AL464" i="1" s="1"/>
  <c r="AJ464" i="1"/>
  <c r="AK464" i="1"/>
  <c r="AM464" i="1" s="1"/>
  <c r="AI465" i="1"/>
  <c r="AL465" i="1" s="1"/>
  <c r="AJ465" i="1"/>
  <c r="AK465" i="1"/>
  <c r="AM465" i="1" s="1"/>
  <c r="AI466" i="1"/>
  <c r="AL466" i="1" s="1"/>
  <c r="AJ466" i="1"/>
  <c r="AK466" i="1"/>
  <c r="AM466" i="1" s="1"/>
  <c r="AI467" i="1"/>
  <c r="AL467" i="1" s="1"/>
  <c r="AJ467" i="1"/>
  <c r="AK467" i="1"/>
  <c r="AM467" i="1" s="1"/>
  <c r="AI468" i="1"/>
  <c r="AL468" i="1" s="1"/>
  <c r="AJ468" i="1"/>
  <c r="AK468" i="1"/>
  <c r="AM468" i="1" s="1"/>
  <c r="AI469" i="1"/>
  <c r="AL469" i="1" s="1"/>
  <c r="AJ469" i="1"/>
  <c r="AK469" i="1"/>
  <c r="AM469" i="1" s="1"/>
  <c r="AI470" i="1"/>
  <c r="AL470" i="1" s="1"/>
  <c r="AJ470" i="1"/>
  <c r="AK470" i="1"/>
  <c r="AM470" i="1" s="1"/>
  <c r="AI471" i="1"/>
  <c r="AL471" i="1" s="1"/>
  <c r="AJ471" i="1"/>
  <c r="AK471" i="1"/>
  <c r="AM471" i="1" s="1"/>
  <c r="AI472" i="1"/>
  <c r="AL472" i="1" s="1"/>
  <c r="AJ472" i="1"/>
  <c r="AK472" i="1"/>
  <c r="AM472" i="1" s="1"/>
  <c r="AI473" i="1"/>
  <c r="AL473" i="1" s="1"/>
  <c r="AJ473" i="1"/>
  <c r="AK473" i="1"/>
  <c r="AM473" i="1" s="1"/>
  <c r="AI474" i="1"/>
  <c r="AL474" i="1" s="1"/>
  <c r="AJ474" i="1"/>
  <c r="AK474" i="1"/>
  <c r="AM474" i="1" s="1"/>
  <c r="AI475" i="1"/>
  <c r="AL475" i="1" s="1"/>
  <c r="AJ475" i="1"/>
  <c r="AK475" i="1"/>
  <c r="AM475" i="1" s="1"/>
  <c r="AI476" i="1"/>
  <c r="AL476" i="1" s="1"/>
  <c r="AJ476" i="1"/>
  <c r="AK476" i="1"/>
  <c r="AM476" i="1" s="1"/>
  <c r="AI477" i="1"/>
  <c r="AL477" i="1" s="1"/>
  <c r="AJ477" i="1"/>
  <c r="AK477" i="1"/>
  <c r="AM477" i="1" s="1"/>
  <c r="AI478" i="1"/>
  <c r="AL478" i="1" s="1"/>
  <c r="AJ478" i="1"/>
  <c r="AK478" i="1"/>
  <c r="AM478" i="1" s="1"/>
  <c r="AI479" i="1"/>
  <c r="AL479" i="1" s="1"/>
  <c r="AJ479" i="1"/>
  <c r="AK479" i="1"/>
  <c r="AM479" i="1" s="1"/>
  <c r="AI480" i="1"/>
  <c r="AL480" i="1" s="1"/>
  <c r="AJ480" i="1"/>
  <c r="AK480" i="1"/>
  <c r="AM480" i="1" s="1"/>
  <c r="AI481" i="1"/>
  <c r="AL481" i="1" s="1"/>
  <c r="AJ481" i="1"/>
  <c r="AK481" i="1"/>
  <c r="AM481" i="1" s="1"/>
  <c r="AI482" i="1"/>
  <c r="AL482" i="1" s="1"/>
  <c r="AJ482" i="1"/>
  <c r="AK482" i="1"/>
  <c r="AM482" i="1" s="1"/>
  <c r="AI483" i="1"/>
  <c r="AL483" i="1" s="1"/>
  <c r="AJ483" i="1"/>
  <c r="AK483" i="1"/>
  <c r="AM483" i="1" s="1"/>
  <c r="AI484" i="1"/>
  <c r="AL484" i="1" s="1"/>
  <c r="AJ484" i="1"/>
  <c r="AK484" i="1"/>
  <c r="AM484" i="1" s="1"/>
  <c r="AI485" i="1"/>
  <c r="AL485" i="1" s="1"/>
  <c r="AJ485" i="1"/>
  <c r="AK485" i="1"/>
  <c r="AM485" i="1" s="1"/>
  <c r="AI486" i="1"/>
  <c r="AL486" i="1" s="1"/>
  <c r="AJ486" i="1"/>
  <c r="AK486" i="1"/>
  <c r="AM486" i="1" s="1"/>
  <c r="AI487" i="1"/>
  <c r="AL487" i="1" s="1"/>
  <c r="AJ487" i="1"/>
  <c r="AK487" i="1"/>
  <c r="AM487" i="1" s="1"/>
  <c r="AI488" i="1"/>
  <c r="AL488" i="1" s="1"/>
  <c r="AJ488" i="1"/>
  <c r="AK488" i="1"/>
  <c r="AM488" i="1" s="1"/>
  <c r="AI490" i="1"/>
  <c r="AL490" i="1" s="1"/>
  <c r="AJ490" i="1"/>
  <c r="AK490" i="1"/>
  <c r="AM490" i="1" s="1"/>
  <c r="AI491" i="1"/>
  <c r="AL491" i="1" s="1"/>
  <c r="AJ491" i="1"/>
  <c r="AK491" i="1"/>
  <c r="AM491" i="1" s="1"/>
  <c r="AI492" i="1"/>
  <c r="AL492" i="1" s="1"/>
  <c r="AJ492" i="1"/>
  <c r="AK492" i="1"/>
  <c r="AM492" i="1" s="1"/>
  <c r="AI493" i="1"/>
  <c r="AL493" i="1" s="1"/>
  <c r="AJ493" i="1"/>
  <c r="AK493" i="1"/>
  <c r="AM493" i="1" s="1"/>
  <c r="AI494" i="1"/>
  <c r="AL494" i="1" s="1"/>
  <c r="AJ494" i="1"/>
  <c r="AK494" i="1"/>
  <c r="AM494" i="1" s="1"/>
  <c r="AI495" i="1"/>
  <c r="AL495" i="1" s="1"/>
  <c r="AJ495" i="1"/>
  <c r="AK495" i="1"/>
  <c r="AM495" i="1" s="1"/>
  <c r="AI496" i="1"/>
  <c r="AL496" i="1" s="1"/>
  <c r="AJ496" i="1"/>
  <c r="AK496" i="1"/>
  <c r="AM496" i="1" s="1"/>
  <c r="AI497" i="1"/>
  <c r="AL497" i="1" s="1"/>
  <c r="AJ497" i="1"/>
  <c r="AK497" i="1"/>
  <c r="AM497" i="1" s="1"/>
  <c r="AI498" i="1"/>
  <c r="AL498" i="1" s="1"/>
  <c r="AJ498" i="1"/>
  <c r="AK498" i="1"/>
  <c r="AM498" i="1" s="1"/>
  <c r="AI499" i="1"/>
  <c r="AL499" i="1" s="1"/>
  <c r="AJ499" i="1"/>
  <c r="AK499" i="1"/>
  <c r="AM499" i="1" s="1"/>
  <c r="AI500" i="1"/>
  <c r="AL500" i="1" s="1"/>
  <c r="AJ500" i="1"/>
  <c r="AK500" i="1"/>
  <c r="AM500" i="1" s="1"/>
  <c r="AI501" i="1"/>
  <c r="AL501" i="1" s="1"/>
  <c r="AJ501" i="1"/>
  <c r="AK501" i="1"/>
  <c r="AM501" i="1" s="1"/>
  <c r="AI502" i="1"/>
  <c r="AL502" i="1" s="1"/>
  <c r="AJ502" i="1"/>
  <c r="AK502" i="1"/>
  <c r="AM502" i="1" s="1"/>
  <c r="AI503" i="1"/>
  <c r="AL503" i="1" s="1"/>
  <c r="AJ503" i="1"/>
  <c r="AK503" i="1"/>
  <c r="AM503" i="1" s="1"/>
  <c r="AI504" i="1"/>
  <c r="AL504" i="1" s="1"/>
  <c r="AJ504" i="1"/>
  <c r="AK504" i="1"/>
  <c r="AM504" i="1" s="1"/>
  <c r="AI505" i="1"/>
  <c r="AL505" i="1" s="1"/>
  <c r="AJ505" i="1"/>
  <c r="AK505" i="1"/>
  <c r="AM505" i="1" s="1"/>
  <c r="AI506" i="1"/>
  <c r="AL506" i="1" s="1"/>
  <c r="AJ506" i="1"/>
  <c r="AK506" i="1"/>
  <c r="AM506" i="1" s="1"/>
  <c r="AI507" i="1"/>
  <c r="AL507" i="1" s="1"/>
  <c r="AJ507" i="1"/>
  <c r="AK507" i="1"/>
  <c r="AM507" i="1" s="1"/>
  <c r="AI508" i="1"/>
  <c r="AL508" i="1" s="1"/>
  <c r="AJ508" i="1"/>
  <c r="AK508" i="1"/>
  <c r="AM508" i="1" s="1"/>
  <c r="AI509" i="1"/>
  <c r="AL509" i="1" s="1"/>
  <c r="AJ509" i="1"/>
  <c r="AK509" i="1"/>
  <c r="AM509" i="1" s="1"/>
  <c r="AI510" i="1"/>
  <c r="AL510" i="1" s="1"/>
  <c r="AJ510" i="1"/>
  <c r="AK510" i="1"/>
  <c r="AM510" i="1" s="1"/>
  <c r="AI511" i="1"/>
  <c r="AL511" i="1" s="1"/>
  <c r="AJ511" i="1"/>
  <c r="AK511" i="1"/>
  <c r="AM511" i="1" s="1"/>
  <c r="AI512" i="1"/>
  <c r="AL512" i="1" s="1"/>
  <c r="AJ512" i="1"/>
  <c r="AK512" i="1"/>
  <c r="AM512" i="1" s="1"/>
  <c r="AI513" i="1"/>
  <c r="AL513" i="1" s="1"/>
  <c r="AJ513" i="1"/>
  <c r="AK513" i="1"/>
  <c r="AM513" i="1" s="1"/>
  <c r="AI514" i="1"/>
  <c r="AL514" i="1" s="1"/>
  <c r="AJ514" i="1"/>
  <c r="AK514" i="1"/>
  <c r="AM514" i="1" s="1"/>
  <c r="AI515" i="1"/>
  <c r="AL515" i="1" s="1"/>
  <c r="AJ515" i="1"/>
  <c r="AK515" i="1"/>
  <c r="AM515" i="1" s="1"/>
  <c r="AI516" i="1"/>
  <c r="AL516" i="1" s="1"/>
  <c r="AJ516" i="1"/>
  <c r="AK516" i="1"/>
  <c r="AM516" i="1" s="1"/>
  <c r="AI517" i="1"/>
  <c r="AL517" i="1" s="1"/>
  <c r="AJ517" i="1"/>
  <c r="AK517" i="1"/>
  <c r="AM517" i="1" s="1"/>
  <c r="AI518" i="1"/>
  <c r="AL518" i="1" s="1"/>
  <c r="AJ518" i="1"/>
  <c r="AK518" i="1"/>
  <c r="AM518" i="1" s="1"/>
  <c r="AI519" i="1"/>
  <c r="AL519" i="1" s="1"/>
  <c r="AJ519" i="1"/>
  <c r="AK519" i="1"/>
  <c r="AM519" i="1" s="1"/>
  <c r="AI520" i="1"/>
  <c r="AL520" i="1" s="1"/>
  <c r="AJ520" i="1"/>
  <c r="AK520" i="1"/>
  <c r="AM520" i="1" s="1"/>
  <c r="AI521" i="1"/>
  <c r="AL521" i="1" s="1"/>
  <c r="AJ521" i="1"/>
  <c r="AK521" i="1"/>
  <c r="AM521" i="1" s="1"/>
  <c r="AI522" i="1"/>
  <c r="AL522" i="1" s="1"/>
  <c r="AJ522" i="1"/>
  <c r="AK522" i="1"/>
  <c r="AM522" i="1" s="1"/>
  <c r="AI523" i="1"/>
  <c r="AL523" i="1" s="1"/>
  <c r="AJ523" i="1"/>
  <c r="AK523" i="1"/>
  <c r="AM523" i="1" s="1"/>
  <c r="AI524" i="1"/>
  <c r="AL524" i="1" s="1"/>
  <c r="AJ524" i="1"/>
  <c r="AK524" i="1"/>
  <c r="AM524" i="1" s="1"/>
  <c r="AI525" i="1"/>
  <c r="AL525" i="1" s="1"/>
  <c r="AJ525" i="1"/>
  <c r="AK525" i="1"/>
  <c r="AM525" i="1" s="1"/>
  <c r="AI526" i="1"/>
  <c r="AL526" i="1" s="1"/>
  <c r="AJ526" i="1"/>
  <c r="AK526" i="1"/>
  <c r="AM526" i="1" s="1"/>
  <c r="AI527" i="1"/>
  <c r="AL527" i="1" s="1"/>
  <c r="AJ527" i="1"/>
  <c r="AK527" i="1"/>
  <c r="AM527" i="1" s="1"/>
  <c r="AI528" i="1"/>
  <c r="AL528" i="1" s="1"/>
  <c r="AJ528" i="1"/>
  <c r="AK528" i="1"/>
  <c r="AM528" i="1" s="1"/>
  <c r="AI529" i="1"/>
  <c r="AL529" i="1" s="1"/>
  <c r="AJ529" i="1"/>
  <c r="AK529" i="1"/>
  <c r="AM529" i="1" s="1"/>
  <c r="AI530" i="1"/>
  <c r="AL530" i="1" s="1"/>
  <c r="AJ530" i="1"/>
  <c r="AK530" i="1"/>
  <c r="AM530" i="1" s="1"/>
  <c r="AI531" i="1"/>
  <c r="AL531" i="1" s="1"/>
  <c r="AJ531" i="1"/>
  <c r="AK531" i="1"/>
  <c r="AM531" i="1" s="1"/>
  <c r="AI532" i="1"/>
  <c r="AL532" i="1" s="1"/>
  <c r="AJ532" i="1"/>
  <c r="AK532" i="1"/>
  <c r="AM532" i="1" s="1"/>
  <c r="AI533" i="1"/>
  <c r="AL533" i="1" s="1"/>
  <c r="AJ533" i="1"/>
  <c r="AK533" i="1"/>
  <c r="AM533" i="1" s="1"/>
  <c r="AI534" i="1"/>
  <c r="AL534" i="1" s="1"/>
  <c r="AJ534" i="1"/>
  <c r="AK534" i="1"/>
  <c r="AM534" i="1" s="1"/>
  <c r="AI535" i="1"/>
  <c r="AL535" i="1" s="1"/>
  <c r="AJ535" i="1"/>
  <c r="AK535" i="1"/>
  <c r="AM535" i="1" s="1"/>
  <c r="AI536" i="1"/>
  <c r="AL536" i="1" s="1"/>
  <c r="AJ536" i="1"/>
  <c r="AK536" i="1"/>
  <c r="AM536" i="1" s="1"/>
  <c r="AI537" i="1"/>
  <c r="AL537" i="1" s="1"/>
  <c r="AJ537" i="1"/>
  <c r="AK537" i="1"/>
  <c r="AM537" i="1" s="1"/>
  <c r="AI538" i="1"/>
  <c r="AL538" i="1" s="1"/>
  <c r="AJ538" i="1"/>
  <c r="AK538" i="1"/>
  <c r="AM538" i="1" s="1"/>
  <c r="AI539" i="1"/>
  <c r="AL539" i="1" s="1"/>
  <c r="AJ539" i="1"/>
  <c r="AK539" i="1"/>
  <c r="AM539" i="1" s="1"/>
  <c r="AI540" i="1"/>
  <c r="AL540" i="1" s="1"/>
  <c r="AJ540" i="1"/>
  <c r="AK540" i="1"/>
  <c r="AM540" i="1" s="1"/>
  <c r="AI541" i="1"/>
  <c r="AL541" i="1" s="1"/>
  <c r="AJ541" i="1"/>
  <c r="AK541" i="1"/>
  <c r="AM541" i="1" s="1"/>
  <c r="AI542" i="1"/>
  <c r="AL542" i="1" s="1"/>
  <c r="AJ542" i="1"/>
  <c r="AK542" i="1"/>
  <c r="AM542" i="1" s="1"/>
  <c r="AI543" i="1"/>
  <c r="AL543" i="1" s="1"/>
  <c r="AJ543" i="1"/>
  <c r="AK543" i="1"/>
  <c r="AM543" i="1" s="1"/>
  <c r="AI544" i="1"/>
  <c r="AL544" i="1" s="1"/>
  <c r="AJ544" i="1"/>
  <c r="AK544" i="1"/>
  <c r="AM544" i="1" s="1"/>
  <c r="AI545" i="1"/>
  <c r="AL545" i="1" s="1"/>
  <c r="AJ545" i="1"/>
  <c r="AK545" i="1"/>
  <c r="AM545" i="1" s="1"/>
  <c r="AI546" i="1"/>
  <c r="AL546" i="1" s="1"/>
  <c r="AJ546" i="1"/>
  <c r="AK546" i="1"/>
  <c r="AM546" i="1" s="1"/>
  <c r="AI547" i="1"/>
  <c r="AL547" i="1" s="1"/>
  <c r="AJ547" i="1"/>
  <c r="AK547" i="1"/>
  <c r="AM547" i="1" s="1"/>
  <c r="AI548" i="1"/>
  <c r="AL548" i="1" s="1"/>
  <c r="AJ548" i="1"/>
  <c r="AK548" i="1"/>
  <c r="AM548" i="1" s="1"/>
  <c r="AI549" i="1"/>
  <c r="AL549" i="1" s="1"/>
  <c r="AJ549" i="1"/>
  <c r="AK549" i="1"/>
  <c r="AM549" i="1" s="1"/>
  <c r="AI550" i="1"/>
  <c r="AL550" i="1" s="1"/>
  <c r="AJ550" i="1"/>
  <c r="AK550" i="1"/>
  <c r="AM550" i="1" s="1"/>
  <c r="AI551" i="1"/>
  <c r="AL551" i="1" s="1"/>
  <c r="AJ551" i="1"/>
  <c r="AK551" i="1"/>
  <c r="AM551" i="1" s="1"/>
  <c r="AI552" i="1"/>
  <c r="AL552" i="1" s="1"/>
  <c r="AJ552" i="1"/>
  <c r="AK552" i="1"/>
  <c r="AM552" i="1" s="1"/>
  <c r="AI553" i="1"/>
  <c r="AL553" i="1" s="1"/>
  <c r="AJ553" i="1"/>
  <c r="AK553" i="1"/>
  <c r="AM553" i="1" s="1"/>
  <c r="AI554" i="1"/>
  <c r="AL554" i="1" s="1"/>
  <c r="AJ554" i="1"/>
  <c r="AK554" i="1"/>
  <c r="AM554" i="1" s="1"/>
  <c r="AI555" i="1"/>
  <c r="AL555" i="1" s="1"/>
  <c r="AJ555" i="1"/>
  <c r="AK555" i="1"/>
  <c r="AM555" i="1" s="1"/>
  <c r="AI556" i="1"/>
  <c r="AL556" i="1" s="1"/>
  <c r="AJ556" i="1"/>
  <c r="AK556" i="1"/>
  <c r="AM556" i="1" s="1"/>
  <c r="AI557" i="1"/>
  <c r="AL557" i="1" s="1"/>
  <c r="AJ557" i="1"/>
  <c r="AK557" i="1"/>
  <c r="AM557" i="1" s="1"/>
  <c r="AI558" i="1"/>
  <c r="AL558" i="1" s="1"/>
  <c r="AJ558" i="1"/>
  <c r="AK558" i="1"/>
  <c r="AM558" i="1" s="1"/>
  <c r="AI559" i="1"/>
  <c r="AL559" i="1" s="1"/>
  <c r="AJ559" i="1"/>
  <c r="AK559" i="1"/>
  <c r="AM559" i="1" s="1"/>
  <c r="AI560" i="1"/>
  <c r="AL560" i="1" s="1"/>
  <c r="AJ560" i="1"/>
  <c r="AK560" i="1"/>
  <c r="AM560" i="1" s="1"/>
  <c r="AI561" i="1"/>
  <c r="AL561" i="1" s="1"/>
  <c r="AJ561" i="1"/>
  <c r="AK561" i="1"/>
  <c r="AM561" i="1" s="1"/>
  <c r="AI562" i="1"/>
  <c r="AL562" i="1" s="1"/>
  <c r="AJ562" i="1"/>
  <c r="AK562" i="1"/>
  <c r="AM562" i="1" s="1"/>
  <c r="AI563" i="1"/>
  <c r="AL563" i="1" s="1"/>
  <c r="AJ563" i="1"/>
  <c r="AK563" i="1"/>
  <c r="AM563" i="1" s="1"/>
  <c r="AI564" i="1"/>
  <c r="AL564" i="1" s="1"/>
  <c r="AJ564" i="1"/>
  <c r="AK564" i="1"/>
  <c r="AM564" i="1" s="1"/>
  <c r="AI565" i="1"/>
  <c r="AL565" i="1" s="1"/>
  <c r="AJ565" i="1"/>
  <c r="AK565" i="1"/>
  <c r="AM565" i="1" s="1"/>
  <c r="AI566" i="1"/>
  <c r="AL566" i="1" s="1"/>
  <c r="AJ566" i="1"/>
  <c r="AK566" i="1"/>
  <c r="AM566" i="1" s="1"/>
  <c r="AI567" i="1"/>
  <c r="AL567" i="1" s="1"/>
  <c r="AJ567" i="1"/>
  <c r="AK567" i="1"/>
  <c r="AM567" i="1" s="1"/>
  <c r="AI568" i="1"/>
  <c r="AL568" i="1" s="1"/>
  <c r="AJ568" i="1"/>
  <c r="AK568" i="1"/>
  <c r="AM568" i="1" s="1"/>
  <c r="AI569" i="1"/>
  <c r="AL569" i="1" s="1"/>
  <c r="AJ569" i="1"/>
  <c r="AK569" i="1"/>
  <c r="AM569" i="1" s="1"/>
  <c r="AI570" i="1"/>
  <c r="AL570" i="1" s="1"/>
  <c r="AJ570" i="1"/>
  <c r="AK570" i="1"/>
  <c r="AM570" i="1" s="1"/>
  <c r="AI571" i="1"/>
  <c r="AL571" i="1" s="1"/>
  <c r="AJ571" i="1"/>
  <c r="AK571" i="1"/>
  <c r="AM571" i="1" s="1"/>
  <c r="AI572" i="1"/>
  <c r="AL572" i="1" s="1"/>
  <c r="AJ572" i="1"/>
  <c r="AK572" i="1"/>
  <c r="AM572" i="1" s="1"/>
  <c r="AI573" i="1"/>
  <c r="AL573" i="1" s="1"/>
  <c r="AJ573" i="1"/>
  <c r="AK573" i="1"/>
  <c r="AM573" i="1" s="1"/>
  <c r="AI574" i="1"/>
  <c r="AL574" i="1" s="1"/>
  <c r="AJ574" i="1"/>
  <c r="AK574" i="1"/>
  <c r="AM574" i="1" s="1"/>
  <c r="AI575" i="1"/>
  <c r="AL575" i="1" s="1"/>
  <c r="AJ575" i="1"/>
  <c r="AK575" i="1"/>
  <c r="AM575" i="1" s="1"/>
  <c r="AI576" i="1"/>
  <c r="AL576" i="1" s="1"/>
  <c r="AJ576" i="1"/>
  <c r="AK576" i="1"/>
  <c r="AM576" i="1" s="1"/>
  <c r="AI577" i="1"/>
  <c r="AL577" i="1" s="1"/>
  <c r="AJ577" i="1"/>
  <c r="AK577" i="1"/>
  <c r="AM577" i="1" s="1"/>
  <c r="AI578" i="1"/>
  <c r="AL578" i="1" s="1"/>
  <c r="AJ578" i="1"/>
  <c r="AK578" i="1"/>
  <c r="AM578" i="1" s="1"/>
  <c r="AI579" i="1"/>
  <c r="AL579" i="1" s="1"/>
  <c r="AJ579" i="1"/>
  <c r="AK579" i="1"/>
  <c r="AM579" i="1" s="1"/>
  <c r="AI580" i="1"/>
  <c r="AL580" i="1" s="1"/>
  <c r="AJ580" i="1"/>
  <c r="AK580" i="1"/>
  <c r="AM580" i="1" s="1"/>
  <c r="AI581" i="1"/>
  <c r="AL581" i="1" s="1"/>
  <c r="AJ581" i="1"/>
  <c r="AK581" i="1"/>
  <c r="AM581" i="1" s="1"/>
  <c r="AI582" i="1"/>
  <c r="AL582" i="1" s="1"/>
  <c r="AJ582" i="1"/>
  <c r="AK582" i="1"/>
  <c r="AM582" i="1" s="1"/>
  <c r="AI583" i="1"/>
  <c r="AL583" i="1" s="1"/>
  <c r="AJ583" i="1"/>
  <c r="AK583" i="1"/>
  <c r="AM583" i="1" s="1"/>
  <c r="AI584" i="1"/>
  <c r="AL584" i="1" s="1"/>
  <c r="AJ584" i="1"/>
  <c r="AK584" i="1"/>
  <c r="AM584" i="1" s="1"/>
  <c r="AI585" i="1"/>
  <c r="AL585" i="1" s="1"/>
  <c r="AJ585" i="1"/>
  <c r="AK585" i="1"/>
  <c r="AM585" i="1" s="1"/>
  <c r="AI587" i="1"/>
  <c r="AL587" i="1" s="1"/>
  <c r="AJ587" i="1"/>
  <c r="AK587" i="1"/>
  <c r="AM587" i="1" s="1"/>
  <c r="AI588" i="1"/>
  <c r="AL588" i="1" s="1"/>
  <c r="AJ588" i="1"/>
  <c r="AK588" i="1"/>
  <c r="AM588" i="1" s="1"/>
  <c r="AI589" i="1"/>
  <c r="AL589" i="1" s="1"/>
  <c r="AJ589" i="1"/>
  <c r="AK589" i="1"/>
  <c r="AM589" i="1" s="1"/>
  <c r="AI590" i="1"/>
  <c r="AL590" i="1" s="1"/>
  <c r="AJ590" i="1"/>
  <c r="AK590" i="1"/>
  <c r="AM590" i="1" s="1"/>
  <c r="AI591" i="1"/>
  <c r="AL591" i="1" s="1"/>
  <c r="AJ591" i="1"/>
  <c r="AK591" i="1"/>
  <c r="AM591" i="1" s="1"/>
  <c r="AI592" i="1"/>
  <c r="AL592" i="1" s="1"/>
  <c r="AJ592" i="1"/>
  <c r="AK592" i="1"/>
  <c r="AM592" i="1" s="1"/>
  <c r="AI593" i="1"/>
  <c r="AL593" i="1" s="1"/>
  <c r="AJ593" i="1"/>
  <c r="AK593" i="1"/>
  <c r="AM593" i="1" s="1"/>
  <c r="AI594" i="1"/>
  <c r="AL594" i="1" s="1"/>
  <c r="AJ594" i="1"/>
  <c r="AK594" i="1"/>
  <c r="AM594" i="1" s="1"/>
  <c r="AI595" i="1"/>
  <c r="AL595" i="1" s="1"/>
  <c r="AJ595" i="1"/>
  <c r="AK595" i="1"/>
  <c r="AM595" i="1" s="1"/>
  <c r="AI596" i="1"/>
  <c r="AL596" i="1" s="1"/>
  <c r="AJ596" i="1"/>
  <c r="AK596" i="1"/>
  <c r="AM596" i="1" s="1"/>
  <c r="AI597" i="1"/>
  <c r="AL597" i="1" s="1"/>
  <c r="AJ597" i="1"/>
  <c r="AK597" i="1"/>
  <c r="AM597" i="1" s="1"/>
  <c r="AI598" i="1"/>
  <c r="AL598" i="1" s="1"/>
  <c r="AJ598" i="1"/>
  <c r="AK598" i="1"/>
  <c r="AM598" i="1" s="1"/>
  <c r="AI599" i="1"/>
  <c r="AL599" i="1" s="1"/>
  <c r="AJ599" i="1"/>
  <c r="AK599" i="1"/>
  <c r="AM599" i="1" s="1"/>
  <c r="AI600" i="1"/>
  <c r="AL600" i="1" s="1"/>
  <c r="AJ600" i="1"/>
  <c r="AK600" i="1"/>
  <c r="AM600" i="1" s="1"/>
  <c r="AI601" i="1"/>
  <c r="AL601" i="1" s="1"/>
  <c r="AJ601" i="1"/>
  <c r="AK601" i="1"/>
  <c r="AM601" i="1" s="1"/>
  <c r="AI602" i="1"/>
  <c r="AL602" i="1" s="1"/>
  <c r="AJ602" i="1"/>
  <c r="AK602" i="1"/>
  <c r="AM602" i="1" s="1"/>
  <c r="AI603" i="1"/>
  <c r="AL603" i="1" s="1"/>
  <c r="AJ603" i="1"/>
  <c r="AK603" i="1"/>
  <c r="AM603" i="1" s="1"/>
  <c r="AI604" i="1"/>
  <c r="AL604" i="1" s="1"/>
  <c r="AJ604" i="1"/>
  <c r="AK604" i="1"/>
  <c r="AM604" i="1" s="1"/>
  <c r="AI605" i="1"/>
  <c r="AL605" i="1" s="1"/>
  <c r="AJ605" i="1"/>
  <c r="AK605" i="1"/>
  <c r="AM605" i="1" s="1"/>
  <c r="AI606" i="1"/>
  <c r="AL606" i="1" s="1"/>
  <c r="AJ606" i="1"/>
  <c r="AK606" i="1"/>
  <c r="AM606" i="1" s="1"/>
  <c r="AI607" i="1"/>
  <c r="AL607" i="1" s="1"/>
  <c r="AJ607" i="1"/>
  <c r="AK607" i="1"/>
  <c r="AM607" i="1" s="1"/>
  <c r="AI608" i="1"/>
  <c r="AL608" i="1" s="1"/>
  <c r="AJ608" i="1"/>
  <c r="AK608" i="1"/>
  <c r="AM608" i="1" s="1"/>
  <c r="AI609" i="1"/>
  <c r="AL609" i="1" s="1"/>
  <c r="AJ609" i="1"/>
  <c r="AK609" i="1"/>
  <c r="AM609" i="1" s="1"/>
  <c r="AI610" i="1"/>
  <c r="AL610" i="1" s="1"/>
  <c r="AJ610" i="1"/>
  <c r="AK610" i="1"/>
  <c r="AM610" i="1" s="1"/>
  <c r="AI611" i="1"/>
  <c r="AL611" i="1" s="1"/>
  <c r="AJ611" i="1"/>
  <c r="AK611" i="1"/>
  <c r="AM611" i="1" s="1"/>
  <c r="AI612" i="1"/>
  <c r="AL612" i="1" s="1"/>
  <c r="AJ612" i="1"/>
  <c r="AK612" i="1"/>
  <c r="AM612" i="1" s="1"/>
  <c r="AI613" i="1"/>
  <c r="AL613" i="1" s="1"/>
  <c r="AJ613" i="1"/>
  <c r="AK613" i="1"/>
  <c r="AM613" i="1" s="1"/>
  <c r="AI614" i="1"/>
  <c r="AL614" i="1" s="1"/>
  <c r="AJ614" i="1"/>
  <c r="AK614" i="1"/>
  <c r="AM614" i="1" s="1"/>
  <c r="AI615" i="1"/>
  <c r="AL615" i="1" s="1"/>
  <c r="AJ615" i="1"/>
  <c r="AK615" i="1"/>
  <c r="AM615" i="1" s="1"/>
  <c r="AI616" i="1"/>
  <c r="AL616" i="1" s="1"/>
  <c r="AJ616" i="1"/>
  <c r="AK616" i="1"/>
  <c r="AM616" i="1" s="1"/>
  <c r="AI617" i="1"/>
  <c r="AL617" i="1" s="1"/>
  <c r="AJ617" i="1"/>
  <c r="AK617" i="1"/>
  <c r="AM617" i="1" s="1"/>
  <c r="AI618" i="1"/>
  <c r="AL618" i="1" s="1"/>
  <c r="AJ618" i="1"/>
  <c r="AK618" i="1"/>
  <c r="AM618" i="1" s="1"/>
  <c r="AI619" i="1"/>
  <c r="AL619" i="1" s="1"/>
  <c r="AJ619" i="1"/>
  <c r="AK619" i="1"/>
  <c r="AM619" i="1" s="1"/>
  <c r="AI620" i="1"/>
  <c r="AL620" i="1" s="1"/>
  <c r="AJ620" i="1"/>
  <c r="AK620" i="1"/>
  <c r="AM620" i="1" s="1"/>
  <c r="AI621" i="1"/>
  <c r="AL621" i="1" s="1"/>
  <c r="AJ621" i="1"/>
  <c r="AK621" i="1"/>
  <c r="AM621" i="1" s="1"/>
  <c r="AI622" i="1"/>
  <c r="AL622" i="1" s="1"/>
  <c r="AJ622" i="1"/>
  <c r="AK622" i="1"/>
  <c r="AM622" i="1" s="1"/>
  <c r="AI623" i="1"/>
  <c r="AL623" i="1" s="1"/>
  <c r="AJ623" i="1"/>
  <c r="AK623" i="1"/>
  <c r="AM623" i="1" s="1"/>
  <c r="AI624" i="1"/>
  <c r="AL624" i="1" s="1"/>
  <c r="AJ624" i="1"/>
  <c r="AK624" i="1"/>
  <c r="AM624" i="1" s="1"/>
  <c r="AI625" i="1"/>
  <c r="AL625" i="1" s="1"/>
  <c r="AJ625" i="1"/>
  <c r="AK625" i="1"/>
  <c r="AM625" i="1" s="1"/>
  <c r="AI626" i="1"/>
  <c r="AL626" i="1" s="1"/>
  <c r="AJ626" i="1"/>
  <c r="AK626" i="1"/>
  <c r="AM626" i="1" s="1"/>
  <c r="AI627" i="1"/>
  <c r="AL627" i="1" s="1"/>
  <c r="AJ627" i="1"/>
  <c r="AK627" i="1"/>
  <c r="AM627" i="1" s="1"/>
  <c r="AI628" i="1"/>
  <c r="AL628" i="1" s="1"/>
  <c r="AJ628" i="1"/>
  <c r="AK628" i="1"/>
  <c r="AM628" i="1" s="1"/>
  <c r="AI629" i="1"/>
  <c r="AL629" i="1" s="1"/>
  <c r="AJ629" i="1"/>
  <c r="AK629" i="1"/>
  <c r="AM629" i="1" s="1"/>
  <c r="AI630" i="1"/>
  <c r="AL630" i="1" s="1"/>
  <c r="AJ630" i="1"/>
  <c r="AK630" i="1"/>
  <c r="AM630" i="1" s="1"/>
  <c r="AI631" i="1"/>
  <c r="AL631" i="1" s="1"/>
  <c r="AJ631" i="1"/>
  <c r="AK631" i="1"/>
  <c r="AM631" i="1" s="1"/>
  <c r="AI632" i="1"/>
  <c r="AL632" i="1" s="1"/>
  <c r="AJ632" i="1"/>
  <c r="AK632" i="1"/>
  <c r="AM632" i="1" s="1"/>
  <c r="AI633" i="1"/>
  <c r="AL633" i="1" s="1"/>
  <c r="AJ633" i="1"/>
  <c r="AK633" i="1"/>
  <c r="AM633" i="1" s="1"/>
  <c r="AI634" i="1"/>
  <c r="AL634" i="1" s="1"/>
  <c r="AJ634" i="1"/>
  <c r="AK634" i="1"/>
  <c r="AM634" i="1" s="1"/>
  <c r="AI635" i="1"/>
  <c r="AL635" i="1" s="1"/>
  <c r="AJ635" i="1"/>
  <c r="AK635" i="1"/>
  <c r="AM635" i="1" s="1"/>
  <c r="AI636" i="1"/>
  <c r="AL636" i="1" s="1"/>
  <c r="AJ636" i="1"/>
  <c r="AK636" i="1"/>
  <c r="AM636" i="1" s="1"/>
  <c r="AI637" i="1"/>
  <c r="AL637" i="1" s="1"/>
  <c r="AJ637" i="1"/>
  <c r="AK637" i="1"/>
  <c r="AM637" i="1" s="1"/>
  <c r="AI638" i="1"/>
  <c r="AL638" i="1" s="1"/>
  <c r="AJ638" i="1"/>
  <c r="AK638" i="1"/>
  <c r="AM638" i="1" s="1"/>
  <c r="AI639" i="1"/>
  <c r="AL639" i="1" s="1"/>
  <c r="AJ639" i="1"/>
  <c r="AK639" i="1"/>
  <c r="AM639" i="1" s="1"/>
  <c r="AI640" i="1"/>
  <c r="AL640" i="1" s="1"/>
  <c r="AJ640" i="1"/>
  <c r="AK640" i="1"/>
  <c r="AM640" i="1" s="1"/>
  <c r="AI641" i="1"/>
  <c r="AL641" i="1" s="1"/>
  <c r="AJ641" i="1"/>
  <c r="AK641" i="1"/>
  <c r="AM641" i="1" s="1"/>
  <c r="AI642" i="1"/>
  <c r="AL642" i="1" s="1"/>
  <c r="AJ642" i="1"/>
  <c r="AK642" i="1"/>
  <c r="AM642" i="1" s="1"/>
  <c r="AI643" i="1"/>
  <c r="AL643" i="1" s="1"/>
  <c r="AJ643" i="1"/>
  <c r="AK643" i="1"/>
  <c r="AM643" i="1" s="1"/>
  <c r="AI644" i="1"/>
  <c r="AL644" i="1" s="1"/>
  <c r="AJ644" i="1"/>
  <c r="AK644" i="1"/>
  <c r="AM644" i="1" s="1"/>
  <c r="AI645" i="1"/>
  <c r="AL645" i="1" s="1"/>
  <c r="AJ645" i="1"/>
  <c r="AK645" i="1"/>
  <c r="AM645" i="1" s="1"/>
  <c r="AI646" i="1"/>
  <c r="AL646" i="1" s="1"/>
  <c r="AJ646" i="1"/>
  <c r="AK646" i="1"/>
  <c r="AM646" i="1" s="1"/>
  <c r="AI647" i="1"/>
  <c r="AL647" i="1" s="1"/>
  <c r="AJ647" i="1"/>
  <c r="AK647" i="1"/>
  <c r="AM647" i="1" s="1"/>
  <c r="AI648" i="1"/>
  <c r="AL648" i="1" s="1"/>
  <c r="AJ648" i="1"/>
  <c r="AK648" i="1"/>
  <c r="AM648" i="1" s="1"/>
  <c r="AI649" i="1"/>
  <c r="AL649" i="1" s="1"/>
  <c r="AJ649" i="1"/>
  <c r="AK649" i="1"/>
  <c r="AM649" i="1" s="1"/>
  <c r="AI650" i="1"/>
  <c r="AL650" i="1" s="1"/>
  <c r="AJ650" i="1"/>
  <c r="AK650" i="1"/>
  <c r="AM650" i="1" s="1"/>
  <c r="AI651" i="1"/>
  <c r="AL651" i="1" s="1"/>
  <c r="AJ651" i="1"/>
  <c r="AK651" i="1"/>
  <c r="AM651" i="1" s="1"/>
  <c r="AI652" i="1"/>
  <c r="AL652" i="1" s="1"/>
  <c r="AJ652" i="1"/>
  <c r="AK652" i="1"/>
  <c r="AM652" i="1" s="1"/>
  <c r="AI653" i="1"/>
  <c r="AL653" i="1" s="1"/>
  <c r="AJ653" i="1"/>
  <c r="AK653" i="1"/>
  <c r="AM653" i="1" s="1"/>
  <c r="AI654" i="1"/>
  <c r="AL654" i="1" s="1"/>
  <c r="AJ654" i="1"/>
  <c r="AK654" i="1"/>
  <c r="AM654" i="1" s="1"/>
  <c r="AI655" i="1"/>
  <c r="AL655" i="1" s="1"/>
  <c r="AJ655" i="1"/>
  <c r="AK655" i="1"/>
  <c r="AM655" i="1" s="1"/>
  <c r="AI656" i="1"/>
  <c r="AL656" i="1" s="1"/>
  <c r="AJ656" i="1"/>
  <c r="AK656" i="1"/>
  <c r="AM656" i="1" s="1"/>
  <c r="AI657" i="1"/>
  <c r="AL657" i="1" s="1"/>
  <c r="AJ657" i="1"/>
  <c r="AK657" i="1"/>
  <c r="AM657" i="1" s="1"/>
  <c r="AI658" i="1"/>
  <c r="AL658" i="1" s="1"/>
  <c r="AJ658" i="1"/>
  <c r="AK658" i="1"/>
  <c r="AM658" i="1" s="1"/>
  <c r="AI659" i="1"/>
  <c r="AL659" i="1" s="1"/>
  <c r="AJ659" i="1"/>
  <c r="AK659" i="1"/>
  <c r="AM659" i="1" s="1"/>
  <c r="AI660" i="1"/>
  <c r="AL660" i="1" s="1"/>
  <c r="AJ660" i="1"/>
  <c r="AK660" i="1"/>
  <c r="AM660" i="1" s="1"/>
  <c r="AI661" i="1"/>
  <c r="AL661" i="1" s="1"/>
  <c r="AJ661" i="1"/>
  <c r="AK661" i="1"/>
  <c r="AM661" i="1" s="1"/>
  <c r="AI662" i="1"/>
  <c r="AL662" i="1" s="1"/>
  <c r="AJ662" i="1"/>
  <c r="AK662" i="1"/>
  <c r="AM662" i="1" s="1"/>
  <c r="AI663" i="1"/>
  <c r="AL663" i="1" s="1"/>
  <c r="AJ663" i="1"/>
  <c r="AK663" i="1"/>
  <c r="AM663" i="1" s="1"/>
  <c r="AI664" i="1"/>
  <c r="AL664" i="1" s="1"/>
  <c r="AJ664" i="1"/>
  <c r="AK664" i="1"/>
  <c r="AM664" i="1" s="1"/>
  <c r="AI665" i="1"/>
  <c r="AL665" i="1" s="1"/>
  <c r="AJ665" i="1"/>
  <c r="AK665" i="1"/>
  <c r="AM665" i="1" s="1"/>
  <c r="AI666" i="1"/>
  <c r="AL666" i="1" s="1"/>
  <c r="AJ666" i="1"/>
  <c r="AK666" i="1"/>
  <c r="AM666" i="1" s="1"/>
  <c r="AI667" i="1"/>
  <c r="AL667" i="1" s="1"/>
  <c r="AJ667" i="1"/>
  <c r="AK667" i="1"/>
  <c r="AM667" i="1" s="1"/>
  <c r="AI668" i="1"/>
  <c r="AL668" i="1" s="1"/>
  <c r="AJ668" i="1"/>
  <c r="AK668" i="1"/>
  <c r="AM668" i="1" s="1"/>
  <c r="AI669" i="1"/>
  <c r="AL669" i="1" s="1"/>
  <c r="AJ669" i="1"/>
  <c r="AK669" i="1"/>
  <c r="AM669" i="1" s="1"/>
  <c r="AI670" i="1"/>
  <c r="AL670" i="1" s="1"/>
  <c r="AJ670" i="1"/>
  <c r="AK670" i="1"/>
  <c r="AM670" i="1" s="1"/>
  <c r="AI671" i="1"/>
  <c r="AL671" i="1" s="1"/>
  <c r="AJ671" i="1"/>
  <c r="AK671" i="1"/>
  <c r="AM671" i="1" s="1"/>
  <c r="AI672" i="1"/>
  <c r="AL672" i="1" s="1"/>
  <c r="AJ672" i="1"/>
  <c r="AK672" i="1"/>
  <c r="AM672" i="1" s="1"/>
  <c r="AI673" i="1"/>
  <c r="AL673" i="1" s="1"/>
  <c r="AJ673" i="1"/>
  <c r="AK673" i="1"/>
  <c r="AM673" i="1" s="1"/>
  <c r="AI674" i="1"/>
  <c r="AL674" i="1" s="1"/>
  <c r="AJ674" i="1"/>
  <c r="AK674" i="1"/>
  <c r="AM674" i="1" s="1"/>
  <c r="AI675" i="1"/>
  <c r="AL675" i="1" s="1"/>
  <c r="AJ675" i="1"/>
  <c r="AK675" i="1"/>
  <c r="AM675" i="1" s="1"/>
  <c r="AI676" i="1"/>
  <c r="AL676" i="1" s="1"/>
  <c r="AJ676" i="1"/>
  <c r="AK676" i="1"/>
  <c r="AM676" i="1" s="1"/>
  <c r="AI677" i="1"/>
  <c r="AL677" i="1" s="1"/>
  <c r="AJ677" i="1"/>
  <c r="AK677" i="1"/>
  <c r="AM677" i="1" s="1"/>
  <c r="AI678" i="1"/>
  <c r="AL678" i="1" s="1"/>
  <c r="AJ678" i="1"/>
  <c r="AK678" i="1"/>
  <c r="AM678" i="1" s="1"/>
  <c r="AI679" i="1"/>
  <c r="AL679" i="1" s="1"/>
  <c r="AJ679" i="1"/>
  <c r="AK679" i="1"/>
  <c r="AM679" i="1" s="1"/>
  <c r="AI680" i="1"/>
  <c r="AL680" i="1" s="1"/>
  <c r="AJ680" i="1"/>
  <c r="AK680" i="1"/>
  <c r="AM680" i="1" s="1"/>
  <c r="AI681" i="1"/>
  <c r="AL681" i="1" s="1"/>
  <c r="AJ681" i="1"/>
  <c r="AK681" i="1"/>
  <c r="AM681" i="1" s="1"/>
  <c r="AI682" i="1"/>
  <c r="AL682" i="1" s="1"/>
  <c r="AJ682" i="1"/>
  <c r="AK682" i="1"/>
  <c r="AM682" i="1" s="1"/>
  <c r="C8" i="3"/>
  <c r="E8" i="3" s="1"/>
  <c r="F23" i="5" l="1"/>
  <c r="C29" i="5"/>
  <c r="C28" i="5"/>
  <c r="C27" i="5"/>
  <c r="C26" i="5"/>
  <c r="C25" i="5"/>
  <c r="C24" i="5"/>
  <c r="E24" i="5" s="1"/>
  <c r="C23" i="5"/>
  <c r="E23" i="5" s="1"/>
  <c r="C22" i="5"/>
  <c r="C21" i="5"/>
  <c r="C20" i="5"/>
  <c r="C19" i="5"/>
  <c r="C18" i="5"/>
  <c r="C17" i="5"/>
  <c r="E17" i="5" s="1"/>
  <c r="C16" i="5"/>
  <c r="E16" i="5" s="1"/>
  <c r="C15" i="5"/>
  <c r="C14" i="5"/>
  <c r="C13" i="5"/>
  <c r="C12" i="5"/>
  <c r="C11" i="5"/>
  <c r="C10" i="5"/>
  <c r="E10" i="5" s="1"/>
  <c r="C9" i="5"/>
  <c r="E9" i="5" s="1"/>
  <c r="C8" i="5"/>
  <c r="C7" i="5"/>
  <c r="C6" i="5"/>
  <c r="C5" i="5"/>
  <c r="C4" i="5"/>
  <c r="C3" i="5"/>
  <c r="E3" i="5" s="1"/>
  <c r="C2" i="5"/>
  <c r="E2" i="5" s="1"/>
  <c r="C3" i="4"/>
  <c r="F3" i="4" s="1"/>
  <c r="D3" i="4"/>
  <c r="E3" i="4"/>
  <c r="G3" i="4" s="1"/>
  <c r="C4" i="4"/>
  <c r="F4" i="4" s="1"/>
  <c r="D4" i="4"/>
  <c r="E4" i="4"/>
  <c r="G4" i="4" s="1"/>
  <c r="C5" i="4"/>
  <c r="F5" i="4" s="1"/>
  <c r="D5" i="4"/>
  <c r="E5" i="4"/>
  <c r="G5" i="4" s="1"/>
  <c r="C6" i="4"/>
  <c r="F6" i="4" s="1"/>
  <c r="D6" i="4"/>
  <c r="E6" i="4"/>
  <c r="G6" i="4" s="1"/>
  <c r="C7" i="4"/>
  <c r="D7" i="4"/>
  <c r="E7" i="4"/>
  <c r="G7" i="4" s="1"/>
  <c r="F7" i="4"/>
  <c r="C8" i="4"/>
  <c r="F8" i="4" s="1"/>
  <c r="D8" i="4"/>
  <c r="E8" i="4"/>
  <c r="G8" i="4" s="1"/>
  <c r="C9" i="4"/>
  <c r="F9" i="4" s="1"/>
  <c r="D9" i="4"/>
  <c r="E9" i="4"/>
  <c r="G9" i="4" s="1"/>
  <c r="C10" i="4"/>
  <c r="F10" i="4" s="1"/>
  <c r="D10" i="4"/>
  <c r="E10" i="4"/>
  <c r="G10" i="4" s="1"/>
  <c r="C11" i="4"/>
  <c r="F11" i="4" s="1"/>
  <c r="D11" i="4"/>
  <c r="E11" i="4"/>
  <c r="G11" i="4" s="1"/>
  <c r="C12" i="4"/>
  <c r="D12" i="4"/>
  <c r="E12" i="4"/>
  <c r="G12" i="4" s="1"/>
  <c r="F12" i="4"/>
  <c r="C13" i="4"/>
  <c r="F13" i="4" s="1"/>
  <c r="D13" i="4"/>
  <c r="E13" i="4"/>
  <c r="G13" i="4" s="1"/>
  <c r="C14" i="4"/>
  <c r="F14" i="4" s="1"/>
  <c r="D14" i="4"/>
  <c r="E14" i="4"/>
  <c r="G14" i="4" s="1"/>
  <c r="C15" i="4"/>
  <c r="F15" i="4" s="1"/>
  <c r="D15" i="4"/>
  <c r="E15" i="4"/>
  <c r="G15" i="4"/>
  <c r="C16" i="4"/>
  <c r="F16" i="4" s="1"/>
  <c r="D16" i="4"/>
  <c r="E16" i="4"/>
  <c r="G16" i="4" s="1"/>
  <c r="C17" i="4"/>
  <c r="F17" i="4" s="1"/>
  <c r="D17" i="4"/>
  <c r="E17" i="4"/>
  <c r="G17" i="4" s="1"/>
  <c r="C18" i="4"/>
  <c r="F18" i="4" s="1"/>
  <c r="D18" i="4"/>
  <c r="E18" i="4"/>
  <c r="G18" i="4" s="1"/>
  <c r="C19" i="4"/>
  <c r="F19" i="4" s="1"/>
  <c r="D19" i="4"/>
  <c r="E19" i="4"/>
  <c r="G19" i="4" s="1"/>
  <c r="C20" i="4"/>
  <c r="F20" i="4" s="1"/>
  <c r="D20" i="4"/>
  <c r="E20" i="4"/>
  <c r="G20" i="4" s="1"/>
  <c r="C21" i="4"/>
  <c r="F21" i="4" s="1"/>
  <c r="D21" i="4"/>
  <c r="E21" i="4"/>
  <c r="G21" i="4" s="1"/>
  <c r="C22" i="4"/>
  <c r="F22" i="4" s="1"/>
  <c r="D22" i="4"/>
  <c r="E22" i="4"/>
  <c r="G22" i="4" s="1"/>
  <c r="C23" i="4"/>
  <c r="D23" i="4"/>
  <c r="E23" i="4"/>
  <c r="G23" i="4" s="1"/>
  <c r="F23" i="4"/>
  <c r="C24" i="4"/>
  <c r="F24" i="4" s="1"/>
  <c r="D24" i="4"/>
  <c r="E24" i="4"/>
  <c r="G24" i="4" s="1"/>
  <c r="C25" i="4"/>
  <c r="D25" i="4"/>
  <c r="E25" i="4"/>
  <c r="G25" i="4" s="1"/>
  <c r="F25" i="4"/>
  <c r="C26" i="4"/>
  <c r="F26" i="4" s="1"/>
  <c r="D26" i="4"/>
  <c r="E26" i="4"/>
  <c r="G26" i="4" s="1"/>
  <c r="C27" i="4"/>
  <c r="F27" i="4" s="1"/>
  <c r="D27" i="4"/>
  <c r="E27" i="4"/>
  <c r="G27" i="4" s="1"/>
  <c r="C28" i="4"/>
  <c r="F28" i="4" s="1"/>
  <c r="D28" i="4"/>
  <c r="E28" i="4"/>
  <c r="G28" i="4" s="1"/>
  <c r="C29" i="4"/>
  <c r="F29" i="4" s="1"/>
  <c r="D29" i="4"/>
  <c r="E29" i="4"/>
  <c r="G29" i="4" s="1"/>
  <c r="C30" i="4"/>
  <c r="F30" i="4" s="1"/>
  <c r="D30" i="4"/>
  <c r="E30" i="4"/>
  <c r="G30" i="4" s="1"/>
  <c r="C31" i="4"/>
  <c r="F31" i="4" s="1"/>
  <c r="D31" i="4"/>
  <c r="E31" i="4"/>
  <c r="G31" i="4" s="1"/>
  <c r="C32" i="4"/>
  <c r="F32" i="4" s="1"/>
  <c r="D32" i="4"/>
  <c r="E32" i="4"/>
  <c r="G32" i="4" s="1"/>
  <c r="C33" i="4"/>
  <c r="F33" i="4" s="1"/>
  <c r="D33" i="4"/>
  <c r="E33" i="4"/>
  <c r="G33" i="4" s="1"/>
  <c r="C34" i="4"/>
  <c r="F34" i="4" s="1"/>
  <c r="D34" i="4"/>
  <c r="E34" i="4"/>
  <c r="G34" i="4" s="1"/>
  <c r="C35" i="4"/>
  <c r="F35" i="4" s="1"/>
  <c r="D35" i="4"/>
  <c r="E35" i="4"/>
  <c r="G35" i="4" s="1"/>
  <c r="C36" i="4"/>
  <c r="F36" i="4" s="1"/>
  <c r="D36" i="4"/>
  <c r="E36" i="4"/>
  <c r="G36" i="4" s="1"/>
  <c r="C37" i="4"/>
  <c r="F37" i="4" s="1"/>
  <c r="D37" i="4"/>
  <c r="E37" i="4"/>
  <c r="G37" i="4" s="1"/>
  <c r="C38" i="4"/>
  <c r="F38" i="4" s="1"/>
  <c r="D38" i="4"/>
  <c r="E38" i="4"/>
  <c r="G38" i="4" s="1"/>
  <c r="C39" i="4"/>
  <c r="F39" i="4" s="1"/>
  <c r="D39" i="4"/>
  <c r="E39" i="4"/>
  <c r="G39" i="4" s="1"/>
  <c r="C40" i="4"/>
  <c r="F40" i="4" s="1"/>
  <c r="D40" i="4"/>
  <c r="E40" i="4"/>
  <c r="G40" i="4" s="1"/>
  <c r="C41" i="4"/>
  <c r="F41" i="4" s="1"/>
  <c r="D41" i="4"/>
  <c r="E41" i="4"/>
  <c r="G41" i="4" s="1"/>
  <c r="C42" i="4"/>
  <c r="F42" i="4" s="1"/>
  <c r="D42" i="4"/>
  <c r="E42" i="4"/>
  <c r="G42" i="4" s="1"/>
  <c r="C43" i="4"/>
  <c r="F43" i="4" s="1"/>
  <c r="D43" i="4"/>
  <c r="E43" i="4"/>
  <c r="G43" i="4" s="1"/>
  <c r="C44" i="4"/>
  <c r="F44" i="4" s="1"/>
  <c r="D44" i="4"/>
  <c r="E44" i="4"/>
  <c r="G44" i="4" s="1"/>
  <c r="C45" i="4"/>
  <c r="D45" i="4"/>
  <c r="E45" i="4"/>
  <c r="G45" i="4" s="1"/>
  <c r="F45" i="4"/>
  <c r="C46" i="4"/>
  <c r="F46" i="4" s="1"/>
  <c r="D46" i="4"/>
  <c r="E46" i="4"/>
  <c r="G46" i="4" s="1"/>
  <c r="C47" i="4"/>
  <c r="F47" i="4" s="1"/>
  <c r="D47" i="4"/>
  <c r="E47" i="4"/>
  <c r="G47" i="4" s="1"/>
  <c r="C48" i="4"/>
  <c r="F48" i="4" s="1"/>
  <c r="D48" i="4"/>
  <c r="E48" i="4"/>
  <c r="G48" i="4" s="1"/>
  <c r="C49" i="4"/>
  <c r="F49" i="4" s="1"/>
  <c r="D49" i="4"/>
  <c r="E49" i="4"/>
  <c r="G49" i="4" s="1"/>
  <c r="C50" i="4"/>
  <c r="F50" i="4" s="1"/>
  <c r="D50" i="4"/>
  <c r="E50" i="4"/>
  <c r="G50" i="4" s="1"/>
  <c r="C51" i="4"/>
  <c r="F51" i="4" s="1"/>
  <c r="D51" i="4"/>
  <c r="E51" i="4"/>
  <c r="G51" i="4" s="1"/>
  <c r="C52" i="4"/>
  <c r="D52" i="4"/>
  <c r="E52" i="4"/>
  <c r="G52" i="4" s="1"/>
  <c r="F52" i="4"/>
  <c r="C53" i="4"/>
  <c r="F53" i="4" s="1"/>
  <c r="D53" i="4"/>
  <c r="E53" i="4"/>
  <c r="G53" i="4" s="1"/>
  <c r="C54" i="4"/>
  <c r="F54" i="4" s="1"/>
  <c r="D54" i="4"/>
  <c r="E54" i="4"/>
  <c r="G54" i="4" s="1"/>
  <c r="C55" i="4"/>
  <c r="F55" i="4" s="1"/>
  <c r="D55" i="4"/>
  <c r="E55" i="4"/>
  <c r="G55" i="4"/>
  <c r="C56" i="4"/>
  <c r="F56" i="4" s="1"/>
  <c r="D56" i="4"/>
  <c r="E56" i="4"/>
  <c r="G56" i="4"/>
  <c r="C57" i="4"/>
  <c r="F57" i="4" s="1"/>
  <c r="D57" i="4"/>
  <c r="E57" i="4"/>
  <c r="G57" i="4" s="1"/>
  <c r="C58" i="4"/>
  <c r="F58" i="4" s="1"/>
  <c r="D58" i="4"/>
  <c r="E58" i="4"/>
  <c r="G58" i="4" s="1"/>
  <c r="C59" i="4"/>
  <c r="F59" i="4" s="1"/>
  <c r="D59" i="4"/>
  <c r="E59" i="4"/>
  <c r="G59" i="4" s="1"/>
  <c r="C60" i="4"/>
  <c r="D60" i="4"/>
  <c r="E60" i="4"/>
  <c r="G60" i="4" s="1"/>
  <c r="F60" i="4"/>
  <c r="C61" i="4"/>
  <c r="F61" i="4" s="1"/>
  <c r="D61" i="4"/>
  <c r="E61" i="4"/>
  <c r="G61" i="4" s="1"/>
  <c r="C62" i="4"/>
  <c r="F62" i="4" s="1"/>
  <c r="D62" i="4"/>
  <c r="E62" i="4"/>
  <c r="G62" i="4" s="1"/>
  <c r="C63" i="4"/>
  <c r="F63" i="4" s="1"/>
  <c r="D63" i="4"/>
  <c r="E63" i="4"/>
  <c r="G63" i="4" s="1"/>
  <c r="C64" i="4"/>
  <c r="F64" i="4" s="1"/>
  <c r="D64" i="4"/>
  <c r="E64" i="4"/>
  <c r="G64" i="4" s="1"/>
  <c r="C65" i="4"/>
  <c r="F65" i="4" s="1"/>
  <c r="D65" i="4"/>
  <c r="E65" i="4"/>
  <c r="G65" i="4" s="1"/>
  <c r="C66" i="4"/>
  <c r="F66" i="4" s="1"/>
  <c r="D66" i="4"/>
  <c r="E66" i="4"/>
  <c r="G66" i="4" s="1"/>
  <c r="C67" i="4"/>
  <c r="F67" i="4" s="1"/>
  <c r="D67" i="4"/>
  <c r="E67" i="4"/>
  <c r="G67" i="4" s="1"/>
  <c r="C68" i="4"/>
  <c r="F68" i="4" s="1"/>
  <c r="D68" i="4"/>
  <c r="E68" i="4"/>
  <c r="G68" i="4" s="1"/>
  <c r="C69" i="4"/>
  <c r="F69" i="4" s="1"/>
  <c r="D69" i="4"/>
  <c r="E69" i="4"/>
  <c r="G69" i="4" s="1"/>
  <c r="C70" i="4"/>
  <c r="F70" i="4" s="1"/>
  <c r="D70" i="4"/>
  <c r="E70" i="4"/>
  <c r="G70" i="4" s="1"/>
  <c r="C71" i="4"/>
  <c r="F71" i="4" s="1"/>
  <c r="D71" i="4"/>
  <c r="E71" i="4"/>
  <c r="G71" i="4" s="1"/>
  <c r="C72" i="4"/>
  <c r="F72" i="4" s="1"/>
  <c r="D72" i="4"/>
  <c r="E72" i="4"/>
  <c r="G72" i="4" s="1"/>
  <c r="C73" i="4"/>
  <c r="F73" i="4" s="1"/>
  <c r="D73" i="4"/>
  <c r="E73" i="4"/>
  <c r="G73" i="4" s="1"/>
  <c r="C74" i="4"/>
  <c r="F74" i="4" s="1"/>
  <c r="D74" i="4"/>
  <c r="E74" i="4"/>
  <c r="G74" i="4" s="1"/>
  <c r="C75" i="4"/>
  <c r="F75" i="4" s="1"/>
  <c r="D75" i="4"/>
  <c r="E75" i="4"/>
  <c r="G75" i="4" s="1"/>
  <c r="C76" i="4"/>
  <c r="F76" i="4" s="1"/>
  <c r="D76" i="4"/>
  <c r="E76" i="4"/>
  <c r="G76" i="4" s="1"/>
  <c r="C77" i="4"/>
  <c r="F77" i="4" s="1"/>
  <c r="D77" i="4"/>
  <c r="E77" i="4"/>
  <c r="G77" i="4" s="1"/>
  <c r="C78" i="4"/>
  <c r="F78" i="4" s="1"/>
  <c r="D78" i="4"/>
  <c r="E78" i="4"/>
  <c r="G78" i="4" s="1"/>
  <c r="C79" i="4"/>
  <c r="F79" i="4" s="1"/>
  <c r="D79" i="4"/>
  <c r="E79" i="4"/>
  <c r="G79" i="4" s="1"/>
  <c r="C80" i="4"/>
  <c r="F80" i="4" s="1"/>
  <c r="D80" i="4"/>
  <c r="E80" i="4"/>
  <c r="G80" i="4" s="1"/>
  <c r="C81" i="4"/>
  <c r="F81" i="4" s="1"/>
  <c r="D81" i="4"/>
  <c r="E81" i="4"/>
  <c r="G81" i="4" s="1"/>
  <c r="C82" i="4"/>
  <c r="F82" i="4" s="1"/>
  <c r="D82" i="4"/>
  <c r="E82" i="4"/>
  <c r="G82" i="4"/>
  <c r="C83" i="4"/>
  <c r="F83" i="4" s="1"/>
  <c r="D83" i="4"/>
  <c r="E83" i="4"/>
  <c r="G83" i="4" s="1"/>
  <c r="C84" i="4"/>
  <c r="F84" i="4" s="1"/>
  <c r="D84" i="4"/>
  <c r="E84" i="4"/>
  <c r="G84" i="4" s="1"/>
  <c r="C85" i="4"/>
  <c r="D85" i="4"/>
  <c r="E85" i="4"/>
  <c r="G85" i="4" s="1"/>
  <c r="F85" i="4"/>
  <c r="C86" i="4"/>
  <c r="F86" i="4" s="1"/>
  <c r="D86" i="4"/>
  <c r="E86" i="4"/>
  <c r="G86" i="4" s="1"/>
  <c r="C87" i="4"/>
  <c r="D87" i="4"/>
  <c r="E87" i="4"/>
  <c r="G87" i="4" s="1"/>
  <c r="F87" i="4"/>
  <c r="C88" i="4"/>
  <c r="F88" i="4" s="1"/>
  <c r="D88" i="4"/>
  <c r="E88" i="4"/>
  <c r="G88" i="4" s="1"/>
  <c r="C89" i="4"/>
  <c r="F89" i="4" s="1"/>
  <c r="D89" i="4"/>
  <c r="E89" i="4"/>
  <c r="G89" i="4" s="1"/>
  <c r="C90" i="4"/>
  <c r="F90" i="4" s="1"/>
  <c r="D90" i="4"/>
  <c r="E90" i="4"/>
  <c r="G90" i="4" s="1"/>
  <c r="C91" i="4"/>
  <c r="F91" i="4" s="1"/>
  <c r="D91" i="4"/>
  <c r="E91" i="4"/>
  <c r="G91" i="4" s="1"/>
  <c r="C92" i="4"/>
  <c r="F92" i="4" s="1"/>
  <c r="D92" i="4"/>
  <c r="E92" i="4"/>
  <c r="G92" i="4" s="1"/>
  <c r="C93" i="4"/>
  <c r="F93" i="4" s="1"/>
  <c r="D93" i="4"/>
  <c r="E93" i="4"/>
  <c r="G93" i="4" s="1"/>
  <c r="C94" i="4"/>
  <c r="F94" i="4" s="1"/>
  <c r="D94" i="4"/>
  <c r="E94" i="4"/>
  <c r="G94" i="4" s="1"/>
  <c r="C95" i="4"/>
  <c r="F95" i="4" s="1"/>
  <c r="D95" i="4"/>
  <c r="E95" i="4"/>
  <c r="G95" i="4" s="1"/>
  <c r="C96" i="4"/>
  <c r="F96" i="4" s="1"/>
  <c r="D96" i="4"/>
  <c r="E96" i="4"/>
  <c r="G96" i="4"/>
  <c r="C97" i="4"/>
  <c r="F97" i="4" s="1"/>
  <c r="D97" i="4"/>
  <c r="E97" i="4"/>
  <c r="G97" i="4" s="1"/>
  <c r="C98" i="4"/>
  <c r="F98" i="4" s="1"/>
  <c r="D98" i="4"/>
  <c r="E98" i="4"/>
  <c r="G98" i="4" s="1"/>
  <c r="C99" i="4"/>
  <c r="F99" i="4" s="1"/>
  <c r="D99" i="4"/>
  <c r="E99" i="4"/>
  <c r="G99" i="4" s="1"/>
  <c r="C100" i="4"/>
  <c r="F100" i="4" s="1"/>
  <c r="D100" i="4"/>
  <c r="E100" i="4"/>
  <c r="G100" i="4" s="1"/>
  <c r="C101" i="4"/>
  <c r="F101" i="4" s="1"/>
  <c r="D101" i="4"/>
  <c r="E101" i="4"/>
  <c r="G101" i="4" s="1"/>
  <c r="C102" i="4"/>
  <c r="F102" i="4" s="1"/>
  <c r="D102" i="4"/>
  <c r="E102" i="4"/>
  <c r="G102" i="4" s="1"/>
  <c r="C103" i="4"/>
  <c r="F103" i="4" s="1"/>
  <c r="D103" i="4"/>
  <c r="E103" i="4"/>
  <c r="G103" i="4" s="1"/>
  <c r="C104" i="4"/>
  <c r="F104" i="4" s="1"/>
  <c r="D104" i="4"/>
  <c r="E104" i="4"/>
  <c r="G104" i="4" s="1"/>
  <c r="C105" i="4"/>
  <c r="F105" i="4" s="1"/>
  <c r="D105" i="4"/>
  <c r="E105" i="4"/>
  <c r="G105" i="4" s="1"/>
  <c r="C106" i="4"/>
  <c r="F106" i="4" s="1"/>
  <c r="D106" i="4"/>
  <c r="E106" i="4"/>
  <c r="G106" i="4" s="1"/>
  <c r="C107" i="4"/>
  <c r="F107" i="4" s="1"/>
  <c r="D107" i="4"/>
  <c r="E107" i="4"/>
  <c r="G107" i="4" s="1"/>
  <c r="C108" i="4"/>
  <c r="F108" i="4" s="1"/>
  <c r="D108" i="4"/>
  <c r="E108" i="4"/>
  <c r="G108" i="4" s="1"/>
  <c r="C109" i="4"/>
  <c r="D109" i="4"/>
  <c r="E109" i="4"/>
  <c r="G109" i="4" s="1"/>
  <c r="F109" i="4"/>
  <c r="C110" i="4"/>
  <c r="F110" i="4" s="1"/>
  <c r="D110" i="4"/>
  <c r="E110" i="4"/>
  <c r="G110" i="4" s="1"/>
  <c r="C111" i="4"/>
  <c r="F111" i="4" s="1"/>
  <c r="D111" i="4"/>
  <c r="E111" i="4"/>
  <c r="G111" i="4"/>
  <c r="C112" i="4"/>
  <c r="F112" i="4" s="1"/>
  <c r="D112" i="4"/>
  <c r="E112" i="4"/>
  <c r="G112" i="4" s="1"/>
  <c r="C113" i="4"/>
  <c r="F113" i="4" s="1"/>
  <c r="D113" i="4"/>
  <c r="E113" i="4"/>
  <c r="G113" i="4" s="1"/>
  <c r="C114" i="4"/>
  <c r="F114" i="4" s="1"/>
  <c r="D114" i="4"/>
  <c r="E114" i="4"/>
  <c r="G114" i="4" s="1"/>
  <c r="C115" i="4"/>
  <c r="F115" i="4" s="1"/>
  <c r="D115" i="4"/>
  <c r="E115" i="4"/>
  <c r="G115" i="4" s="1"/>
  <c r="C116" i="4"/>
  <c r="D116" i="4"/>
  <c r="E116" i="4"/>
  <c r="G116" i="4" s="1"/>
  <c r="F116" i="4"/>
  <c r="C117" i="4"/>
  <c r="F117" i="4" s="1"/>
  <c r="D117" i="4"/>
  <c r="E117" i="4"/>
  <c r="G117" i="4" s="1"/>
  <c r="C118" i="4"/>
  <c r="F118" i="4" s="1"/>
  <c r="D118" i="4"/>
  <c r="E118" i="4"/>
  <c r="G118" i="4" s="1"/>
  <c r="C119" i="4"/>
  <c r="F119" i="4" s="1"/>
  <c r="D119" i="4"/>
  <c r="E119" i="4"/>
  <c r="G119" i="4" s="1"/>
  <c r="C120" i="4"/>
  <c r="F120" i="4" s="1"/>
  <c r="D120" i="4"/>
  <c r="E120" i="4"/>
  <c r="G120" i="4" s="1"/>
  <c r="C121" i="4"/>
  <c r="F121" i="4" s="1"/>
  <c r="D121" i="4"/>
  <c r="E121" i="4"/>
  <c r="G121" i="4" s="1"/>
  <c r="C122" i="4"/>
  <c r="F122" i="4" s="1"/>
  <c r="D122" i="4"/>
  <c r="E122" i="4"/>
  <c r="G122" i="4" s="1"/>
  <c r="C123" i="4"/>
  <c r="F123" i="4" s="1"/>
  <c r="D123" i="4"/>
  <c r="E123" i="4"/>
  <c r="G123" i="4" s="1"/>
  <c r="C124" i="4"/>
  <c r="D124" i="4"/>
  <c r="E124" i="4"/>
  <c r="G124" i="4" s="1"/>
  <c r="F124" i="4"/>
  <c r="C125" i="4"/>
  <c r="F125" i="4" s="1"/>
  <c r="D125" i="4"/>
  <c r="E125" i="4"/>
  <c r="G125" i="4" s="1"/>
  <c r="C126" i="4"/>
  <c r="F126" i="4" s="1"/>
  <c r="D126" i="4"/>
  <c r="E126" i="4"/>
  <c r="G126" i="4" s="1"/>
  <c r="C127" i="4"/>
  <c r="F127" i="4" s="1"/>
  <c r="D127" i="4"/>
  <c r="E127" i="4"/>
  <c r="G127" i="4" s="1"/>
  <c r="C128" i="4"/>
  <c r="F128" i="4" s="1"/>
  <c r="D128" i="4"/>
  <c r="E128" i="4"/>
  <c r="G128" i="4" s="1"/>
  <c r="C129" i="4"/>
  <c r="F129" i="4" s="1"/>
  <c r="D129" i="4"/>
  <c r="E129" i="4"/>
  <c r="G129" i="4" s="1"/>
  <c r="C130" i="4"/>
  <c r="F130" i="4" s="1"/>
  <c r="D130" i="4"/>
  <c r="E130" i="4"/>
  <c r="G130" i="4" s="1"/>
  <c r="C131" i="4"/>
  <c r="F131" i="4" s="1"/>
  <c r="D131" i="4"/>
  <c r="E131" i="4"/>
  <c r="G131" i="4" s="1"/>
  <c r="C132" i="4"/>
  <c r="F132" i="4" s="1"/>
  <c r="D132" i="4"/>
  <c r="E132" i="4"/>
  <c r="G132" i="4" s="1"/>
  <c r="C133" i="4"/>
  <c r="F133" i="4" s="1"/>
  <c r="D133" i="4"/>
  <c r="E133" i="4"/>
  <c r="G133" i="4" s="1"/>
  <c r="C134" i="4"/>
  <c r="F134" i="4" s="1"/>
  <c r="D134" i="4"/>
  <c r="E134" i="4"/>
  <c r="G134" i="4" s="1"/>
  <c r="C135" i="4"/>
  <c r="F135" i="4" s="1"/>
  <c r="D135" i="4"/>
  <c r="E135" i="4"/>
  <c r="G135" i="4" s="1"/>
  <c r="C136" i="4"/>
  <c r="F136" i="4" s="1"/>
  <c r="D136" i="4"/>
  <c r="E136" i="4"/>
  <c r="G136" i="4" s="1"/>
  <c r="C137" i="4"/>
  <c r="F137" i="4" s="1"/>
  <c r="D137" i="4"/>
  <c r="E137" i="4"/>
  <c r="G137" i="4" s="1"/>
  <c r="C138" i="4"/>
  <c r="F138" i="4" s="1"/>
  <c r="D138" i="4"/>
  <c r="E138" i="4"/>
  <c r="G138" i="4" s="1"/>
  <c r="C139" i="4"/>
  <c r="F139" i="4" s="1"/>
  <c r="D139" i="4"/>
  <c r="E139" i="4"/>
  <c r="G139" i="4" s="1"/>
  <c r="C140" i="4"/>
  <c r="F140" i="4" s="1"/>
  <c r="D140" i="4"/>
  <c r="E140" i="4"/>
  <c r="G140" i="4" s="1"/>
  <c r="C141" i="4"/>
  <c r="F141" i="4" s="1"/>
  <c r="D141" i="4"/>
  <c r="E141" i="4"/>
  <c r="G141" i="4" s="1"/>
  <c r="C142" i="4"/>
  <c r="F142" i="4" s="1"/>
  <c r="D142" i="4"/>
  <c r="E142" i="4"/>
  <c r="G142" i="4" s="1"/>
  <c r="C143" i="4"/>
  <c r="F143" i="4" s="1"/>
  <c r="D143" i="4"/>
  <c r="E143" i="4"/>
  <c r="G143" i="4" s="1"/>
  <c r="C144" i="4"/>
  <c r="F144" i="4" s="1"/>
  <c r="D144" i="4"/>
  <c r="E144" i="4"/>
  <c r="G144" i="4" s="1"/>
  <c r="C145" i="4"/>
  <c r="F145" i="4" s="1"/>
  <c r="D145" i="4"/>
  <c r="E145" i="4"/>
  <c r="G145" i="4" s="1"/>
  <c r="C146" i="4"/>
  <c r="F146" i="4" s="1"/>
  <c r="D146" i="4"/>
  <c r="E146" i="4"/>
  <c r="G146" i="4" s="1"/>
  <c r="C147" i="4"/>
  <c r="F147" i="4" s="1"/>
  <c r="D147" i="4"/>
  <c r="E147" i="4"/>
  <c r="G147" i="4" s="1"/>
  <c r="C148" i="4"/>
  <c r="F148" i="4" s="1"/>
  <c r="D148" i="4"/>
  <c r="E148" i="4"/>
  <c r="G148" i="4" s="1"/>
  <c r="C149" i="4"/>
  <c r="F149" i="4" s="1"/>
  <c r="D149" i="4"/>
  <c r="E149" i="4"/>
  <c r="G149" i="4" s="1"/>
  <c r="C150" i="4"/>
  <c r="F150" i="4" s="1"/>
  <c r="D150" i="4"/>
  <c r="E150" i="4"/>
  <c r="G150" i="4" s="1"/>
  <c r="C151" i="4"/>
  <c r="F151" i="4" s="1"/>
  <c r="D151" i="4"/>
  <c r="E151" i="4"/>
  <c r="G151" i="4" s="1"/>
  <c r="C152" i="4"/>
  <c r="F152" i="4" s="1"/>
  <c r="D152" i="4"/>
  <c r="E152" i="4"/>
  <c r="G152" i="4" s="1"/>
  <c r="C153" i="4"/>
  <c r="F153" i="4" s="1"/>
  <c r="D153" i="4"/>
  <c r="E153" i="4"/>
  <c r="G153" i="4" s="1"/>
  <c r="C154" i="4"/>
  <c r="F154" i="4" s="1"/>
  <c r="D154" i="4"/>
  <c r="E154" i="4"/>
  <c r="G154" i="4" s="1"/>
  <c r="C155" i="4"/>
  <c r="F155" i="4" s="1"/>
  <c r="D155" i="4"/>
  <c r="E155" i="4"/>
  <c r="G155" i="4" s="1"/>
  <c r="C156" i="4"/>
  <c r="F156" i="4" s="1"/>
  <c r="D156" i="4"/>
  <c r="E156" i="4"/>
  <c r="G156" i="4" s="1"/>
  <c r="C157" i="4"/>
  <c r="F157" i="4" s="1"/>
  <c r="D157" i="4"/>
  <c r="E157" i="4"/>
  <c r="G157" i="4" s="1"/>
  <c r="C158" i="4"/>
  <c r="F158" i="4" s="1"/>
  <c r="D158" i="4"/>
  <c r="E158" i="4"/>
  <c r="G158" i="4" s="1"/>
  <c r="C159" i="4"/>
  <c r="D159" i="4"/>
  <c r="E159" i="4"/>
  <c r="G159" i="4" s="1"/>
  <c r="F159" i="4"/>
  <c r="C160" i="4"/>
  <c r="F160" i="4" s="1"/>
  <c r="D160" i="4"/>
  <c r="E160" i="4"/>
  <c r="G160" i="4" s="1"/>
  <c r="C161" i="4"/>
  <c r="D161" i="4"/>
  <c r="E161" i="4"/>
  <c r="G161" i="4" s="1"/>
  <c r="F161" i="4"/>
  <c r="C162" i="4"/>
  <c r="F162" i="4" s="1"/>
  <c r="D162" i="4"/>
  <c r="E162" i="4"/>
  <c r="G162" i="4" s="1"/>
  <c r="C163" i="4"/>
  <c r="F163" i="4" s="1"/>
  <c r="D163" i="4"/>
  <c r="E163" i="4"/>
  <c r="G163" i="4" s="1"/>
  <c r="C164" i="4"/>
  <c r="F164" i="4" s="1"/>
  <c r="D164" i="4"/>
  <c r="E164" i="4"/>
  <c r="G164" i="4" s="1"/>
  <c r="C165" i="4"/>
  <c r="F165" i="4" s="1"/>
  <c r="D165" i="4"/>
  <c r="E165" i="4"/>
  <c r="G165" i="4" s="1"/>
  <c r="C166" i="4"/>
  <c r="F166" i="4" s="1"/>
  <c r="D166" i="4"/>
  <c r="E166" i="4"/>
  <c r="G166" i="4" s="1"/>
  <c r="C167" i="4"/>
  <c r="F167" i="4" s="1"/>
  <c r="D167" i="4"/>
  <c r="E167" i="4"/>
  <c r="G167" i="4" s="1"/>
  <c r="C168" i="4"/>
  <c r="F168" i="4" s="1"/>
  <c r="D168" i="4"/>
  <c r="E168" i="4"/>
  <c r="G168" i="4" s="1"/>
  <c r="C169" i="4"/>
  <c r="F169" i="4" s="1"/>
  <c r="D169" i="4"/>
  <c r="E169" i="4"/>
  <c r="G169" i="4" s="1"/>
  <c r="C170" i="4"/>
  <c r="F170" i="4" s="1"/>
  <c r="D170" i="4"/>
  <c r="E170" i="4"/>
  <c r="G170" i="4" s="1"/>
  <c r="C171" i="4"/>
  <c r="F171" i="4" s="1"/>
  <c r="D171" i="4"/>
  <c r="E171" i="4"/>
  <c r="G171" i="4" s="1"/>
  <c r="C172" i="4"/>
  <c r="F172" i="4" s="1"/>
  <c r="D172" i="4"/>
  <c r="E172" i="4"/>
  <c r="G172" i="4" s="1"/>
  <c r="C173" i="4"/>
  <c r="F173" i="4" s="1"/>
  <c r="D173" i="4"/>
  <c r="E173" i="4"/>
  <c r="G173" i="4" s="1"/>
  <c r="C174" i="4"/>
  <c r="F174" i="4" s="1"/>
  <c r="D174" i="4"/>
  <c r="E174" i="4"/>
  <c r="G174" i="4" s="1"/>
  <c r="C175" i="4"/>
  <c r="F175" i="4" s="1"/>
  <c r="D175" i="4"/>
  <c r="E175" i="4"/>
  <c r="G175" i="4" s="1"/>
  <c r="C176" i="4"/>
  <c r="F176" i="4" s="1"/>
  <c r="D176" i="4"/>
  <c r="E176" i="4"/>
  <c r="G176" i="4" s="1"/>
  <c r="C177" i="4"/>
  <c r="F177" i="4" s="1"/>
  <c r="D177" i="4"/>
  <c r="E177" i="4"/>
  <c r="G177" i="4" s="1"/>
  <c r="C178" i="4"/>
  <c r="F178" i="4" s="1"/>
  <c r="D178" i="4"/>
  <c r="E178" i="4"/>
  <c r="G178" i="4" s="1"/>
  <c r="C179" i="4"/>
  <c r="F179" i="4" s="1"/>
  <c r="D179" i="4"/>
  <c r="E179" i="4"/>
  <c r="G179" i="4" s="1"/>
  <c r="C180" i="4"/>
  <c r="F180" i="4" s="1"/>
  <c r="D180" i="4"/>
  <c r="E180" i="4"/>
  <c r="G180" i="4" s="1"/>
  <c r="C181" i="4"/>
  <c r="F181" i="4" s="1"/>
  <c r="D181" i="4"/>
  <c r="E181" i="4"/>
  <c r="G181" i="4" s="1"/>
  <c r="C182" i="4"/>
  <c r="F182" i="4" s="1"/>
  <c r="D182" i="4"/>
  <c r="E182" i="4"/>
  <c r="G182" i="4" s="1"/>
  <c r="C183" i="4"/>
  <c r="F183" i="4" s="1"/>
  <c r="D183" i="4"/>
  <c r="E183" i="4"/>
  <c r="G183" i="4" s="1"/>
  <c r="C184" i="4"/>
  <c r="F184" i="4" s="1"/>
  <c r="D184" i="4"/>
  <c r="E184" i="4"/>
  <c r="G184" i="4" s="1"/>
  <c r="C185" i="4"/>
  <c r="F185" i="4" s="1"/>
  <c r="D185" i="4"/>
  <c r="E185" i="4"/>
  <c r="G185" i="4" s="1"/>
  <c r="C186" i="4"/>
  <c r="F186" i="4" s="1"/>
  <c r="D186" i="4"/>
  <c r="E186" i="4"/>
  <c r="G186" i="4" s="1"/>
  <c r="C187" i="4"/>
  <c r="F187" i="4" s="1"/>
  <c r="D187" i="4"/>
  <c r="E187" i="4"/>
  <c r="G187" i="4" s="1"/>
  <c r="C188" i="4"/>
  <c r="F188" i="4" s="1"/>
  <c r="D188" i="4"/>
  <c r="E188" i="4"/>
  <c r="G188" i="4" s="1"/>
  <c r="C189" i="4"/>
  <c r="F189" i="4" s="1"/>
  <c r="D189" i="4"/>
  <c r="E189" i="4"/>
  <c r="G189" i="4" s="1"/>
  <c r="C190" i="4"/>
  <c r="F190" i="4" s="1"/>
  <c r="D190" i="4"/>
  <c r="E190" i="4"/>
  <c r="G190" i="4" s="1"/>
  <c r="C191" i="4"/>
  <c r="F191" i="4" s="1"/>
  <c r="D191" i="4"/>
  <c r="E191" i="4"/>
  <c r="G191" i="4" s="1"/>
  <c r="C192" i="4"/>
  <c r="F192" i="4" s="1"/>
  <c r="D192" i="4"/>
  <c r="E192" i="4"/>
  <c r="G192" i="4" s="1"/>
  <c r="C193" i="4"/>
  <c r="F193" i="4" s="1"/>
  <c r="D193" i="4"/>
  <c r="E193" i="4"/>
  <c r="G193" i="4" s="1"/>
  <c r="C194" i="4"/>
  <c r="F194" i="4" s="1"/>
  <c r="D194" i="4"/>
  <c r="E194" i="4"/>
  <c r="G194" i="4" s="1"/>
  <c r="C195" i="4"/>
  <c r="F195" i="4" s="1"/>
  <c r="D195" i="4"/>
  <c r="E195" i="4"/>
  <c r="G195" i="4" s="1"/>
  <c r="C196" i="4"/>
  <c r="F196" i="4" s="1"/>
  <c r="D196" i="4"/>
  <c r="E196" i="4"/>
  <c r="G196" i="4" s="1"/>
  <c r="C197" i="4"/>
  <c r="F197" i="4" s="1"/>
  <c r="D197" i="4"/>
  <c r="E197" i="4"/>
  <c r="G197" i="4" s="1"/>
  <c r="C198" i="4"/>
  <c r="F198" i="4" s="1"/>
  <c r="D198" i="4"/>
  <c r="E198" i="4"/>
  <c r="G198" i="4" s="1"/>
  <c r="C199" i="4"/>
  <c r="F199" i="4" s="1"/>
  <c r="D199" i="4"/>
  <c r="E199" i="4"/>
  <c r="G199" i="4" s="1"/>
  <c r="C200" i="4"/>
  <c r="F200" i="4" s="1"/>
  <c r="D200" i="4"/>
  <c r="E200" i="4"/>
  <c r="G200" i="4" s="1"/>
  <c r="C201" i="4"/>
  <c r="F201" i="4" s="1"/>
  <c r="D201" i="4"/>
  <c r="E201" i="4"/>
  <c r="G201" i="4" s="1"/>
  <c r="C202" i="4"/>
  <c r="F202" i="4" s="1"/>
  <c r="D202" i="4"/>
  <c r="E202" i="4"/>
  <c r="G202" i="4" s="1"/>
  <c r="C203" i="4"/>
  <c r="F203" i="4" s="1"/>
  <c r="D203" i="4"/>
  <c r="E203" i="4"/>
  <c r="G203" i="4" s="1"/>
  <c r="C204" i="4"/>
  <c r="D204" i="4"/>
  <c r="E204" i="4"/>
  <c r="G204" i="4" s="1"/>
  <c r="F204" i="4"/>
  <c r="C205" i="4"/>
  <c r="F205" i="4" s="1"/>
  <c r="D205" i="4"/>
  <c r="E205" i="4"/>
  <c r="G205" i="4" s="1"/>
  <c r="C206" i="4"/>
  <c r="F206" i="4" s="1"/>
  <c r="D206" i="4"/>
  <c r="E206" i="4"/>
  <c r="G206" i="4" s="1"/>
  <c r="C207" i="4"/>
  <c r="F207" i="4" s="1"/>
  <c r="D207" i="4"/>
  <c r="E207" i="4"/>
  <c r="G207" i="4" s="1"/>
  <c r="C208" i="4"/>
  <c r="F208" i="4" s="1"/>
  <c r="D208" i="4"/>
  <c r="E208" i="4"/>
  <c r="G208" i="4" s="1"/>
  <c r="C209" i="4"/>
  <c r="D209" i="4"/>
  <c r="E209" i="4"/>
  <c r="G209" i="4" s="1"/>
  <c r="F209" i="4"/>
  <c r="C210" i="4"/>
  <c r="F210" i="4" s="1"/>
  <c r="D210" i="4"/>
  <c r="E210" i="4"/>
  <c r="G210" i="4" s="1"/>
  <c r="C211" i="4"/>
  <c r="F211" i="4" s="1"/>
  <c r="D211" i="4"/>
  <c r="E211" i="4"/>
  <c r="G211" i="4" s="1"/>
  <c r="C212" i="4"/>
  <c r="F212" i="4" s="1"/>
  <c r="D212" i="4"/>
  <c r="E212" i="4"/>
  <c r="G212" i="4" s="1"/>
  <c r="C213" i="4"/>
  <c r="F213" i="4" s="1"/>
  <c r="D213" i="4"/>
  <c r="E213" i="4"/>
  <c r="G213" i="4" s="1"/>
  <c r="C214" i="4"/>
  <c r="F214" i="4" s="1"/>
  <c r="D214" i="4"/>
  <c r="E214" i="4"/>
  <c r="G214" i="4" s="1"/>
  <c r="C215" i="4"/>
  <c r="F215" i="4" s="1"/>
  <c r="D215" i="4"/>
  <c r="E215" i="4"/>
  <c r="G215" i="4" s="1"/>
  <c r="C216" i="4"/>
  <c r="F216" i="4" s="1"/>
  <c r="D216" i="4"/>
  <c r="E216" i="4"/>
  <c r="G216" i="4" s="1"/>
  <c r="C217" i="4"/>
  <c r="F217" i="4" s="1"/>
  <c r="D217" i="4"/>
  <c r="E217" i="4"/>
  <c r="G217" i="4" s="1"/>
  <c r="C218" i="4"/>
  <c r="F218" i="4" s="1"/>
  <c r="D218" i="4"/>
  <c r="E218" i="4"/>
  <c r="G218" i="4" s="1"/>
  <c r="C219" i="4"/>
  <c r="F219" i="4" s="1"/>
  <c r="D219" i="4"/>
  <c r="E219" i="4"/>
  <c r="G219" i="4" s="1"/>
  <c r="C220" i="4"/>
  <c r="F220" i="4" s="1"/>
  <c r="D220" i="4"/>
  <c r="E220" i="4"/>
  <c r="G220" i="4" s="1"/>
  <c r="C221" i="4"/>
  <c r="D221" i="4"/>
  <c r="E221" i="4"/>
  <c r="G221" i="4" s="1"/>
  <c r="F221" i="4"/>
  <c r="C222" i="4"/>
  <c r="F222" i="4" s="1"/>
  <c r="D222" i="4"/>
  <c r="E222" i="4"/>
  <c r="G222" i="4" s="1"/>
  <c r="C223" i="4"/>
  <c r="F223" i="4" s="1"/>
  <c r="D223" i="4"/>
  <c r="E223" i="4"/>
  <c r="G223" i="4" s="1"/>
  <c r="C224" i="4"/>
  <c r="F224" i="4" s="1"/>
  <c r="D224" i="4"/>
  <c r="E224" i="4"/>
  <c r="G224" i="4" s="1"/>
  <c r="C225" i="4"/>
  <c r="F225" i="4" s="1"/>
  <c r="D225" i="4"/>
  <c r="E225" i="4"/>
  <c r="G225" i="4" s="1"/>
  <c r="C226" i="4"/>
  <c r="F226" i="4" s="1"/>
  <c r="D226" i="4"/>
  <c r="E226" i="4"/>
  <c r="G226" i="4" s="1"/>
  <c r="C227" i="4"/>
  <c r="F227" i="4" s="1"/>
  <c r="D227" i="4"/>
  <c r="E227" i="4"/>
  <c r="G227" i="4" s="1"/>
  <c r="C228" i="4"/>
  <c r="F228" i="4" s="1"/>
  <c r="D228" i="4"/>
  <c r="E228" i="4"/>
  <c r="G228" i="4" s="1"/>
  <c r="C229" i="4"/>
  <c r="F229" i="4" s="1"/>
  <c r="D229" i="4"/>
  <c r="E229" i="4"/>
  <c r="G229" i="4" s="1"/>
  <c r="C230" i="4"/>
  <c r="F230" i="4" s="1"/>
  <c r="D230" i="4"/>
  <c r="E230" i="4"/>
  <c r="G230" i="4" s="1"/>
  <c r="C231" i="4"/>
  <c r="D231" i="4"/>
  <c r="E231" i="4"/>
  <c r="G231" i="4" s="1"/>
  <c r="F231" i="4"/>
  <c r="C232" i="4"/>
  <c r="F232" i="4" s="1"/>
  <c r="D232" i="4"/>
  <c r="E232" i="4"/>
  <c r="G232" i="4" s="1"/>
  <c r="C233" i="4"/>
  <c r="F233" i="4" s="1"/>
  <c r="D233" i="4"/>
  <c r="E233" i="4"/>
  <c r="G233" i="4" s="1"/>
  <c r="C234" i="4"/>
  <c r="F234" i="4" s="1"/>
  <c r="D234" i="4"/>
  <c r="E234" i="4"/>
  <c r="G234" i="4" s="1"/>
  <c r="C235" i="4"/>
  <c r="F235" i="4" s="1"/>
  <c r="D235" i="4"/>
  <c r="E235" i="4"/>
  <c r="G235" i="4" s="1"/>
  <c r="C236" i="4"/>
  <c r="F236" i="4" s="1"/>
  <c r="D236" i="4"/>
  <c r="E236" i="4"/>
  <c r="G236" i="4" s="1"/>
  <c r="C237" i="4"/>
  <c r="F237" i="4" s="1"/>
  <c r="D237" i="4"/>
  <c r="E237" i="4"/>
  <c r="G237" i="4" s="1"/>
  <c r="C238" i="4"/>
  <c r="F238" i="4" s="1"/>
  <c r="D238" i="4"/>
  <c r="E238" i="4"/>
  <c r="G238" i="4" s="1"/>
  <c r="C239" i="4"/>
  <c r="F239" i="4" s="1"/>
  <c r="D239" i="4"/>
  <c r="E239" i="4"/>
  <c r="G239" i="4" s="1"/>
  <c r="C240" i="4"/>
  <c r="F240" i="4" s="1"/>
  <c r="D240" i="4"/>
  <c r="E240" i="4"/>
  <c r="G240" i="4" s="1"/>
  <c r="C241" i="4"/>
  <c r="F241" i="4" s="1"/>
  <c r="D241" i="4"/>
  <c r="E241" i="4"/>
  <c r="G241" i="4" s="1"/>
  <c r="F7" i="5" s="1"/>
  <c r="C242" i="4"/>
  <c r="F242" i="4" s="1"/>
  <c r="D242" i="4"/>
  <c r="E242" i="4"/>
  <c r="G242" i="4" s="1"/>
  <c r="C243" i="4"/>
  <c r="F243" i="4" s="1"/>
  <c r="D243" i="4"/>
  <c r="E243" i="4"/>
  <c r="G243" i="4" s="1"/>
  <c r="C244" i="4"/>
  <c r="F244" i="4" s="1"/>
  <c r="D244" i="4"/>
  <c r="E244" i="4"/>
  <c r="G244" i="4" s="1"/>
  <c r="C245" i="4"/>
  <c r="F245" i="4" s="1"/>
  <c r="D245" i="4"/>
  <c r="E245" i="4"/>
  <c r="G245" i="4" s="1"/>
  <c r="C246" i="4"/>
  <c r="F246" i="4" s="1"/>
  <c r="D246" i="4"/>
  <c r="E246" i="4"/>
  <c r="G246" i="4" s="1"/>
  <c r="C247" i="4"/>
  <c r="F247" i="4" s="1"/>
  <c r="D247" i="4"/>
  <c r="E247" i="4"/>
  <c r="G247" i="4" s="1"/>
  <c r="C248" i="4"/>
  <c r="F248" i="4" s="1"/>
  <c r="D248" i="4"/>
  <c r="E248" i="4"/>
  <c r="G248" i="4" s="1"/>
  <c r="C249" i="4"/>
  <c r="F249" i="4" s="1"/>
  <c r="D249" i="4"/>
  <c r="E249" i="4"/>
  <c r="G249" i="4" s="1"/>
  <c r="C250" i="4"/>
  <c r="F250" i="4" s="1"/>
  <c r="D250" i="4"/>
  <c r="E250" i="4"/>
  <c r="G250" i="4" s="1"/>
  <c r="C251" i="4"/>
  <c r="F251" i="4" s="1"/>
  <c r="D251" i="4"/>
  <c r="E251" i="4"/>
  <c r="G251" i="4" s="1"/>
  <c r="C252" i="4"/>
  <c r="F252" i="4" s="1"/>
  <c r="D252" i="4"/>
  <c r="E252" i="4"/>
  <c r="G252" i="4" s="1"/>
  <c r="C253" i="4"/>
  <c r="F253" i="4" s="1"/>
  <c r="D253" i="4"/>
  <c r="E253" i="4"/>
  <c r="G253" i="4" s="1"/>
  <c r="C254" i="4"/>
  <c r="F254" i="4" s="1"/>
  <c r="D254" i="4"/>
  <c r="E254" i="4"/>
  <c r="G254" i="4" s="1"/>
  <c r="C255" i="4"/>
  <c r="F255" i="4" s="1"/>
  <c r="D255" i="4"/>
  <c r="E255" i="4"/>
  <c r="G255" i="4" s="1"/>
  <c r="C256" i="4"/>
  <c r="F256" i="4" s="1"/>
  <c r="D256" i="4"/>
  <c r="E256" i="4"/>
  <c r="G256" i="4" s="1"/>
  <c r="C257" i="4"/>
  <c r="F257" i="4" s="1"/>
  <c r="D257" i="4"/>
  <c r="E257" i="4"/>
  <c r="G257" i="4" s="1"/>
  <c r="C258" i="4"/>
  <c r="F258" i="4" s="1"/>
  <c r="D258" i="4"/>
  <c r="E258" i="4"/>
  <c r="G258" i="4" s="1"/>
  <c r="C259" i="4"/>
  <c r="F259" i="4" s="1"/>
  <c r="D259" i="4"/>
  <c r="E259" i="4"/>
  <c r="G259" i="4" s="1"/>
  <c r="C260" i="4"/>
  <c r="F260" i="4" s="1"/>
  <c r="D260" i="4"/>
  <c r="E260" i="4"/>
  <c r="G260" i="4" s="1"/>
  <c r="C261" i="4"/>
  <c r="F261" i="4" s="1"/>
  <c r="D261" i="4"/>
  <c r="E261" i="4"/>
  <c r="G261" i="4" s="1"/>
  <c r="C262" i="4"/>
  <c r="F262" i="4" s="1"/>
  <c r="D262" i="4"/>
  <c r="E262" i="4"/>
  <c r="G262" i="4" s="1"/>
  <c r="C263" i="4"/>
  <c r="F263" i="4" s="1"/>
  <c r="D263" i="4"/>
  <c r="E263" i="4"/>
  <c r="G263" i="4" s="1"/>
  <c r="C264" i="4"/>
  <c r="F264" i="4" s="1"/>
  <c r="D264" i="4"/>
  <c r="E264" i="4"/>
  <c r="G264" i="4" s="1"/>
  <c r="C265" i="4"/>
  <c r="F265" i="4" s="1"/>
  <c r="D265" i="4"/>
  <c r="E265" i="4"/>
  <c r="G265" i="4" s="1"/>
  <c r="C266" i="4"/>
  <c r="F266" i="4" s="1"/>
  <c r="D266" i="4"/>
  <c r="E266" i="4"/>
  <c r="G266" i="4"/>
  <c r="C267" i="4"/>
  <c r="F267" i="4" s="1"/>
  <c r="D267" i="4"/>
  <c r="E267" i="4"/>
  <c r="G267" i="4" s="1"/>
  <c r="C268" i="4"/>
  <c r="F268" i="4" s="1"/>
  <c r="D268" i="4"/>
  <c r="E268" i="4"/>
  <c r="G268" i="4" s="1"/>
  <c r="C269" i="4"/>
  <c r="F269" i="4" s="1"/>
  <c r="D269" i="4"/>
  <c r="E269" i="4"/>
  <c r="G269" i="4" s="1"/>
  <c r="C270" i="4"/>
  <c r="F270" i="4" s="1"/>
  <c r="D270" i="4"/>
  <c r="E270" i="4"/>
  <c r="G270" i="4" s="1"/>
  <c r="C271" i="4"/>
  <c r="F271" i="4" s="1"/>
  <c r="D271" i="4"/>
  <c r="E271" i="4"/>
  <c r="G271" i="4" s="1"/>
  <c r="C272" i="4"/>
  <c r="F272" i="4" s="1"/>
  <c r="D272" i="4"/>
  <c r="E272" i="4"/>
  <c r="G272" i="4" s="1"/>
  <c r="C273" i="4"/>
  <c r="F273" i="4" s="1"/>
  <c r="D273" i="4"/>
  <c r="E273" i="4"/>
  <c r="G273" i="4" s="1"/>
  <c r="C274" i="4"/>
  <c r="F274" i="4" s="1"/>
  <c r="D274" i="4"/>
  <c r="E274" i="4"/>
  <c r="G274" i="4"/>
  <c r="C275" i="4"/>
  <c r="F275" i="4" s="1"/>
  <c r="D275" i="4"/>
  <c r="E275" i="4"/>
  <c r="G275" i="4" s="1"/>
  <c r="C276" i="4"/>
  <c r="F276" i="4" s="1"/>
  <c r="D276" i="4"/>
  <c r="E276" i="4"/>
  <c r="G276" i="4" s="1"/>
  <c r="C277" i="4"/>
  <c r="D277" i="4"/>
  <c r="E277" i="4"/>
  <c r="G277" i="4" s="1"/>
  <c r="F277" i="4"/>
  <c r="C278" i="4"/>
  <c r="F278" i="4" s="1"/>
  <c r="D278" i="4"/>
  <c r="E278" i="4"/>
  <c r="G278" i="4" s="1"/>
  <c r="C279" i="4"/>
  <c r="F279" i="4" s="1"/>
  <c r="D279" i="4"/>
  <c r="E279" i="4"/>
  <c r="G279" i="4" s="1"/>
  <c r="C280" i="4"/>
  <c r="F280" i="4" s="1"/>
  <c r="D280" i="4"/>
  <c r="E280" i="4"/>
  <c r="G280" i="4" s="1"/>
  <c r="C281" i="4"/>
  <c r="F281" i="4" s="1"/>
  <c r="D281" i="4"/>
  <c r="E281" i="4"/>
  <c r="G281" i="4" s="1"/>
  <c r="C282" i="4"/>
  <c r="F282" i="4" s="1"/>
  <c r="D282" i="4"/>
  <c r="E282" i="4"/>
  <c r="G282" i="4" s="1"/>
  <c r="C283" i="4"/>
  <c r="F283" i="4" s="1"/>
  <c r="D283" i="4"/>
  <c r="E283" i="4"/>
  <c r="G283" i="4" s="1"/>
  <c r="C284" i="4"/>
  <c r="F284" i="4" s="1"/>
  <c r="D284" i="4"/>
  <c r="E284" i="4"/>
  <c r="G284" i="4" s="1"/>
  <c r="C285" i="4"/>
  <c r="F285" i="4" s="1"/>
  <c r="D285" i="4"/>
  <c r="E285" i="4"/>
  <c r="G285" i="4" s="1"/>
  <c r="C286" i="4"/>
  <c r="F286" i="4" s="1"/>
  <c r="D286" i="4"/>
  <c r="E286" i="4"/>
  <c r="G286" i="4" s="1"/>
  <c r="C287" i="4"/>
  <c r="F287" i="4" s="1"/>
  <c r="D287" i="4"/>
  <c r="E287" i="4"/>
  <c r="G287" i="4" s="1"/>
  <c r="C288" i="4"/>
  <c r="F288" i="4" s="1"/>
  <c r="D288" i="4"/>
  <c r="E288" i="4"/>
  <c r="G288" i="4" s="1"/>
  <c r="C289" i="4"/>
  <c r="F289" i="4" s="1"/>
  <c r="D289" i="4"/>
  <c r="E289" i="4"/>
  <c r="G289" i="4" s="1"/>
  <c r="C290" i="4"/>
  <c r="F290" i="4" s="1"/>
  <c r="D290" i="4"/>
  <c r="E290" i="4"/>
  <c r="G290" i="4" s="1"/>
  <c r="C291" i="4"/>
  <c r="F291" i="4" s="1"/>
  <c r="D291" i="4"/>
  <c r="E291" i="4"/>
  <c r="G291" i="4" s="1"/>
  <c r="C292" i="4"/>
  <c r="F292" i="4" s="1"/>
  <c r="D292" i="4"/>
  <c r="E292" i="4"/>
  <c r="G292" i="4" s="1"/>
  <c r="C293" i="4"/>
  <c r="F293" i="4" s="1"/>
  <c r="D293" i="4"/>
  <c r="E293" i="4"/>
  <c r="G293" i="4" s="1"/>
  <c r="C294" i="4"/>
  <c r="F294" i="4" s="1"/>
  <c r="D294" i="4"/>
  <c r="E294" i="4"/>
  <c r="G294" i="4" s="1"/>
  <c r="C295" i="4"/>
  <c r="F295" i="4" s="1"/>
  <c r="D295" i="4"/>
  <c r="E295" i="4"/>
  <c r="G295" i="4" s="1"/>
  <c r="C296" i="4"/>
  <c r="F296" i="4" s="1"/>
  <c r="D296" i="4"/>
  <c r="E296" i="4"/>
  <c r="G296" i="4" s="1"/>
  <c r="C297" i="4"/>
  <c r="F297" i="4" s="1"/>
  <c r="D297" i="4"/>
  <c r="E297" i="4"/>
  <c r="G297" i="4" s="1"/>
  <c r="C298" i="4"/>
  <c r="F298" i="4" s="1"/>
  <c r="D298" i="4"/>
  <c r="E298" i="4"/>
  <c r="G298" i="4" s="1"/>
  <c r="C299" i="4"/>
  <c r="F299" i="4" s="1"/>
  <c r="D299" i="4"/>
  <c r="E299" i="4"/>
  <c r="G299" i="4" s="1"/>
  <c r="C300" i="4"/>
  <c r="F300" i="4" s="1"/>
  <c r="D300" i="4"/>
  <c r="E300" i="4"/>
  <c r="G300" i="4" s="1"/>
  <c r="C301" i="4"/>
  <c r="F301" i="4" s="1"/>
  <c r="D301" i="4"/>
  <c r="E301" i="4"/>
  <c r="G301" i="4" s="1"/>
  <c r="C302" i="4"/>
  <c r="F302" i="4" s="1"/>
  <c r="D302" i="4"/>
  <c r="E302" i="4"/>
  <c r="G302" i="4" s="1"/>
  <c r="C303" i="4"/>
  <c r="F303" i="4" s="1"/>
  <c r="D303" i="4"/>
  <c r="E303" i="4"/>
  <c r="G303" i="4" s="1"/>
  <c r="C304" i="4"/>
  <c r="F304" i="4" s="1"/>
  <c r="D304" i="4"/>
  <c r="E304" i="4"/>
  <c r="G304" i="4" s="1"/>
  <c r="C305" i="4"/>
  <c r="F305" i="4" s="1"/>
  <c r="D305" i="4"/>
  <c r="E305" i="4"/>
  <c r="G305" i="4" s="1"/>
  <c r="C306" i="4"/>
  <c r="F306" i="4" s="1"/>
  <c r="D306" i="4"/>
  <c r="E306" i="4"/>
  <c r="G306" i="4" s="1"/>
  <c r="C307" i="4"/>
  <c r="F307" i="4" s="1"/>
  <c r="D307" i="4"/>
  <c r="E307" i="4"/>
  <c r="G307" i="4" s="1"/>
  <c r="C308" i="4"/>
  <c r="F308" i="4" s="1"/>
  <c r="D308" i="4"/>
  <c r="E308" i="4"/>
  <c r="G308" i="4" s="1"/>
  <c r="C309" i="4"/>
  <c r="F309" i="4" s="1"/>
  <c r="D309" i="4"/>
  <c r="E309" i="4"/>
  <c r="G309" i="4" s="1"/>
  <c r="C310" i="4"/>
  <c r="F310" i="4" s="1"/>
  <c r="D310" i="4"/>
  <c r="E310" i="4"/>
  <c r="G310" i="4" s="1"/>
  <c r="C311" i="4"/>
  <c r="F311" i="4" s="1"/>
  <c r="D311" i="4"/>
  <c r="E311" i="4"/>
  <c r="G311" i="4" s="1"/>
  <c r="C312" i="4"/>
  <c r="F312" i="4" s="1"/>
  <c r="D312" i="4"/>
  <c r="E312" i="4"/>
  <c r="G312" i="4" s="1"/>
  <c r="C313" i="4"/>
  <c r="D313" i="4"/>
  <c r="E313" i="4"/>
  <c r="G313" i="4" s="1"/>
  <c r="F313" i="4"/>
  <c r="C314" i="4"/>
  <c r="F314" i="4" s="1"/>
  <c r="D314" i="4"/>
  <c r="E314" i="4"/>
  <c r="G314" i="4" s="1"/>
  <c r="C315" i="4"/>
  <c r="F315" i="4" s="1"/>
  <c r="D315" i="4"/>
  <c r="E315" i="4"/>
  <c r="G315" i="4" s="1"/>
  <c r="C316" i="4"/>
  <c r="F316" i="4" s="1"/>
  <c r="D316" i="4"/>
  <c r="E316" i="4"/>
  <c r="G316" i="4" s="1"/>
  <c r="C317" i="4"/>
  <c r="F317" i="4" s="1"/>
  <c r="D317" i="4"/>
  <c r="E317" i="4"/>
  <c r="G317" i="4" s="1"/>
  <c r="C318" i="4"/>
  <c r="F318" i="4" s="1"/>
  <c r="D318" i="4"/>
  <c r="E318" i="4"/>
  <c r="G318" i="4" s="1"/>
  <c r="C319" i="4"/>
  <c r="F319" i="4" s="1"/>
  <c r="D319" i="4"/>
  <c r="E319" i="4"/>
  <c r="G319" i="4" s="1"/>
  <c r="C320" i="4"/>
  <c r="F320" i="4" s="1"/>
  <c r="D320" i="4"/>
  <c r="E320" i="4"/>
  <c r="G320" i="4" s="1"/>
  <c r="C321" i="4"/>
  <c r="F321" i="4" s="1"/>
  <c r="D321" i="4"/>
  <c r="E321" i="4"/>
  <c r="G321" i="4" s="1"/>
  <c r="C322" i="4"/>
  <c r="F322" i="4" s="1"/>
  <c r="D322" i="4"/>
  <c r="E322" i="4"/>
  <c r="G322" i="4" s="1"/>
  <c r="C323" i="4"/>
  <c r="F323" i="4" s="1"/>
  <c r="D323" i="4"/>
  <c r="E323" i="4"/>
  <c r="G323" i="4" s="1"/>
  <c r="C324" i="4"/>
  <c r="F324" i="4" s="1"/>
  <c r="D324" i="4"/>
  <c r="E324" i="4"/>
  <c r="G324" i="4" s="1"/>
  <c r="C325" i="4"/>
  <c r="F325" i="4" s="1"/>
  <c r="D325" i="4"/>
  <c r="E325" i="4"/>
  <c r="G325" i="4" s="1"/>
  <c r="C326" i="4"/>
  <c r="F326" i="4" s="1"/>
  <c r="D326" i="4"/>
  <c r="E326" i="4"/>
  <c r="G326" i="4" s="1"/>
  <c r="C327" i="4"/>
  <c r="F327" i="4" s="1"/>
  <c r="D327" i="4"/>
  <c r="E327" i="4"/>
  <c r="G327" i="4" s="1"/>
  <c r="C328" i="4"/>
  <c r="F328" i="4" s="1"/>
  <c r="D328" i="4"/>
  <c r="E328" i="4"/>
  <c r="G328" i="4" s="1"/>
  <c r="C329" i="4"/>
  <c r="F329" i="4" s="1"/>
  <c r="D329" i="4"/>
  <c r="E329" i="4"/>
  <c r="G329" i="4" s="1"/>
  <c r="C330" i="4"/>
  <c r="F330" i="4" s="1"/>
  <c r="D330" i="4"/>
  <c r="E330" i="4"/>
  <c r="G330" i="4" s="1"/>
  <c r="C331" i="4"/>
  <c r="F331" i="4" s="1"/>
  <c r="D331" i="4"/>
  <c r="E331" i="4"/>
  <c r="G331" i="4" s="1"/>
  <c r="C332" i="4"/>
  <c r="F332" i="4" s="1"/>
  <c r="D332" i="4"/>
  <c r="E332" i="4"/>
  <c r="G332" i="4" s="1"/>
  <c r="C333" i="4"/>
  <c r="F333" i="4" s="1"/>
  <c r="D333" i="4"/>
  <c r="E333" i="4"/>
  <c r="G333" i="4" s="1"/>
  <c r="C334" i="4"/>
  <c r="F334" i="4" s="1"/>
  <c r="D334" i="4"/>
  <c r="E334" i="4"/>
  <c r="G334" i="4" s="1"/>
  <c r="C335" i="4"/>
  <c r="F335" i="4" s="1"/>
  <c r="D335" i="4"/>
  <c r="E335" i="4"/>
  <c r="G335" i="4" s="1"/>
  <c r="C336" i="4"/>
  <c r="F336" i="4" s="1"/>
  <c r="D336" i="4"/>
  <c r="E336" i="4"/>
  <c r="G336" i="4" s="1"/>
  <c r="C337" i="4"/>
  <c r="F337" i="4" s="1"/>
  <c r="D337" i="4"/>
  <c r="E337" i="4"/>
  <c r="G337" i="4" s="1"/>
  <c r="C338" i="4"/>
  <c r="F338" i="4" s="1"/>
  <c r="D338" i="4"/>
  <c r="E338" i="4"/>
  <c r="G338" i="4" s="1"/>
  <c r="C339" i="4"/>
  <c r="F339" i="4" s="1"/>
  <c r="D339" i="4"/>
  <c r="E339" i="4"/>
  <c r="G339" i="4" s="1"/>
  <c r="C340" i="4"/>
  <c r="F340" i="4" s="1"/>
  <c r="D340" i="4"/>
  <c r="E340" i="4"/>
  <c r="G340" i="4" s="1"/>
  <c r="C341" i="4"/>
  <c r="F341" i="4" s="1"/>
  <c r="D341" i="4"/>
  <c r="E341" i="4"/>
  <c r="G341" i="4" s="1"/>
  <c r="C342" i="4"/>
  <c r="F342" i="4" s="1"/>
  <c r="D342" i="4"/>
  <c r="E342" i="4"/>
  <c r="G342" i="4" s="1"/>
  <c r="C343" i="4"/>
  <c r="D343" i="4"/>
  <c r="E343" i="4"/>
  <c r="G343" i="4" s="1"/>
  <c r="F343" i="4"/>
  <c r="C344" i="4"/>
  <c r="F344" i="4" s="1"/>
  <c r="D344" i="4"/>
  <c r="E344" i="4"/>
  <c r="G344" i="4" s="1"/>
  <c r="C345" i="4"/>
  <c r="F345" i="4" s="1"/>
  <c r="D345" i="4"/>
  <c r="E345" i="4"/>
  <c r="G345" i="4" s="1"/>
  <c r="C346" i="4"/>
  <c r="F346" i="4" s="1"/>
  <c r="D346" i="4"/>
  <c r="E346" i="4"/>
  <c r="G346" i="4" s="1"/>
  <c r="C347" i="4"/>
  <c r="F347" i="4" s="1"/>
  <c r="D347" i="4"/>
  <c r="E347" i="4"/>
  <c r="G347" i="4" s="1"/>
  <c r="C348" i="4"/>
  <c r="D348" i="4"/>
  <c r="E348" i="4"/>
  <c r="G348" i="4" s="1"/>
  <c r="F348" i="4"/>
  <c r="C349" i="4"/>
  <c r="F349" i="4" s="1"/>
  <c r="D349" i="4"/>
  <c r="E349" i="4"/>
  <c r="G349" i="4" s="1"/>
  <c r="C350" i="4"/>
  <c r="F350" i="4" s="1"/>
  <c r="D350" i="4"/>
  <c r="E350" i="4"/>
  <c r="G350" i="4" s="1"/>
  <c r="C351" i="4"/>
  <c r="F351" i="4" s="1"/>
  <c r="D351" i="4"/>
  <c r="E351" i="4"/>
  <c r="G351" i="4" s="1"/>
  <c r="C352" i="4"/>
  <c r="F352" i="4" s="1"/>
  <c r="D352" i="4"/>
  <c r="E352" i="4"/>
  <c r="G352" i="4" s="1"/>
  <c r="C353" i="4"/>
  <c r="F353" i="4" s="1"/>
  <c r="D353" i="4"/>
  <c r="E353" i="4"/>
  <c r="G353" i="4" s="1"/>
  <c r="C354" i="4"/>
  <c r="F354" i="4" s="1"/>
  <c r="D354" i="4"/>
  <c r="E354" i="4"/>
  <c r="G354" i="4" s="1"/>
  <c r="C355" i="4"/>
  <c r="F355" i="4" s="1"/>
  <c r="D355" i="4"/>
  <c r="E355" i="4"/>
  <c r="G355" i="4" s="1"/>
  <c r="C356" i="4"/>
  <c r="F356" i="4" s="1"/>
  <c r="D356" i="4"/>
  <c r="E356" i="4"/>
  <c r="G356" i="4" s="1"/>
  <c r="C357" i="4"/>
  <c r="F357" i="4" s="1"/>
  <c r="D357" i="4"/>
  <c r="E357" i="4"/>
  <c r="G357" i="4" s="1"/>
  <c r="C358" i="4"/>
  <c r="F358" i="4" s="1"/>
  <c r="D358" i="4"/>
  <c r="E358" i="4"/>
  <c r="G358" i="4" s="1"/>
  <c r="C359" i="4"/>
  <c r="F359" i="4" s="1"/>
  <c r="D359" i="4"/>
  <c r="E359" i="4"/>
  <c r="G359" i="4" s="1"/>
  <c r="C360" i="4"/>
  <c r="F360" i="4" s="1"/>
  <c r="D360" i="4"/>
  <c r="E360" i="4"/>
  <c r="G360" i="4" s="1"/>
  <c r="C361" i="4"/>
  <c r="F361" i="4" s="1"/>
  <c r="D361" i="4"/>
  <c r="E361" i="4"/>
  <c r="G361" i="4" s="1"/>
  <c r="C362" i="4"/>
  <c r="F362" i="4" s="1"/>
  <c r="D362" i="4"/>
  <c r="E362" i="4"/>
  <c r="G362" i="4" s="1"/>
  <c r="C363" i="4"/>
  <c r="F363" i="4" s="1"/>
  <c r="D363" i="4"/>
  <c r="E363" i="4"/>
  <c r="G363" i="4" s="1"/>
  <c r="C364" i="4"/>
  <c r="D364" i="4"/>
  <c r="E364" i="4"/>
  <c r="G364" i="4" s="1"/>
  <c r="F364" i="4"/>
  <c r="C365" i="4"/>
  <c r="F365" i="4" s="1"/>
  <c r="D365" i="4"/>
  <c r="E365" i="4"/>
  <c r="G365" i="4" s="1"/>
  <c r="C366" i="4"/>
  <c r="F366" i="4" s="1"/>
  <c r="D366" i="4"/>
  <c r="E366" i="4"/>
  <c r="G366" i="4" s="1"/>
  <c r="C367" i="4"/>
  <c r="F367" i="4" s="1"/>
  <c r="D367" i="4"/>
  <c r="E367" i="4"/>
  <c r="G367" i="4" s="1"/>
  <c r="C368" i="4"/>
  <c r="F368" i="4" s="1"/>
  <c r="D368" i="4"/>
  <c r="E368" i="4"/>
  <c r="G368" i="4" s="1"/>
  <c r="C369" i="4"/>
  <c r="F369" i="4" s="1"/>
  <c r="D369" i="4"/>
  <c r="E369" i="4"/>
  <c r="G369" i="4" s="1"/>
  <c r="C370" i="4"/>
  <c r="F370" i="4" s="1"/>
  <c r="D370" i="4"/>
  <c r="E370" i="4"/>
  <c r="G370" i="4" s="1"/>
  <c r="C371" i="4"/>
  <c r="F371" i="4" s="1"/>
  <c r="D371" i="4"/>
  <c r="E371" i="4"/>
  <c r="G371" i="4" s="1"/>
  <c r="C372" i="4"/>
  <c r="F372" i="4" s="1"/>
  <c r="D372" i="4"/>
  <c r="E372" i="4"/>
  <c r="G372" i="4" s="1"/>
  <c r="C373" i="4"/>
  <c r="F373" i="4" s="1"/>
  <c r="D373" i="4"/>
  <c r="E373" i="4"/>
  <c r="G373" i="4" s="1"/>
  <c r="C374" i="4"/>
  <c r="F374" i="4" s="1"/>
  <c r="D374" i="4"/>
  <c r="E374" i="4"/>
  <c r="G374" i="4" s="1"/>
  <c r="C375" i="4"/>
  <c r="F375" i="4" s="1"/>
  <c r="D375" i="4"/>
  <c r="E375" i="4"/>
  <c r="G375" i="4" s="1"/>
  <c r="C376" i="4"/>
  <c r="F376" i="4" s="1"/>
  <c r="D376" i="4"/>
  <c r="E376" i="4"/>
  <c r="G376" i="4" s="1"/>
  <c r="C377" i="4"/>
  <c r="F377" i="4" s="1"/>
  <c r="D377" i="4"/>
  <c r="E377" i="4"/>
  <c r="G377" i="4" s="1"/>
  <c r="C378" i="4"/>
  <c r="F378" i="4" s="1"/>
  <c r="D378" i="4"/>
  <c r="E378" i="4"/>
  <c r="G378" i="4" s="1"/>
  <c r="C379" i="4"/>
  <c r="F379" i="4" s="1"/>
  <c r="D379" i="4"/>
  <c r="E379" i="4"/>
  <c r="G379" i="4" s="1"/>
  <c r="C380" i="4"/>
  <c r="F380" i="4" s="1"/>
  <c r="D380" i="4"/>
  <c r="E380" i="4"/>
  <c r="G380" i="4" s="1"/>
  <c r="C381" i="4"/>
  <c r="F381" i="4" s="1"/>
  <c r="D381" i="4"/>
  <c r="E381" i="4"/>
  <c r="G381" i="4" s="1"/>
  <c r="C382" i="4"/>
  <c r="F382" i="4" s="1"/>
  <c r="D382" i="4"/>
  <c r="E382" i="4"/>
  <c r="G382" i="4" s="1"/>
  <c r="C383" i="4"/>
  <c r="F383" i="4" s="1"/>
  <c r="D383" i="4"/>
  <c r="E383" i="4"/>
  <c r="G383" i="4" s="1"/>
  <c r="C384" i="4"/>
  <c r="F384" i="4" s="1"/>
  <c r="D384" i="4"/>
  <c r="E384" i="4"/>
  <c r="G384" i="4" s="1"/>
  <c r="C385" i="4"/>
  <c r="F385" i="4" s="1"/>
  <c r="D385" i="4"/>
  <c r="E385" i="4"/>
  <c r="G385" i="4" s="1"/>
  <c r="C386" i="4"/>
  <c r="F386" i="4" s="1"/>
  <c r="D386" i="4"/>
  <c r="E386" i="4"/>
  <c r="G386" i="4" s="1"/>
  <c r="C387" i="4"/>
  <c r="F387" i="4" s="1"/>
  <c r="D387" i="4"/>
  <c r="E387" i="4"/>
  <c r="G387" i="4"/>
  <c r="C388" i="4"/>
  <c r="F388" i="4" s="1"/>
  <c r="D388" i="4"/>
  <c r="E388" i="4"/>
  <c r="G388" i="4" s="1"/>
  <c r="C389" i="4"/>
  <c r="F389" i="4" s="1"/>
  <c r="D389" i="4"/>
  <c r="E389" i="4"/>
  <c r="G389" i="4" s="1"/>
  <c r="C390" i="4"/>
  <c r="F390" i="4" s="1"/>
  <c r="D390" i="4"/>
  <c r="E390" i="4"/>
  <c r="G390" i="4" s="1"/>
  <c r="C391" i="4"/>
  <c r="D391" i="4"/>
  <c r="E391" i="4"/>
  <c r="G391" i="4" s="1"/>
  <c r="F391" i="4"/>
  <c r="C392" i="4"/>
  <c r="F392" i="4" s="1"/>
  <c r="D392" i="4"/>
  <c r="E392" i="4"/>
  <c r="G392" i="4" s="1"/>
  <c r="C393" i="4"/>
  <c r="F393" i="4" s="1"/>
  <c r="D393" i="4"/>
  <c r="E393" i="4"/>
  <c r="G393" i="4" s="1"/>
  <c r="C394" i="4"/>
  <c r="F394" i="4" s="1"/>
  <c r="D394" i="4"/>
  <c r="E394" i="4"/>
  <c r="G394" i="4"/>
  <c r="C395" i="4"/>
  <c r="F395" i="4" s="1"/>
  <c r="D395" i="4"/>
  <c r="E395" i="4"/>
  <c r="G395" i="4" s="1"/>
  <c r="C396" i="4"/>
  <c r="F396" i="4" s="1"/>
  <c r="D396" i="4"/>
  <c r="E396" i="4"/>
  <c r="G396" i="4" s="1"/>
  <c r="C397" i="4"/>
  <c r="F397" i="4" s="1"/>
  <c r="D397" i="4"/>
  <c r="E397" i="4"/>
  <c r="G397" i="4" s="1"/>
  <c r="C398" i="4"/>
  <c r="F398" i="4" s="1"/>
  <c r="D398" i="4"/>
  <c r="E398" i="4"/>
  <c r="G398" i="4" s="1"/>
  <c r="C399" i="4"/>
  <c r="F399" i="4" s="1"/>
  <c r="D399" i="4"/>
  <c r="E399" i="4"/>
  <c r="G399" i="4"/>
  <c r="C400" i="4"/>
  <c r="F400" i="4" s="1"/>
  <c r="D400" i="4"/>
  <c r="E400" i="4"/>
  <c r="G400" i="4" s="1"/>
  <c r="C401" i="4"/>
  <c r="F401" i="4" s="1"/>
  <c r="D401" i="4"/>
  <c r="E401" i="4"/>
  <c r="G401" i="4" s="1"/>
  <c r="C402" i="4"/>
  <c r="F402" i="4" s="1"/>
  <c r="D402" i="4"/>
  <c r="E402" i="4"/>
  <c r="G402" i="4" s="1"/>
  <c r="C403" i="4"/>
  <c r="F403" i="4" s="1"/>
  <c r="D403" i="4"/>
  <c r="E403" i="4"/>
  <c r="G403" i="4" s="1"/>
  <c r="C404" i="4"/>
  <c r="F404" i="4" s="1"/>
  <c r="D404" i="4"/>
  <c r="E404" i="4"/>
  <c r="G404" i="4" s="1"/>
  <c r="C405" i="4"/>
  <c r="F405" i="4" s="1"/>
  <c r="D405" i="4"/>
  <c r="E405" i="4"/>
  <c r="G405" i="4" s="1"/>
  <c r="C406" i="4"/>
  <c r="F406" i="4" s="1"/>
  <c r="D406" i="4"/>
  <c r="E406" i="4"/>
  <c r="G406" i="4" s="1"/>
  <c r="C407" i="4"/>
  <c r="F407" i="4" s="1"/>
  <c r="D407" i="4"/>
  <c r="E407" i="4"/>
  <c r="G407" i="4" s="1"/>
  <c r="C408" i="4"/>
  <c r="D408" i="4"/>
  <c r="E408" i="4"/>
  <c r="G408" i="4" s="1"/>
  <c r="F408" i="4"/>
  <c r="C409" i="4"/>
  <c r="F409" i="4" s="1"/>
  <c r="D409" i="4"/>
  <c r="E409" i="4"/>
  <c r="G409" i="4" s="1"/>
  <c r="C410" i="4"/>
  <c r="F410" i="4" s="1"/>
  <c r="D410" i="4"/>
  <c r="E410" i="4"/>
  <c r="G410" i="4" s="1"/>
  <c r="C411" i="4"/>
  <c r="F411" i="4" s="1"/>
  <c r="D411" i="4"/>
  <c r="E411" i="4"/>
  <c r="G411" i="4" s="1"/>
  <c r="C412" i="4"/>
  <c r="F412" i="4" s="1"/>
  <c r="D412" i="4"/>
  <c r="E412" i="4"/>
  <c r="G412" i="4" s="1"/>
  <c r="C413" i="4"/>
  <c r="F413" i="4" s="1"/>
  <c r="D413" i="4"/>
  <c r="E413" i="4"/>
  <c r="G413" i="4" s="1"/>
  <c r="C414" i="4"/>
  <c r="F414" i="4" s="1"/>
  <c r="D414" i="4"/>
  <c r="E414" i="4"/>
  <c r="G414" i="4" s="1"/>
  <c r="C415" i="4"/>
  <c r="F415" i="4" s="1"/>
  <c r="D415" i="4"/>
  <c r="E415" i="4"/>
  <c r="G415" i="4" s="1"/>
  <c r="C416" i="4"/>
  <c r="F416" i="4" s="1"/>
  <c r="D416" i="4"/>
  <c r="E416" i="4"/>
  <c r="G416" i="4" s="1"/>
  <c r="C417" i="4"/>
  <c r="F417" i="4" s="1"/>
  <c r="D417" i="4"/>
  <c r="E417" i="4"/>
  <c r="G417" i="4" s="1"/>
  <c r="C418" i="4"/>
  <c r="F418" i="4" s="1"/>
  <c r="D418" i="4"/>
  <c r="E418" i="4"/>
  <c r="G418" i="4" s="1"/>
  <c r="C419" i="4"/>
  <c r="F419" i="4" s="1"/>
  <c r="D419" i="4"/>
  <c r="E419" i="4"/>
  <c r="G419" i="4" s="1"/>
  <c r="C420" i="4"/>
  <c r="F420" i="4" s="1"/>
  <c r="D420" i="4"/>
  <c r="E420" i="4"/>
  <c r="G420" i="4" s="1"/>
  <c r="C421" i="4"/>
  <c r="F421" i="4" s="1"/>
  <c r="D421" i="4"/>
  <c r="E421" i="4"/>
  <c r="G421" i="4" s="1"/>
  <c r="C422" i="4"/>
  <c r="F422" i="4" s="1"/>
  <c r="D422" i="4"/>
  <c r="E422" i="4"/>
  <c r="G422" i="4" s="1"/>
  <c r="C423" i="4"/>
  <c r="F423" i="4" s="1"/>
  <c r="D423" i="4"/>
  <c r="E423" i="4"/>
  <c r="G423" i="4" s="1"/>
  <c r="C424" i="4"/>
  <c r="D424" i="4"/>
  <c r="E424" i="4"/>
  <c r="G424" i="4" s="1"/>
  <c r="F424" i="4"/>
  <c r="C425" i="4"/>
  <c r="F425" i="4" s="1"/>
  <c r="D425" i="4"/>
  <c r="E425" i="4"/>
  <c r="G425" i="4" s="1"/>
  <c r="C426" i="4"/>
  <c r="F426" i="4" s="1"/>
  <c r="D426" i="4"/>
  <c r="E426" i="4"/>
  <c r="G426" i="4" s="1"/>
  <c r="C427" i="4"/>
  <c r="F427" i="4" s="1"/>
  <c r="D427" i="4"/>
  <c r="E427" i="4"/>
  <c r="G427" i="4"/>
  <c r="C428" i="4"/>
  <c r="F428" i="4" s="1"/>
  <c r="D428" i="4"/>
  <c r="E428" i="4"/>
  <c r="G428" i="4" s="1"/>
  <c r="C429" i="4"/>
  <c r="F429" i="4" s="1"/>
  <c r="D429" i="4"/>
  <c r="E429" i="4"/>
  <c r="G429" i="4" s="1"/>
  <c r="C430" i="4"/>
  <c r="F430" i="4" s="1"/>
  <c r="D430" i="4"/>
  <c r="E430" i="4"/>
  <c r="G430" i="4" s="1"/>
  <c r="C431" i="4"/>
  <c r="F431" i="4" s="1"/>
  <c r="D431" i="4"/>
  <c r="E431" i="4"/>
  <c r="G431" i="4" s="1"/>
  <c r="C432" i="4"/>
  <c r="F432" i="4" s="1"/>
  <c r="D432" i="4"/>
  <c r="E432" i="4"/>
  <c r="G432" i="4" s="1"/>
  <c r="C433" i="4"/>
  <c r="F433" i="4" s="1"/>
  <c r="D433" i="4"/>
  <c r="E433" i="4"/>
  <c r="G433" i="4" s="1"/>
  <c r="C434" i="4"/>
  <c r="F434" i="4" s="1"/>
  <c r="D434" i="4"/>
  <c r="E434" i="4"/>
  <c r="G434" i="4" s="1"/>
  <c r="C435" i="4"/>
  <c r="F435" i="4" s="1"/>
  <c r="D435" i="4"/>
  <c r="E435" i="4"/>
  <c r="G435" i="4" s="1"/>
  <c r="C436" i="4"/>
  <c r="F436" i="4" s="1"/>
  <c r="D436" i="4"/>
  <c r="E436" i="4"/>
  <c r="G436" i="4" s="1"/>
  <c r="C437" i="4"/>
  <c r="F437" i="4" s="1"/>
  <c r="D437" i="4"/>
  <c r="E437" i="4"/>
  <c r="G437" i="4" s="1"/>
  <c r="C438" i="4"/>
  <c r="F438" i="4" s="1"/>
  <c r="D438" i="4"/>
  <c r="E438" i="4"/>
  <c r="G438" i="4" s="1"/>
  <c r="C439" i="4"/>
  <c r="F439" i="4" s="1"/>
  <c r="D439" i="4"/>
  <c r="E439" i="4"/>
  <c r="G439" i="4" s="1"/>
  <c r="C440" i="4"/>
  <c r="F440" i="4" s="1"/>
  <c r="D440" i="4"/>
  <c r="E440" i="4"/>
  <c r="G440" i="4" s="1"/>
  <c r="C441" i="4"/>
  <c r="F441" i="4" s="1"/>
  <c r="D441" i="4"/>
  <c r="E441" i="4"/>
  <c r="G441" i="4" s="1"/>
  <c r="C442" i="4"/>
  <c r="F442" i="4" s="1"/>
  <c r="D442" i="4"/>
  <c r="E442" i="4"/>
  <c r="G442" i="4" s="1"/>
  <c r="C443" i="4"/>
  <c r="F443" i="4" s="1"/>
  <c r="D443" i="4"/>
  <c r="E443" i="4"/>
  <c r="G443" i="4" s="1"/>
  <c r="C444" i="4"/>
  <c r="F444" i="4" s="1"/>
  <c r="D444" i="4"/>
  <c r="E444" i="4"/>
  <c r="G444" i="4" s="1"/>
  <c r="C445" i="4"/>
  <c r="F445" i="4" s="1"/>
  <c r="D445" i="4"/>
  <c r="E445" i="4"/>
  <c r="G445" i="4" s="1"/>
  <c r="C446" i="4"/>
  <c r="F446" i="4" s="1"/>
  <c r="D446" i="4"/>
  <c r="E446" i="4"/>
  <c r="G446" i="4" s="1"/>
  <c r="C447" i="4"/>
  <c r="F447" i="4" s="1"/>
  <c r="D447" i="4"/>
  <c r="E447" i="4"/>
  <c r="G447" i="4" s="1"/>
  <c r="C448" i="4"/>
  <c r="F448" i="4" s="1"/>
  <c r="D448" i="4"/>
  <c r="E448" i="4"/>
  <c r="G448" i="4" s="1"/>
  <c r="C449" i="4"/>
  <c r="F449" i="4" s="1"/>
  <c r="D449" i="4"/>
  <c r="E449" i="4"/>
  <c r="G449" i="4" s="1"/>
  <c r="C450" i="4"/>
  <c r="F450" i="4" s="1"/>
  <c r="D450" i="4"/>
  <c r="E450" i="4"/>
  <c r="G450" i="4" s="1"/>
  <c r="C451" i="4"/>
  <c r="F451" i="4" s="1"/>
  <c r="D451" i="4"/>
  <c r="E451" i="4"/>
  <c r="G451" i="4" s="1"/>
  <c r="C452" i="4"/>
  <c r="D452" i="4"/>
  <c r="E452" i="4"/>
  <c r="G452" i="4" s="1"/>
  <c r="F452" i="4"/>
  <c r="C453" i="4"/>
  <c r="F453" i="4" s="1"/>
  <c r="D453" i="4"/>
  <c r="E453" i="4"/>
  <c r="G453" i="4" s="1"/>
  <c r="C454" i="4"/>
  <c r="F454" i="4" s="1"/>
  <c r="D454" i="4"/>
  <c r="E454" i="4"/>
  <c r="G454" i="4" s="1"/>
  <c r="C455" i="4"/>
  <c r="F455" i="4" s="1"/>
  <c r="D455" i="4"/>
  <c r="E455" i="4"/>
  <c r="G455" i="4"/>
  <c r="C456" i="4"/>
  <c r="F456" i="4" s="1"/>
  <c r="D456" i="4"/>
  <c r="E456" i="4"/>
  <c r="G456" i="4" s="1"/>
  <c r="C457" i="4"/>
  <c r="F457" i="4" s="1"/>
  <c r="D457" i="4"/>
  <c r="E457" i="4"/>
  <c r="G457" i="4" s="1"/>
  <c r="C458" i="4"/>
  <c r="F458" i="4" s="1"/>
  <c r="D458" i="4"/>
  <c r="E458" i="4"/>
  <c r="G458" i="4" s="1"/>
  <c r="C459" i="4"/>
  <c r="F459" i="4" s="1"/>
  <c r="D459" i="4"/>
  <c r="E459" i="4"/>
  <c r="G459" i="4" s="1"/>
  <c r="C460" i="4"/>
  <c r="F460" i="4" s="1"/>
  <c r="D460" i="4"/>
  <c r="E460" i="4"/>
  <c r="G460" i="4" s="1"/>
  <c r="C461" i="4"/>
  <c r="F461" i="4" s="1"/>
  <c r="D461" i="4"/>
  <c r="E461" i="4"/>
  <c r="G461" i="4" s="1"/>
  <c r="C462" i="4"/>
  <c r="F462" i="4" s="1"/>
  <c r="D462" i="4"/>
  <c r="E462" i="4"/>
  <c r="G462" i="4" s="1"/>
  <c r="C463" i="4"/>
  <c r="F463" i="4" s="1"/>
  <c r="D463" i="4"/>
  <c r="E463" i="4"/>
  <c r="G463" i="4" s="1"/>
  <c r="C464" i="4"/>
  <c r="F464" i="4" s="1"/>
  <c r="D464" i="4"/>
  <c r="E464" i="4"/>
  <c r="G464" i="4" s="1"/>
  <c r="C465" i="4"/>
  <c r="F465" i="4" s="1"/>
  <c r="D465" i="4"/>
  <c r="E465" i="4"/>
  <c r="G465" i="4" s="1"/>
  <c r="C466" i="4"/>
  <c r="F466" i="4" s="1"/>
  <c r="D466" i="4"/>
  <c r="E466" i="4"/>
  <c r="G466" i="4" s="1"/>
  <c r="C467" i="4"/>
  <c r="F467" i="4" s="1"/>
  <c r="D467" i="4"/>
  <c r="E467" i="4"/>
  <c r="G467" i="4" s="1"/>
  <c r="C468" i="4"/>
  <c r="F468" i="4" s="1"/>
  <c r="D468" i="4"/>
  <c r="E468" i="4"/>
  <c r="G468" i="4" s="1"/>
  <c r="C469" i="4"/>
  <c r="F469" i="4" s="1"/>
  <c r="D469" i="4"/>
  <c r="E469" i="4"/>
  <c r="G469" i="4" s="1"/>
  <c r="C470" i="4"/>
  <c r="F470" i="4" s="1"/>
  <c r="D470" i="4"/>
  <c r="E470" i="4"/>
  <c r="G470" i="4" s="1"/>
  <c r="C471" i="4"/>
  <c r="F471" i="4" s="1"/>
  <c r="D471" i="4"/>
  <c r="E471" i="4"/>
  <c r="G471" i="4" s="1"/>
  <c r="C472" i="4"/>
  <c r="F472" i="4" s="1"/>
  <c r="D472" i="4"/>
  <c r="E472" i="4"/>
  <c r="G472" i="4" s="1"/>
  <c r="C473" i="4"/>
  <c r="F473" i="4" s="1"/>
  <c r="D473" i="4"/>
  <c r="E473" i="4"/>
  <c r="G473" i="4" s="1"/>
  <c r="C474" i="4"/>
  <c r="F474" i="4" s="1"/>
  <c r="D474" i="4"/>
  <c r="E474" i="4"/>
  <c r="G474" i="4" s="1"/>
  <c r="C475" i="4"/>
  <c r="F475" i="4" s="1"/>
  <c r="D475" i="4"/>
  <c r="E475" i="4"/>
  <c r="G475" i="4" s="1"/>
  <c r="C476" i="4"/>
  <c r="F476" i="4" s="1"/>
  <c r="D476" i="4"/>
  <c r="E476" i="4"/>
  <c r="G476" i="4" s="1"/>
  <c r="C477" i="4"/>
  <c r="F477" i="4" s="1"/>
  <c r="D477" i="4"/>
  <c r="E477" i="4"/>
  <c r="G477" i="4" s="1"/>
  <c r="C478" i="4"/>
  <c r="F478" i="4" s="1"/>
  <c r="D478" i="4"/>
  <c r="E478" i="4"/>
  <c r="G478" i="4"/>
  <c r="C479" i="4"/>
  <c r="F479" i="4" s="1"/>
  <c r="D479" i="4"/>
  <c r="E479" i="4"/>
  <c r="G479" i="4" s="1"/>
  <c r="C480" i="4"/>
  <c r="F480" i="4" s="1"/>
  <c r="D480" i="4"/>
  <c r="E480" i="4"/>
  <c r="G480" i="4" s="1"/>
  <c r="C481" i="4"/>
  <c r="F481" i="4" s="1"/>
  <c r="D481" i="4"/>
  <c r="E481" i="4"/>
  <c r="G481" i="4" s="1"/>
  <c r="C482" i="4"/>
  <c r="F482" i="4" s="1"/>
  <c r="D482" i="4"/>
  <c r="E482" i="4"/>
  <c r="G482" i="4"/>
  <c r="C483" i="4"/>
  <c r="F483" i="4" s="1"/>
  <c r="D483" i="4"/>
  <c r="E483" i="4"/>
  <c r="G483" i="4" s="1"/>
  <c r="C484" i="4"/>
  <c r="D484" i="4"/>
  <c r="E484" i="4"/>
  <c r="G484" i="4" s="1"/>
  <c r="F484" i="4"/>
  <c r="C485" i="4"/>
  <c r="F485" i="4" s="1"/>
  <c r="D485" i="4"/>
  <c r="E485" i="4"/>
  <c r="G485" i="4" s="1"/>
  <c r="C486" i="4"/>
  <c r="F486" i="4" s="1"/>
  <c r="D486" i="4"/>
  <c r="E486" i="4"/>
  <c r="G486" i="4" s="1"/>
  <c r="C487" i="4"/>
  <c r="F487" i="4" s="1"/>
  <c r="D487" i="4"/>
  <c r="E487" i="4"/>
  <c r="G487" i="4" s="1"/>
  <c r="C488" i="4"/>
  <c r="F488" i="4" s="1"/>
  <c r="D488" i="4"/>
  <c r="E488" i="4"/>
  <c r="G488" i="4" s="1"/>
  <c r="C489" i="4"/>
  <c r="F489" i="4" s="1"/>
  <c r="D489" i="4"/>
  <c r="E489" i="4"/>
  <c r="G489" i="4" s="1"/>
  <c r="C490" i="4"/>
  <c r="F490" i="4" s="1"/>
  <c r="D490" i="4"/>
  <c r="E490" i="4"/>
  <c r="G490" i="4" s="1"/>
  <c r="C491" i="4"/>
  <c r="F491" i="4" s="1"/>
  <c r="D491" i="4"/>
  <c r="E491" i="4"/>
  <c r="G491" i="4" s="1"/>
  <c r="C492" i="4"/>
  <c r="F492" i="4" s="1"/>
  <c r="D492" i="4"/>
  <c r="E492" i="4"/>
  <c r="G492" i="4" s="1"/>
  <c r="C493" i="4"/>
  <c r="F493" i="4" s="1"/>
  <c r="D493" i="4"/>
  <c r="E493" i="4"/>
  <c r="G493" i="4" s="1"/>
  <c r="C494" i="4"/>
  <c r="F494" i="4" s="1"/>
  <c r="D494" i="4"/>
  <c r="E494" i="4"/>
  <c r="G494" i="4" s="1"/>
  <c r="C495" i="4"/>
  <c r="F495" i="4" s="1"/>
  <c r="D495" i="4"/>
  <c r="E495" i="4"/>
  <c r="G495" i="4" s="1"/>
  <c r="C496" i="4"/>
  <c r="F496" i="4" s="1"/>
  <c r="D496" i="4"/>
  <c r="E496" i="4"/>
  <c r="G496" i="4" s="1"/>
  <c r="C497" i="4"/>
  <c r="F497" i="4" s="1"/>
  <c r="D497" i="4"/>
  <c r="E497" i="4"/>
  <c r="G497" i="4" s="1"/>
  <c r="C498" i="4"/>
  <c r="F498" i="4" s="1"/>
  <c r="D498" i="4"/>
  <c r="E498" i="4"/>
  <c r="G498" i="4" s="1"/>
  <c r="C499" i="4"/>
  <c r="F499" i="4" s="1"/>
  <c r="D499" i="4"/>
  <c r="E499" i="4"/>
  <c r="G499" i="4" s="1"/>
  <c r="C500" i="4"/>
  <c r="F500" i="4" s="1"/>
  <c r="D500" i="4"/>
  <c r="E500" i="4"/>
  <c r="G500" i="4" s="1"/>
  <c r="C501" i="4"/>
  <c r="F501" i="4" s="1"/>
  <c r="D501" i="4"/>
  <c r="E501" i="4"/>
  <c r="G501" i="4" s="1"/>
  <c r="C502" i="4"/>
  <c r="F502" i="4" s="1"/>
  <c r="D502" i="4"/>
  <c r="E502" i="4"/>
  <c r="G502" i="4" s="1"/>
  <c r="C503" i="4"/>
  <c r="F503" i="4" s="1"/>
  <c r="D503" i="4"/>
  <c r="E503" i="4"/>
  <c r="G503" i="4" s="1"/>
  <c r="C504" i="4"/>
  <c r="F504" i="4" s="1"/>
  <c r="D504" i="4"/>
  <c r="E504" i="4"/>
  <c r="G504" i="4" s="1"/>
  <c r="C505" i="4"/>
  <c r="F505" i="4" s="1"/>
  <c r="D505" i="4"/>
  <c r="E505" i="4"/>
  <c r="G505" i="4" s="1"/>
  <c r="C506" i="4"/>
  <c r="F506" i="4" s="1"/>
  <c r="D506" i="4"/>
  <c r="E506" i="4"/>
  <c r="G506" i="4" s="1"/>
  <c r="C507" i="4"/>
  <c r="F507" i="4" s="1"/>
  <c r="D507" i="4"/>
  <c r="E507" i="4"/>
  <c r="G507" i="4" s="1"/>
  <c r="C508" i="4"/>
  <c r="F508" i="4" s="1"/>
  <c r="D508" i="4"/>
  <c r="E508" i="4"/>
  <c r="G508" i="4" s="1"/>
  <c r="C509" i="4"/>
  <c r="F509" i="4" s="1"/>
  <c r="D509" i="4"/>
  <c r="E509" i="4"/>
  <c r="G509" i="4" s="1"/>
  <c r="C510" i="4"/>
  <c r="F510" i="4" s="1"/>
  <c r="D510" i="4"/>
  <c r="E510" i="4"/>
  <c r="G510" i="4" s="1"/>
  <c r="C511" i="4"/>
  <c r="F511" i="4" s="1"/>
  <c r="D511" i="4"/>
  <c r="E511" i="4"/>
  <c r="G511" i="4" s="1"/>
  <c r="C512" i="4"/>
  <c r="D512" i="4"/>
  <c r="E512" i="4"/>
  <c r="G512" i="4" s="1"/>
  <c r="F512" i="4"/>
  <c r="C513" i="4"/>
  <c r="F513" i="4" s="1"/>
  <c r="D513" i="4"/>
  <c r="E513" i="4"/>
  <c r="G513" i="4" s="1"/>
  <c r="C514" i="4"/>
  <c r="F514" i="4" s="1"/>
  <c r="D514" i="4"/>
  <c r="E514" i="4"/>
  <c r="G514" i="4" s="1"/>
  <c r="C515" i="4"/>
  <c r="F515" i="4" s="1"/>
  <c r="D515" i="4"/>
  <c r="E515" i="4"/>
  <c r="G515" i="4" s="1"/>
  <c r="C516" i="4"/>
  <c r="F516" i="4" s="1"/>
  <c r="D516" i="4"/>
  <c r="E516" i="4"/>
  <c r="G516" i="4" s="1"/>
  <c r="C517" i="4"/>
  <c r="F517" i="4" s="1"/>
  <c r="D517" i="4"/>
  <c r="E517" i="4"/>
  <c r="G517" i="4" s="1"/>
  <c r="C518" i="4"/>
  <c r="F518" i="4" s="1"/>
  <c r="D518" i="4"/>
  <c r="E518" i="4"/>
  <c r="G518" i="4" s="1"/>
  <c r="C519" i="4"/>
  <c r="D519" i="4"/>
  <c r="E519" i="4"/>
  <c r="G519" i="4" s="1"/>
  <c r="F519" i="4"/>
  <c r="C520" i="4"/>
  <c r="F520" i="4" s="1"/>
  <c r="D520" i="4"/>
  <c r="E520" i="4"/>
  <c r="G520" i="4" s="1"/>
  <c r="C521" i="4"/>
  <c r="F521" i="4" s="1"/>
  <c r="D521" i="4"/>
  <c r="E521" i="4"/>
  <c r="G521" i="4" s="1"/>
  <c r="C522" i="4"/>
  <c r="F522" i="4" s="1"/>
  <c r="D522" i="4"/>
  <c r="E522" i="4"/>
  <c r="G522" i="4" s="1"/>
  <c r="C523" i="4"/>
  <c r="F523" i="4" s="1"/>
  <c r="D523" i="4"/>
  <c r="E523" i="4"/>
  <c r="G523" i="4" s="1"/>
  <c r="C524" i="4"/>
  <c r="F524" i="4" s="1"/>
  <c r="D524" i="4"/>
  <c r="E524" i="4"/>
  <c r="G524" i="4" s="1"/>
  <c r="C525" i="4"/>
  <c r="F525" i="4" s="1"/>
  <c r="D525" i="4"/>
  <c r="E525" i="4"/>
  <c r="G525" i="4" s="1"/>
  <c r="C526" i="4"/>
  <c r="F526" i="4" s="1"/>
  <c r="D526" i="4"/>
  <c r="E526" i="4"/>
  <c r="G526" i="4"/>
  <c r="C527" i="4"/>
  <c r="F527" i="4" s="1"/>
  <c r="D527" i="4"/>
  <c r="E527" i="4"/>
  <c r="G527" i="4" s="1"/>
  <c r="C528" i="4"/>
  <c r="D528" i="4"/>
  <c r="E528" i="4"/>
  <c r="G528" i="4" s="1"/>
  <c r="F528" i="4"/>
  <c r="C529" i="4"/>
  <c r="F529" i="4" s="1"/>
  <c r="D529" i="4"/>
  <c r="E529" i="4"/>
  <c r="G529" i="4" s="1"/>
  <c r="C530" i="4"/>
  <c r="F530" i="4" s="1"/>
  <c r="D530" i="4"/>
  <c r="E530" i="4"/>
  <c r="G530" i="4" s="1"/>
  <c r="C531" i="4"/>
  <c r="F531" i="4" s="1"/>
  <c r="D531" i="4"/>
  <c r="E531" i="4"/>
  <c r="G531" i="4" s="1"/>
  <c r="C532" i="4"/>
  <c r="F532" i="4" s="1"/>
  <c r="D532" i="4"/>
  <c r="E532" i="4"/>
  <c r="G532" i="4" s="1"/>
  <c r="C533" i="4"/>
  <c r="F533" i="4" s="1"/>
  <c r="D533" i="4"/>
  <c r="E533" i="4"/>
  <c r="G533" i="4" s="1"/>
  <c r="C534" i="4"/>
  <c r="F534" i="4" s="1"/>
  <c r="D534" i="4"/>
  <c r="E534" i="4"/>
  <c r="G534" i="4" s="1"/>
  <c r="C535" i="4"/>
  <c r="F535" i="4" s="1"/>
  <c r="D535" i="4"/>
  <c r="E535" i="4"/>
  <c r="G535" i="4" s="1"/>
  <c r="C536" i="4"/>
  <c r="F536" i="4" s="1"/>
  <c r="D536" i="4"/>
  <c r="E536" i="4"/>
  <c r="G536" i="4" s="1"/>
  <c r="C537" i="4"/>
  <c r="F537" i="4" s="1"/>
  <c r="D537" i="4"/>
  <c r="E537" i="4"/>
  <c r="G537" i="4" s="1"/>
  <c r="C538" i="4"/>
  <c r="F538" i="4" s="1"/>
  <c r="D538" i="4"/>
  <c r="E538" i="4"/>
  <c r="G538" i="4"/>
  <c r="C539" i="4"/>
  <c r="F539" i="4" s="1"/>
  <c r="D539" i="4"/>
  <c r="E539" i="4"/>
  <c r="G539" i="4" s="1"/>
  <c r="C540" i="4"/>
  <c r="D540" i="4"/>
  <c r="E540" i="4"/>
  <c r="G540" i="4" s="1"/>
  <c r="F540" i="4"/>
  <c r="C541" i="4"/>
  <c r="F541" i="4" s="1"/>
  <c r="D541" i="4"/>
  <c r="E541" i="4"/>
  <c r="G541" i="4" s="1"/>
  <c r="C542" i="4"/>
  <c r="F542" i="4" s="1"/>
  <c r="D542" i="4"/>
  <c r="E542" i="4"/>
  <c r="G542" i="4" s="1"/>
  <c r="C543" i="4"/>
  <c r="F543" i="4" s="1"/>
  <c r="D543" i="4"/>
  <c r="E543" i="4"/>
  <c r="G543" i="4" s="1"/>
  <c r="C544" i="4"/>
  <c r="F544" i="4" s="1"/>
  <c r="D544" i="4"/>
  <c r="E544" i="4"/>
  <c r="G544" i="4" s="1"/>
  <c r="C545" i="4"/>
  <c r="F545" i="4" s="1"/>
  <c r="D545" i="4"/>
  <c r="E545" i="4"/>
  <c r="G545" i="4" s="1"/>
  <c r="C546" i="4"/>
  <c r="F546" i="4" s="1"/>
  <c r="D546" i="4"/>
  <c r="E546" i="4"/>
  <c r="G546" i="4" s="1"/>
  <c r="C547" i="4"/>
  <c r="F547" i="4" s="1"/>
  <c r="D547" i="4"/>
  <c r="E547" i="4"/>
  <c r="G547" i="4" s="1"/>
  <c r="C548" i="4"/>
  <c r="D548" i="4"/>
  <c r="E548" i="4"/>
  <c r="G548" i="4" s="1"/>
  <c r="F548" i="4"/>
  <c r="C549" i="4"/>
  <c r="F549" i="4" s="1"/>
  <c r="D549" i="4"/>
  <c r="E549" i="4"/>
  <c r="G549" i="4" s="1"/>
  <c r="C550" i="4"/>
  <c r="F550" i="4" s="1"/>
  <c r="D550" i="4"/>
  <c r="E550" i="4"/>
  <c r="G550" i="4"/>
  <c r="C551" i="4"/>
  <c r="F551" i="4" s="1"/>
  <c r="D551" i="4"/>
  <c r="E551" i="4"/>
  <c r="G551" i="4" s="1"/>
  <c r="C552" i="4"/>
  <c r="F552" i="4" s="1"/>
  <c r="D552" i="4"/>
  <c r="E552" i="4"/>
  <c r="G552" i="4" s="1"/>
  <c r="C553" i="4"/>
  <c r="F553" i="4" s="1"/>
  <c r="D553" i="4"/>
  <c r="E553" i="4"/>
  <c r="G553" i="4" s="1"/>
  <c r="C554" i="4"/>
  <c r="F554" i="4" s="1"/>
  <c r="D554" i="4"/>
  <c r="E554" i="4"/>
  <c r="G554" i="4" s="1"/>
  <c r="C555" i="4"/>
  <c r="F555" i="4" s="1"/>
  <c r="D555" i="4"/>
  <c r="E555" i="4"/>
  <c r="G555" i="4" s="1"/>
  <c r="C556" i="4"/>
  <c r="F556" i="4" s="1"/>
  <c r="D556" i="4"/>
  <c r="E556" i="4"/>
  <c r="G556" i="4" s="1"/>
  <c r="C557" i="4"/>
  <c r="F557" i="4" s="1"/>
  <c r="D557" i="4"/>
  <c r="E557" i="4"/>
  <c r="G557" i="4" s="1"/>
  <c r="C558" i="4"/>
  <c r="F558" i="4" s="1"/>
  <c r="D558" i="4"/>
  <c r="E558" i="4"/>
  <c r="G558" i="4" s="1"/>
  <c r="C559" i="4"/>
  <c r="F559" i="4" s="1"/>
  <c r="D559" i="4"/>
  <c r="E559" i="4"/>
  <c r="G559" i="4" s="1"/>
  <c r="C560" i="4"/>
  <c r="F560" i="4" s="1"/>
  <c r="D560" i="4"/>
  <c r="E560" i="4"/>
  <c r="G560" i="4" s="1"/>
  <c r="C561" i="4"/>
  <c r="F561" i="4" s="1"/>
  <c r="D561" i="4"/>
  <c r="E561" i="4"/>
  <c r="G561" i="4" s="1"/>
  <c r="C562" i="4"/>
  <c r="F562" i="4" s="1"/>
  <c r="D562" i="4"/>
  <c r="E562" i="4"/>
  <c r="G562" i="4" s="1"/>
  <c r="C563" i="4"/>
  <c r="F563" i="4" s="1"/>
  <c r="D563" i="4"/>
  <c r="E563" i="4"/>
  <c r="G563" i="4" s="1"/>
  <c r="C564" i="4"/>
  <c r="F564" i="4" s="1"/>
  <c r="D564" i="4"/>
  <c r="E564" i="4"/>
  <c r="G564" i="4" s="1"/>
  <c r="C565" i="4"/>
  <c r="F565" i="4" s="1"/>
  <c r="D565" i="4"/>
  <c r="E565" i="4"/>
  <c r="G565" i="4" s="1"/>
  <c r="C566" i="4"/>
  <c r="F566" i="4" s="1"/>
  <c r="D566" i="4"/>
  <c r="E566" i="4"/>
  <c r="G566" i="4"/>
  <c r="C567" i="4"/>
  <c r="F567" i="4" s="1"/>
  <c r="D567" i="4"/>
  <c r="E567" i="4"/>
  <c r="G567" i="4" s="1"/>
  <c r="C568" i="4"/>
  <c r="F568" i="4" s="1"/>
  <c r="D568" i="4"/>
  <c r="E568" i="4"/>
  <c r="G568" i="4" s="1"/>
  <c r="C569" i="4"/>
  <c r="F569" i="4" s="1"/>
  <c r="D569" i="4"/>
  <c r="E569" i="4"/>
  <c r="G569" i="4" s="1"/>
  <c r="C570" i="4"/>
  <c r="F570" i="4" s="1"/>
  <c r="D570" i="4"/>
  <c r="E570" i="4"/>
  <c r="G570" i="4" s="1"/>
  <c r="C571" i="4"/>
  <c r="F571" i="4" s="1"/>
  <c r="D571" i="4"/>
  <c r="E571" i="4"/>
  <c r="G571" i="4" s="1"/>
  <c r="C572" i="4"/>
  <c r="D572" i="4"/>
  <c r="E572" i="4"/>
  <c r="G572" i="4" s="1"/>
  <c r="F572" i="4"/>
  <c r="C573" i="4"/>
  <c r="F573" i="4" s="1"/>
  <c r="D573" i="4"/>
  <c r="E573" i="4"/>
  <c r="G573" i="4" s="1"/>
  <c r="C574" i="4"/>
  <c r="F574" i="4" s="1"/>
  <c r="D574" i="4"/>
  <c r="E574" i="4"/>
  <c r="G574" i="4" s="1"/>
  <c r="C575" i="4"/>
  <c r="F575" i="4" s="1"/>
  <c r="D575" i="4"/>
  <c r="E575" i="4"/>
  <c r="G575" i="4" s="1"/>
  <c r="C576" i="4"/>
  <c r="F576" i="4" s="1"/>
  <c r="D576" i="4"/>
  <c r="E576" i="4"/>
  <c r="G576" i="4" s="1"/>
  <c r="C577" i="4"/>
  <c r="F577" i="4" s="1"/>
  <c r="D577" i="4"/>
  <c r="E577" i="4"/>
  <c r="G577" i="4" s="1"/>
  <c r="C578" i="4"/>
  <c r="F578" i="4" s="1"/>
  <c r="D578" i="4"/>
  <c r="E578" i="4"/>
  <c r="G578" i="4" s="1"/>
  <c r="C579" i="4"/>
  <c r="F579" i="4" s="1"/>
  <c r="D579" i="4"/>
  <c r="E579" i="4"/>
  <c r="G579" i="4" s="1"/>
  <c r="C580" i="4"/>
  <c r="F580" i="4" s="1"/>
  <c r="D580" i="4"/>
  <c r="E580" i="4"/>
  <c r="G580" i="4" s="1"/>
  <c r="C581" i="4"/>
  <c r="F581" i="4" s="1"/>
  <c r="D581" i="4"/>
  <c r="E581" i="4"/>
  <c r="G581" i="4" s="1"/>
  <c r="C582" i="4"/>
  <c r="F582" i="4" s="1"/>
  <c r="D582" i="4"/>
  <c r="E582" i="4"/>
  <c r="G582" i="4"/>
  <c r="C583" i="4"/>
  <c r="F583" i="4" s="1"/>
  <c r="D583" i="4"/>
  <c r="E583" i="4"/>
  <c r="G583" i="4" s="1"/>
  <c r="C584" i="4"/>
  <c r="F584" i="4" s="1"/>
  <c r="D584" i="4"/>
  <c r="E584" i="4"/>
  <c r="G584" i="4" s="1"/>
  <c r="C585" i="4"/>
  <c r="F585" i="4" s="1"/>
  <c r="D585" i="4"/>
  <c r="E585" i="4"/>
  <c r="G585" i="4" s="1"/>
  <c r="C586" i="4"/>
  <c r="F586" i="4" s="1"/>
  <c r="D586" i="4"/>
  <c r="E586" i="4"/>
  <c r="G586" i="4" s="1"/>
  <c r="C587" i="4"/>
  <c r="D587" i="4"/>
  <c r="E587" i="4"/>
  <c r="G587" i="4" s="1"/>
  <c r="F587" i="4"/>
  <c r="C588" i="4"/>
  <c r="F588" i="4" s="1"/>
  <c r="D588" i="4"/>
  <c r="E588" i="4"/>
  <c r="G588" i="4" s="1"/>
  <c r="C589" i="4"/>
  <c r="F589" i="4" s="1"/>
  <c r="D589" i="4"/>
  <c r="E589" i="4"/>
  <c r="G589" i="4" s="1"/>
  <c r="C590" i="4"/>
  <c r="F590" i="4" s="1"/>
  <c r="D590" i="4"/>
  <c r="E590" i="4"/>
  <c r="G590" i="4" s="1"/>
  <c r="C591" i="4"/>
  <c r="F591" i="4" s="1"/>
  <c r="D591" i="4"/>
  <c r="E591" i="4"/>
  <c r="G591" i="4"/>
  <c r="C592" i="4"/>
  <c r="F592" i="4" s="1"/>
  <c r="D592" i="4"/>
  <c r="E592" i="4"/>
  <c r="G592" i="4" s="1"/>
  <c r="C593" i="4"/>
  <c r="F593" i="4" s="1"/>
  <c r="D593" i="4"/>
  <c r="E593" i="4"/>
  <c r="G593" i="4" s="1"/>
  <c r="C594" i="4"/>
  <c r="F594" i="4" s="1"/>
  <c r="D594" i="4"/>
  <c r="E594" i="4"/>
  <c r="G594" i="4"/>
  <c r="C595" i="4"/>
  <c r="F595" i="4" s="1"/>
  <c r="D595" i="4"/>
  <c r="E595" i="4"/>
  <c r="G595" i="4" s="1"/>
  <c r="C596" i="4"/>
  <c r="F596" i="4" s="1"/>
  <c r="D596" i="4"/>
  <c r="E596" i="4"/>
  <c r="G596" i="4" s="1"/>
  <c r="C597" i="4"/>
  <c r="F597" i="4" s="1"/>
  <c r="D597" i="4"/>
  <c r="E597" i="4"/>
  <c r="G597" i="4" s="1"/>
  <c r="C598" i="4"/>
  <c r="F598" i="4" s="1"/>
  <c r="D598" i="4"/>
  <c r="E598" i="4"/>
  <c r="G598" i="4" s="1"/>
  <c r="C599" i="4"/>
  <c r="F599" i="4" s="1"/>
  <c r="D599" i="4"/>
  <c r="E599" i="4"/>
  <c r="G599" i="4" s="1"/>
  <c r="C600" i="4"/>
  <c r="F600" i="4" s="1"/>
  <c r="D600" i="4"/>
  <c r="E600" i="4"/>
  <c r="G600" i="4" s="1"/>
  <c r="C601" i="4"/>
  <c r="F601" i="4" s="1"/>
  <c r="D601" i="4"/>
  <c r="E601" i="4"/>
  <c r="G601" i="4" s="1"/>
  <c r="C602" i="4"/>
  <c r="F602" i="4" s="1"/>
  <c r="D602" i="4"/>
  <c r="E602" i="4"/>
  <c r="G602" i="4" s="1"/>
  <c r="C603" i="4"/>
  <c r="F603" i="4" s="1"/>
  <c r="D603" i="4"/>
  <c r="E603" i="4"/>
  <c r="G603" i="4" s="1"/>
  <c r="C604" i="4"/>
  <c r="D604" i="4"/>
  <c r="E604" i="4"/>
  <c r="G604" i="4" s="1"/>
  <c r="F604" i="4"/>
  <c r="C605" i="4"/>
  <c r="F605" i="4" s="1"/>
  <c r="D605" i="4"/>
  <c r="E605" i="4"/>
  <c r="G605" i="4" s="1"/>
  <c r="C606" i="4"/>
  <c r="F606" i="4" s="1"/>
  <c r="D606" i="4"/>
  <c r="E606" i="4"/>
  <c r="G606" i="4" s="1"/>
  <c r="C607" i="4"/>
  <c r="F607" i="4" s="1"/>
  <c r="D607" i="4"/>
  <c r="E607" i="4"/>
  <c r="G607" i="4" s="1"/>
  <c r="C608" i="4"/>
  <c r="D608" i="4"/>
  <c r="E608" i="4"/>
  <c r="G608" i="4" s="1"/>
  <c r="F608" i="4"/>
  <c r="C609" i="4"/>
  <c r="F609" i="4" s="1"/>
  <c r="D609" i="4"/>
  <c r="E609" i="4"/>
  <c r="G609" i="4" s="1"/>
  <c r="C610" i="4"/>
  <c r="F610" i="4" s="1"/>
  <c r="D610" i="4"/>
  <c r="E610" i="4"/>
  <c r="G610" i="4" s="1"/>
  <c r="C611" i="4"/>
  <c r="F611" i="4" s="1"/>
  <c r="D611" i="4"/>
  <c r="E611" i="4"/>
  <c r="G611" i="4" s="1"/>
  <c r="C612" i="4"/>
  <c r="F612" i="4" s="1"/>
  <c r="D612" i="4"/>
  <c r="E612" i="4"/>
  <c r="G612" i="4" s="1"/>
  <c r="C613" i="4"/>
  <c r="F613" i="4" s="1"/>
  <c r="D613" i="4"/>
  <c r="E613" i="4"/>
  <c r="G613" i="4" s="1"/>
  <c r="C614" i="4"/>
  <c r="F614" i="4" s="1"/>
  <c r="D614" i="4"/>
  <c r="E614" i="4"/>
  <c r="G614" i="4" s="1"/>
  <c r="C615" i="4"/>
  <c r="F615" i="4" s="1"/>
  <c r="D615" i="4"/>
  <c r="E615" i="4"/>
  <c r="G615" i="4" s="1"/>
  <c r="C616" i="4"/>
  <c r="F616" i="4" s="1"/>
  <c r="D616" i="4"/>
  <c r="E616" i="4"/>
  <c r="G616" i="4" s="1"/>
  <c r="C617" i="4"/>
  <c r="F617" i="4" s="1"/>
  <c r="D617" i="4"/>
  <c r="E617" i="4"/>
  <c r="G617" i="4" s="1"/>
  <c r="C618" i="4"/>
  <c r="F618" i="4" s="1"/>
  <c r="D618" i="4"/>
  <c r="E618" i="4"/>
  <c r="G618" i="4" s="1"/>
  <c r="C619" i="4"/>
  <c r="F619" i="4" s="1"/>
  <c r="D619" i="4"/>
  <c r="E619" i="4"/>
  <c r="G619" i="4" s="1"/>
  <c r="C620" i="4"/>
  <c r="F620" i="4" s="1"/>
  <c r="D620" i="4"/>
  <c r="E620" i="4"/>
  <c r="G620" i="4" s="1"/>
  <c r="C621" i="4"/>
  <c r="F621" i="4" s="1"/>
  <c r="D621" i="4"/>
  <c r="E621" i="4"/>
  <c r="G621" i="4" s="1"/>
  <c r="C622" i="4"/>
  <c r="F622" i="4" s="1"/>
  <c r="D622" i="4"/>
  <c r="E622" i="4"/>
  <c r="G622" i="4" s="1"/>
  <c r="C623" i="4"/>
  <c r="F623" i="4" s="1"/>
  <c r="D623" i="4"/>
  <c r="E623" i="4"/>
  <c r="G623" i="4" s="1"/>
  <c r="C624" i="4"/>
  <c r="F624" i="4" s="1"/>
  <c r="D624" i="4"/>
  <c r="E624" i="4"/>
  <c r="G624" i="4" s="1"/>
  <c r="C625" i="4"/>
  <c r="F625" i="4" s="1"/>
  <c r="D625" i="4"/>
  <c r="E625" i="4"/>
  <c r="G625" i="4" s="1"/>
  <c r="F15" i="5" s="1"/>
  <c r="C626" i="4"/>
  <c r="F626" i="4" s="1"/>
  <c r="D626" i="4"/>
  <c r="E626" i="4"/>
  <c r="G626" i="4" s="1"/>
  <c r="C627" i="4"/>
  <c r="F627" i="4" s="1"/>
  <c r="D627" i="4"/>
  <c r="E627" i="4"/>
  <c r="G627" i="4" s="1"/>
  <c r="C628" i="4"/>
  <c r="F628" i="4" s="1"/>
  <c r="D628" i="4"/>
  <c r="E628" i="4"/>
  <c r="G628" i="4" s="1"/>
  <c r="C629" i="4"/>
  <c r="F629" i="4" s="1"/>
  <c r="D629" i="4"/>
  <c r="E629" i="4"/>
  <c r="G629" i="4" s="1"/>
  <c r="C630" i="4"/>
  <c r="F630" i="4" s="1"/>
  <c r="D630" i="4"/>
  <c r="E630" i="4"/>
  <c r="G630" i="4"/>
  <c r="C631" i="4"/>
  <c r="F631" i="4" s="1"/>
  <c r="D631" i="4"/>
  <c r="E631" i="4"/>
  <c r="G631" i="4" s="1"/>
  <c r="C632" i="4"/>
  <c r="F632" i="4" s="1"/>
  <c r="D632" i="4"/>
  <c r="E632" i="4"/>
  <c r="G632" i="4" s="1"/>
  <c r="C633" i="4"/>
  <c r="F633" i="4" s="1"/>
  <c r="D633" i="4"/>
  <c r="E633" i="4"/>
  <c r="G633" i="4" s="1"/>
  <c r="C634" i="4"/>
  <c r="F634" i="4" s="1"/>
  <c r="D634" i="4"/>
  <c r="E634" i="4"/>
  <c r="G634" i="4" s="1"/>
  <c r="C635" i="4"/>
  <c r="F635" i="4" s="1"/>
  <c r="D635" i="4"/>
  <c r="E635" i="4"/>
  <c r="G635" i="4" s="1"/>
  <c r="C636" i="4"/>
  <c r="D636" i="4"/>
  <c r="E636" i="4"/>
  <c r="G636" i="4" s="1"/>
  <c r="F636" i="4"/>
  <c r="C637" i="4"/>
  <c r="F637" i="4" s="1"/>
  <c r="D637" i="4"/>
  <c r="E637" i="4"/>
  <c r="G637" i="4" s="1"/>
  <c r="C638" i="4"/>
  <c r="F638" i="4" s="1"/>
  <c r="D638" i="4"/>
  <c r="E638" i="4"/>
  <c r="G638" i="4" s="1"/>
  <c r="C639" i="4"/>
  <c r="F639" i="4" s="1"/>
  <c r="D639" i="4"/>
  <c r="E639" i="4"/>
  <c r="G639" i="4" s="1"/>
  <c r="C640" i="4"/>
  <c r="F640" i="4" s="1"/>
  <c r="D640" i="4"/>
  <c r="E640" i="4"/>
  <c r="G640" i="4" s="1"/>
  <c r="C641" i="4"/>
  <c r="F641" i="4" s="1"/>
  <c r="D641" i="4"/>
  <c r="E641" i="4"/>
  <c r="G641" i="4" s="1"/>
  <c r="C642" i="4"/>
  <c r="F642" i="4" s="1"/>
  <c r="D642" i="4"/>
  <c r="E642" i="4"/>
  <c r="G642" i="4" s="1"/>
  <c r="C643" i="4"/>
  <c r="F643" i="4" s="1"/>
  <c r="D643" i="4"/>
  <c r="E643" i="4"/>
  <c r="G643" i="4" s="1"/>
  <c r="C644" i="4"/>
  <c r="F644" i="4" s="1"/>
  <c r="D644" i="4"/>
  <c r="E644" i="4"/>
  <c r="G644" i="4" s="1"/>
  <c r="C645" i="4"/>
  <c r="F645" i="4" s="1"/>
  <c r="D645" i="4"/>
  <c r="E645" i="4"/>
  <c r="G645" i="4" s="1"/>
  <c r="C646" i="4"/>
  <c r="F646" i="4" s="1"/>
  <c r="D646" i="4"/>
  <c r="E646" i="4"/>
  <c r="G646" i="4" s="1"/>
  <c r="C647" i="4"/>
  <c r="F647" i="4" s="1"/>
  <c r="D647" i="4"/>
  <c r="E647" i="4"/>
  <c r="G647" i="4" s="1"/>
  <c r="C648" i="4"/>
  <c r="F648" i="4" s="1"/>
  <c r="D648" i="4"/>
  <c r="E648" i="4"/>
  <c r="G648" i="4" s="1"/>
  <c r="C649" i="4"/>
  <c r="F649" i="4" s="1"/>
  <c r="D649" i="4"/>
  <c r="E649" i="4"/>
  <c r="G649" i="4" s="1"/>
  <c r="C650" i="4"/>
  <c r="F650" i="4" s="1"/>
  <c r="D650" i="4"/>
  <c r="E650" i="4"/>
  <c r="G650" i="4"/>
  <c r="C651" i="4"/>
  <c r="F651" i="4" s="1"/>
  <c r="D651" i="4"/>
  <c r="E651" i="4"/>
  <c r="G651" i="4" s="1"/>
  <c r="C652" i="4"/>
  <c r="F652" i="4" s="1"/>
  <c r="D652" i="4"/>
  <c r="E652" i="4"/>
  <c r="G652" i="4" s="1"/>
  <c r="C653" i="4"/>
  <c r="F653" i="4" s="1"/>
  <c r="D653" i="4"/>
  <c r="E653" i="4"/>
  <c r="G653" i="4" s="1"/>
  <c r="C654" i="4"/>
  <c r="D654" i="4"/>
  <c r="E654" i="4"/>
  <c r="G654" i="4" s="1"/>
  <c r="F654" i="4"/>
  <c r="C655" i="4"/>
  <c r="F655" i="4" s="1"/>
  <c r="D655" i="4"/>
  <c r="E655" i="4"/>
  <c r="G655" i="4" s="1"/>
  <c r="C656" i="4"/>
  <c r="D656" i="4"/>
  <c r="E656" i="4"/>
  <c r="G656" i="4" s="1"/>
  <c r="F656" i="4"/>
  <c r="C657" i="4"/>
  <c r="F657" i="4" s="1"/>
  <c r="D657" i="4"/>
  <c r="E657" i="4"/>
  <c r="G657" i="4" s="1"/>
  <c r="C658" i="4"/>
  <c r="F658" i="4" s="1"/>
  <c r="D658" i="4"/>
  <c r="E658" i="4"/>
  <c r="G658" i="4" s="1"/>
  <c r="C659" i="4"/>
  <c r="F659" i="4" s="1"/>
  <c r="D659" i="4"/>
  <c r="E659" i="4"/>
  <c r="G659" i="4" s="1"/>
  <c r="C660" i="4"/>
  <c r="F660" i="4" s="1"/>
  <c r="D660" i="4"/>
  <c r="E660" i="4"/>
  <c r="G660" i="4" s="1"/>
  <c r="C661" i="4"/>
  <c r="F661" i="4" s="1"/>
  <c r="D661" i="4"/>
  <c r="E661" i="4"/>
  <c r="G661" i="4" s="1"/>
  <c r="C662" i="4"/>
  <c r="F662" i="4" s="1"/>
  <c r="D662" i="4"/>
  <c r="E662" i="4"/>
  <c r="G662" i="4" s="1"/>
  <c r="C663" i="4"/>
  <c r="F663" i="4" s="1"/>
  <c r="D663" i="4"/>
  <c r="E663" i="4"/>
  <c r="G663" i="4" s="1"/>
  <c r="C664" i="4"/>
  <c r="F664" i="4" s="1"/>
  <c r="D664" i="4"/>
  <c r="E664" i="4"/>
  <c r="G664" i="4" s="1"/>
  <c r="C665" i="4"/>
  <c r="F665" i="4" s="1"/>
  <c r="D665" i="4"/>
  <c r="E665" i="4"/>
  <c r="G665" i="4" s="1"/>
  <c r="C666" i="4"/>
  <c r="F666" i="4" s="1"/>
  <c r="D666" i="4"/>
  <c r="E666" i="4"/>
  <c r="G666" i="4" s="1"/>
  <c r="C667" i="4"/>
  <c r="F667" i="4" s="1"/>
  <c r="D667" i="4"/>
  <c r="E667" i="4"/>
  <c r="G667" i="4" s="1"/>
  <c r="C668" i="4"/>
  <c r="F668" i="4" s="1"/>
  <c r="D668" i="4"/>
  <c r="E668" i="4"/>
  <c r="G668" i="4" s="1"/>
  <c r="C669" i="4"/>
  <c r="F669" i="4" s="1"/>
  <c r="D669" i="4"/>
  <c r="E669" i="4"/>
  <c r="G669" i="4" s="1"/>
  <c r="C670" i="4"/>
  <c r="F670" i="4" s="1"/>
  <c r="D670" i="4"/>
  <c r="E670" i="4"/>
  <c r="G670" i="4" s="1"/>
  <c r="C671" i="4"/>
  <c r="D671" i="4"/>
  <c r="E671" i="4"/>
  <c r="G671" i="4" s="1"/>
  <c r="F671" i="4"/>
  <c r="C672" i="4"/>
  <c r="F672" i="4" s="1"/>
  <c r="D672" i="4"/>
  <c r="E672" i="4"/>
  <c r="G672" i="4" s="1"/>
  <c r="C673" i="4"/>
  <c r="F673" i="4" s="1"/>
  <c r="D673" i="4"/>
  <c r="E673" i="4"/>
  <c r="G673" i="4" s="1"/>
  <c r="C674" i="4"/>
  <c r="F674" i="4" s="1"/>
  <c r="D674" i="4"/>
  <c r="E674" i="4"/>
  <c r="G674" i="4"/>
  <c r="C675" i="4"/>
  <c r="F675" i="4" s="1"/>
  <c r="D675" i="4"/>
  <c r="E675" i="4"/>
  <c r="G675" i="4" s="1"/>
  <c r="C676" i="4"/>
  <c r="F676" i="4" s="1"/>
  <c r="D676" i="4"/>
  <c r="E676" i="4"/>
  <c r="G676" i="4" s="1"/>
  <c r="C677" i="4"/>
  <c r="F677" i="4" s="1"/>
  <c r="D677" i="4"/>
  <c r="E677" i="4"/>
  <c r="G677" i="4"/>
  <c r="C678" i="4"/>
  <c r="F678" i="4" s="1"/>
  <c r="D678" i="4"/>
  <c r="E678" i="4"/>
  <c r="G678" i="4" s="1"/>
  <c r="C679" i="4"/>
  <c r="F679" i="4" s="1"/>
  <c r="D679" i="4"/>
  <c r="E679" i="4"/>
  <c r="G679" i="4" s="1"/>
  <c r="C680" i="4"/>
  <c r="D680" i="4"/>
  <c r="E680" i="4"/>
  <c r="G680" i="4" s="1"/>
  <c r="F680" i="4"/>
  <c r="C681" i="4"/>
  <c r="F681" i="4" s="1"/>
  <c r="D681" i="4"/>
  <c r="E681" i="4"/>
  <c r="G681" i="4" s="1"/>
  <c r="C682" i="4"/>
  <c r="F682" i="4" s="1"/>
  <c r="D682" i="4"/>
  <c r="E682" i="4"/>
  <c r="G682" i="4" s="1"/>
  <c r="C683" i="4"/>
  <c r="F683" i="4" s="1"/>
  <c r="D683" i="4"/>
  <c r="E683" i="4"/>
  <c r="G683" i="4" s="1"/>
  <c r="C684" i="4"/>
  <c r="F684" i="4" s="1"/>
  <c r="D684" i="4"/>
  <c r="E684" i="4"/>
  <c r="G684" i="4" s="1"/>
  <c r="C685" i="4"/>
  <c r="F685" i="4" s="1"/>
  <c r="D685" i="4"/>
  <c r="E685" i="4"/>
  <c r="G685" i="4" s="1"/>
  <c r="C686" i="4"/>
  <c r="F686" i="4" s="1"/>
  <c r="D686" i="4"/>
  <c r="E686" i="4"/>
  <c r="G686" i="4"/>
  <c r="C687" i="4"/>
  <c r="F687" i="4" s="1"/>
  <c r="D687" i="4"/>
  <c r="E687" i="4"/>
  <c r="G687" i="4" s="1"/>
  <c r="C688" i="4"/>
  <c r="F688" i="4" s="1"/>
  <c r="D688" i="4"/>
  <c r="E688" i="4"/>
  <c r="G688" i="4" s="1"/>
  <c r="C689" i="4"/>
  <c r="F689" i="4" s="1"/>
  <c r="D689" i="4"/>
  <c r="E689" i="4"/>
  <c r="G689" i="4" s="1"/>
  <c r="C690" i="4"/>
  <c r="F690" i="4" s="1"/>
  <c r="D690" i="4"/>
  <c r="E690" i="4"/>
  <c r="G690" i="4"/>
  <c r="C691" i="4"/>
  <c r="F691" i="4" s="1"/>
  <c r="D691" i="4"/>
  <c r="E691" i="4"/>
  <c r="G691" i="4" s="1"/>
  <c r="C692" i="4"/>
  <c r="F692" i="4" s="1"/>
  <c r="D692" i="4"/>
  <c r="E692" i="4"/>
  <c r="G692" i="4" s="1"/>
  <c r="C693" i="4"/>
  <c r="F693" i="4" s="1"/>
  <c r="D693" i="4"/>
  <c r="E693" i="4"/>
  <c r="G693" i="4" s="1"/>
  <c r="C694" i="4"/>
  <c r="F694" i="4" s="1"/>
  <c r="D694" i="4"/>
  <c r="E694" i="4"/>
  <c r="G694" i="4" s="1"/>
  <c r="C695" i="4"/>
  <c r="D695" i="4"/>
  <c r="E695" i="4"/>
  <c r="G695" i="4" s="1"/>
  <c r="F695" i="4"/>
  <c r="C696" i="4"/>
  <c r="D696" i="4"/>
  <c r="E696" i="4"/>
  <c r="G696" i="4" s="1"/>
  <c r="F696" i="4"/>
  <c r="C697" i="4"/>
  <c r="F697" i="4" s="1"/>
  <c r="D697" i="4"/>
  <c r="E697" i="4"/>
  <c r="G697" i="4" s="1"/>
  <c r="C698" i="4"/>
  <c r="F698" i="4" s="1"/>
  <c r="D698" i="4"/>
  <c r="E698" i="4"/>
  <c r="G698" i="4" s="1"/>
  <c r="C699" i="4"/>
  <c r="F699" i="4" s="1"/>
  <c r="D699" i="4"/>
  <c r="E699" i="4"/>
  <c r="G699" i="4" s="1"/>
  <c r="C700" i="4"/>
  <c r="F700" i="4" s="1"/>
  <c r="D700" i="4"/>
  <c r="E700" i="4"/>
  <c r="G700" i="4" s="1"/>
  <c r="C701" i="4"/>
  <c r="F701" i="4" s="1"/>
  <c r="D701" i="4"/>
  <c r="E701" i="4"/>
  <c r="G701" i="4" s="1"/>
  <c r="C702" i="4"/>
  <c r="F702" i="4" s="1"/>
  <c r="D702" i="4"/>
  <c r="E702" i="4"/>
  <c r="G702" i="4" s="1"/>
  <c r="C703" i="4"/>
  <c r="F703" i="4" s="1"/>
  <c r="D703" i="4"/>
  <c r="E703" i="4"/>
  <c r="G703" i="4" s="1"/>
  <c r="C704" i="4"/>
  <c r="F704" i="4" s="1"/>
  <c r="D704" i="4"/>
  <c r="E704" i="4"/>
  <c r="G704" i="4" s="1"/>
  <c r="C705" i="4"/>
  <c r="F705" i="4" s="1"/>
  <c r="D705" i="4"/>
  <c r="E705" i="4"/>
  <c r="G705" i="4" s="1"/>
  <c r="C706" i="4"/>
  <c r="F706" i="4" s="1"/>
  <c r="D706" i="4"/>
  <c r="E706" i="4"/>
  <c r="G706" i="4" s="1"/>
  <c r="C707" i="4"/>
  <c r="F707" i="4" s="1"/>
  <c r="D707" i="4"/>
  <c r="E707" i="4"/>
  <c r="G707" i="4" s="1"/>
  <c r="C708" i="4"/>
  <c r="F708" i="4" s="1"/>
  <c r="D708" i="4"/>
  <c r="E708" i="4"/>
  <c r="G708" i="4" s="1"/>
  <c r="C709" i="4"/>
  <c r="F709" i="4" s="1"/>
  <c r="D709" i="4"/>
  <c r="E709" i="4"/>
  <c r="G709" i="4" s="1"/>
  <c r="C710" i="4"/>
  <c r="F710" i="4" s="1"/>
  <c r="D710" i="4"/>
  <c r="E710" i="4"/>
  <c r="G710" i="4"/>
  <c r="C711" i="4"/>
  <c r="F711" i="4" s="1"/>
  <c r="D711" i="4"/>
  <c r="E711" i="4"/>
  <c r="G711" i="4" s="1"/>
  <c r="C712" i="4"/>
  <c r="F712" i="4" s="1"/>
  <c r="D712" i="4"/>
  <c r="E712" i="4"/>
  <c r="G712" i="4" s="1"/>
  <c r="C713" i="4"/>
  <c r="F713" i="4" s="1"/>
  <c r="D713" i="4"/>
  <c r="E713" i="4"/>
  <c r="G713" i="4" s="1"/>
  <c r="C714" i="4"/>
  <c r="F714" i="4" s="1"/>
  <c r="D714" i="4"/>
  <c r="E714" i="4"/>
  <c r="G714" i="4" s="1"/>
  <c r="C715" i="4"/>
  <c r="F715" i="4" s="1"/>
  <c r="D715" i="4"/>
  <c r="E715" i="4"/>
  <c r="G715" i="4" s="1"/>
  <c r="C716" i="4"/>
  <c r="F716" i="4" s="1"/>
  <c r="D716" i="4"/>
  <c r="E716" i="4"/>
  <c r="G716" i="4" s="1"/>
  <c r="C717" i="4"/>
  <c r="F717" i="4" s="1"/>
  <c r="D717" i="4"/>
  <c r="E717" i="4"/>
  <c r="G717" i="4" s="1"/>
  <c r="C718" i="4"/>
  <c r="F718" i="4" s="1"/>
  <c r="D718" i="4"/>
  <c r="E718" i="4"/>
  <c r="G718" i="4" s="1"/>
  <c r="C719" i="4"/>
  <c r="D719" i="4"/>
  <c r="E719" i="4"/>
  <c r="G719" i="4" s="1"/>
  <c r="F719" i="4"/>
  <c r="C720" i="4"/>
  <c r="F720" i="4" s="1"/>
  <c r="D720" i="4"/>
  <c r="E720" i="4"/>
  <c r="G720" i="4" s="1"/>
  <c r="C721" i="4"/>
  <c r="F721" i="4" s="1"/>
  <c r="D721" i="4"/>
  <c r="E721" i="4"/>
  <c r="G721" i="4" s="1"/>
  <c r="C722" i="4"/>
  <c r="F722" i="4" s="1"/>
  <c r="D722" i="4"/>
  <c r="E722" i="4"/>
  <c r="G722" i="4" s="1"/>
  <c r="C723" i="4"/>
  <c r="F723" i="4" s="1"/>
  <c r="D723" i="4"/>
  <c r="E723" i="4"/>
  <c r="G723" i="4" s="1"/>
  <c r="C724" i="4"/>
  <c r="F724" i="4" s="1"/>
  <c r="D724" i="4"/>
  <c r="E724" i="4"/>
  <c r="G724" i="4" s="1"/>
  <c r="C725" i="4"/>
  <c r="F725" i="4" s="1"/>
  <c r="D725" i="4"/>
  <c r="E725" i="4"/>
  <c r="G725" i="4" s="1"/>
  <c r="C726" i="4"/>
  <c r="F726" i="4" s="1"/>
  <c r="D726" i="4"/>
  <c r="E726" i="4"/>
  <c r="G726" i="4" s="1"/>
  <c r="C727" i="4"/>
  <c r="F727" i="4" s="1"/>
  <c r="D727" i="4"/>
  <c r="E727" i="4"/>
  <c r="G727" i="4" s="1"/>
  <c r="C728" i="4"/>
  <c r="F728" i="4" s="1"/>
  <c r="D728" i="4"/>
  <c r="E728" i="4"/>
  <c r="G728" i="4" s="1"/>
  <c r="C729" i="4"/>
  <c r="F729" i="4" s="1"/>
  <c r="D729" i="4"/>
  <c r="E729" i="4"/>
  <c r="G729" i="4" s="1"/>
  <c r="C730" i="4"/>
  <c r="F730" i="4" s="1"/>
  <c r="D730" i="4"/>
  <c r="E730" i="4"/>
  <c r="G730" i="4"/>
  <c r="C731" i="4"/>
  <c r="F731" i="4" s="1"/>
  <c r="D731" i="4"/>
  <c r="E731" i="4"/>
  <c r="G731" i="4" s="1"/>
  <c r="C732" i="4"/>
  <c r="F732" i="4" s="1"/>
  <c r="D732" i="4"/>
  <c r="E732" i="4"/>
  <c r="G732" i="4" s="1"/>
  <c r="C733" i="4"/>
  <c r="F733" i="4" s="1"/>
  <c r="D733" i="4"/>
  <c r="E733" i="4"/>
  <c r="G733" i="4" s="1"/>
  <c r="C734" i="4"/>
  <c r="F734" i="4" s="1"/>
  <c r="D734" i="4"/>
  <c r="E734" i="4"/>
  <c r="G734" i="4" s="1"/>
  <c r="C735" i="4"/>
  <c r="F735" i="4" s="1"/>
  <c r="D735" i="4"/>
  <c r="E735" i="4"/>
  <c r="G735" i="4" s="1"/>
  <c r="C736" i="4"/>
  <c r="F736" i="4" s="1"/>
  <c r="D736" i="4"/>
  <c r="E736" i="4"/>
  <c r="G736" i="4" s="1"/>
  <c r="C737" i="4"/>
  <c r="F737" i="4" s="1"/>
  <c r="D737" i="4"/>
  <c r="E737" i="4"/>
  <c r="G737" i="4" s="1"/>
  <c r="C738" i="4"/>
  <c r="F738" i="4" s="1"/>
  <c r="D738" i="4"/>
  <c r="E738" i="4"/>
  <c r="G738" i="4" s="1"/>
  <c r="C739" i="4"/>
  <c r="F739" i="4" s="1"/>
  <c r="D739" i="4"/>
  <c r="E739" i="4"/>
  <c r="G739" i="4" s="1"/>
  <c r="C740" i="4"/>
  <c r="F740" i="4" s="1"/>
  <c r="D740" i="4"/>
  <c r="E740" i="4"/>
  <c r="G740" i="4" s="1"/>
  <c r="C741" i="4"/>
  <c r="F741" i="4" s="1"/>
  <c r="D741" i="4"/>
  <c r="E741" i="4"/>
  <c r="G741" i="4" s="1"/>
  <c r="C742" i="4"/>
  <c r="F742" i="4" s="1"/>
  <c r="D742" i="4"/>
  <c r="E742" i="4"/>
  <c r="G742" i="4" s="1"/>
  <c r="C743" i="4"/>
  <c r="F743" i="4" s="1"/>
  <c r="D743" i="4"/>
  <c r="E743" i="4"/>
  <c r="G743" i="4" s="1"/>
  <c r="C744" i="4"/>
  <c r="F744" i="4" s="1"/>
  <c r="D744" i="4"/>
  <c r="E744" i="4"/>
  <c r="G744" i="4" s="1"/>
  <c r="C745" i="4"/>
  <c r="F745" i="4" s="1"/>
  <c r="D745" i="4"/>
  <c r="E745" i="4"/>
  <c r="G745" i="4" s="1"/>
  <c r="C746" i="4"/>
  <c r="F746" i="4" s="1"/>
  <c r="D746" i="4"/>
  <c r="E746" i="4"/>
  <c r="G746" i="4" s="1"/>
  <c r="C747" i="4"/>
  <c r="F747" i="4" s="1"/>
  <c r="D747" i="4"/>
  <c r="E747" i="4"/>
  <c r="G747" i="4" s="1"/>
  <c r="C748" i="4"/>
  <c r="F748" i="4" s="1"/>
  <c r="D748" i="4"/>
  <c r="E748" i="4"/>
  <c r="G748" i="4" s="1"/>
  <c r="C749" i="4"/>
  <c r="F749" i="4" s="1"/>
  <c r="D749" i="4"/>
  <c r="E749" i="4"/>
  <c r="G749" i="4" s="1"/>
  <c r="C750" i="4"/>
  <c r="F750" i="4" s="1"/>
  <c r="D750" i="4"/>
  <c r="E750" i="4"/>
  <c r="G750" i="4" s="1"/>
  <c r="C751" i="4"/>
  <c r="F751" i="4" s="1"/>
  <c r="D751" i="4"/>
  <c r="E751" i="4"/>
  <c r="G751" i="4" s="1"/>
  <c r="C752" i="4"/>
  <c r="F752" i="4" s="1"/>
  <c r="D752" i="4"/>
  <c r="E752" i="4"/>
  <c r="G752" i="4" s="1"/>
  <c r="C753" i="4"/>
  <c r="F753" i="4" s="1"/>
  <c r="D753" i="4"/>
  <c r="E753" i="4"/>
  <c r="G753" i="4" s="1"/>
  <c r="C754" i="4"/>
  <c r="F754" i="4" s="1"/>
  <c r="D754" i="4"/>
  <c r="E754" i="4"/>
  <c r="G754" i="4"/>
  <c r="C755" i="4"/>
  <c r="F755" i="4" s="1"/>
  <c r="D755" i="4"/>
  <c r="E755" i="4"/>
  <c r="G755" i="4" s="1"/>
  <c r="C756" i="4"/>
  <c r="F756" i="4" s="1"/>
  <c r="D756" i="4"/>
  <c r="E756" i="4"/>
  <c r="G756" i="4" s="1"/>
  <c r="C757" i="4"/>
  <c r="F757" i="4" s="1"/>
  <c r="D757" i="4"/>
  <c r="E757" i="4"/>
  <c r="G757" i="4" s="1"/>
  <c r="C758" i="4"/>
  <c r="F758" i="4" s="1"/>
  <c r="D758" i="4"/>
  <c r="E758" i="4"/>
  <c r="G758" i="4" s="1"/>
  <c r="C759" i="4"/>
  <c r="F759" i="4" s="1"/>
  <c r="D759" i="4"/>
  <c r="E759" i="4"/>
  <c r="G759" i="4" s="1"/>
  <c r="C760" i="4"/>
  <c r="F760" i="4" s="1"/>
  <c r="D760" i="4"/>
  <c r="E760" i="4"/>
  <c r="G760" i="4" s="1"/>
  <c r="C761" i="4"/>
  <c r="F761" i="4" s="1"/>
  <c r="D761" i="4"/>
  <c r="E761" i="4"/>
  <c r="G761" i="4" s="1"/>
  <c r="C762" i="4"/>
  <c r="F762" i="4" s="1"/>
  <c r="D762" i="4"/>
  <c r="E762" i="4"/>
  <c r="G762" i="4"/>
  <c r="C763" i="4"/>
  <c r="F763" i="4" s="1"/>
  <c r="D763" i="4"/>
  <c r="E763" i="4"/>
  <c r="G763" i="4" s="1"/>
  <c r="C764" i="4"/>
  <c r="F764" i="4" s="1"/>
  <c r="D764" i="4"/>
  <c r="E764" i="4"/>
  <c r="G764" i="4" s="1"/>
  <c r="C765" i="4"/>
  <c r="F765" i="4" s="1"/>
  <c r="D765" i="4"/>
  <c r="E765" i="4"/>
  <c r="G765" i="4" s="1"/>
  <c r="C766" i="4"/>
  <c r="F766" i="4" s="1"/>
  <c r="D766" i="4"/>
  <c r="E766" i="4"/>
  <c r="G766" i="4" s="1"/>
  <c r="C767" i="4"/>
  <c r="F767" i="4" s="1"/>
  <c r="D767" i="4"/>
  <c r="E767" i="4"/>
  <c r="G767" i="4" s="1"/>
  <c r="C768" i="4"/>
  <c r="F768" i="4" s="1"/>
  <c r="D768" i="4"/>
  <c r="E768" i="4"/>
  <c r="G768" i="4" s="1"/>
  <c r="C769" i="4"/>
  <c r="F769" i="4" s="1"/>
  <c r="D769" i="4"/>
  <c r="E769" i="4"/>
  <c r="G769" i="4" s="1"/>
  <c r="C770" i="4"/>
  <c r="F770" i="4" s="1"/>
  <c r="D770" i="4"/>
  <c r="E770" i="4"/>
  <c r="G770" i="4"/>
  <c r="C771" i="4"/>
  <c r="F771" i="4" s="1"/>
  <c r="D771" i="4"/>
  <c r="E771" i="4"/>
  <c r="G771" i="4" s="1"/>
  <c r="C772" i="4"/>
  <c r="F772" i="4" s="1"/>
  <c r="D772" i="4"/>
  <c r="E772" i="4"/>
  <c r="G772" i="4" s="1"/>
  <c r="C773" i="4"/>
  <c r="F773" i="4" s="1"/>
  <c r="D773" i="4"/>
  <c r="E773" i="4"/>
  <c r="G773" i="4" s="1"/>
  <c r="C774" i="4"/>
  <c r="F774" i="4" s="1"/>
  <c r="D774" i="4"/>
  <c r="E774" i="4"/>
  <c r="G774" i="4" s="1"/>
  <c r="C775" i="4"/>
  <c r="F775" i="4" s="1"/>
  <c r="D775" i="4"/>
  <c r="E775" i="4"/>
  <c r="G775" i="4" s="1"/>
  <c r="C776" i="4"/>
  <c r="F776" i="4" s="1"/>
  <c r="D776" i="4"/>
  <c r="E776" i="4"/>
  <c r="G776" i="4" s="1"/>
  <c r="C777" i="4"/>
  <c r="F777" i="4" s="1"/>
  <c r="D777" i="4"/>
  <c r="E777" i="4"/>
  <c r="G777" i="4" s="1"/>
  <c r="C778" i="4"/>
  <c r="F778" i="4" s="1"/>
  <c r="D778" i="4"/>
  <c r="E778" i="4"/>
  <c r="G778" i="4"/>
  <c r="C779" i="4"/>
  <c r="F779" i="4" s="1"/>
  <c r="D779" i="4"/>
  <c r="E779" i="4"/>
  <c r="G779" i="4" s="1"/>
  <c r="C780" i="4"/>
  <c r="F780" i="4" s="1"/>
  <c r="D780" i="4"/>
  <c r="E780" i="4"/>
  <c r="G780" i="4" s="1"/>
  <c r="C781" i="4"/>
  <c r="F781" i="4" s="1"/>
  <c r="D781" i="4"/>
  <c r="E781" i="4"/>
  <c r="G781" i="4"/>
  <c r="C782" i="4"/>
  <c r="F782" i="4" s="1"/>
  <c r="D782" i="4"/>
  <c r="E782" i="4"/>
  <c r="G782" i="4" s="1"/>
  <c r="C783" i="4"/>
  <c r="F783" i="4" s="1"/>
  <c r="D783" i="4"/>
  <c r="E783" i="4"/>
  <c r="G783" i="4" s="1"/>
  <c r="C784" i="4"/>
  <c r="F784" i="4" s="1"/>
  <c r="D784" i="4"/>
  <c r="E784" i="4"/>
  <c r="G784" i="4" s="1"/>
  <c r="C785" i="4"/>
  <c r="F785" i="4" s="1"/>
  <c r="D785" i="4"/>
  <c r="E785" i="4"/>
  <c r="G785" i="4" s="1"/>
  <c r="C786" i="4"/>
  <c r="F786" i="4" s="1"/>
  <c r="D786" i="4"/>
  <c r="E786" i="4"/>
  <c r="G786" i="4" s="1"/>
  <c r="C787" i="4"/>
  <c r="F787" i="4" s="1"/>
  <c r="D787" i="4"/>
  <c r="E787" i="4"/>
  <c r="G787" i="4" s="1"/>
  <c r="C788" i="4"/>
  <c r="F788" i="4" s="1"/>
  <c r="D788" i="4"/>
  <c r="E788" i="4"/>
  <c r="G788" i="4" s="1"/>
  <c r="C789" i="4"/>
  <c r="F789" i="4" s="1"/>
  <c r="D789" i="4"/>
  <c r="E789" i="4"/>
  <c r="G789" i="4" s="1"/>
  <c r="C790" i="4"/>
  <c r="D790" i="4"/>
  <c r="E790" i="4"/>
  <c r="G790" i="4" s="1"/>
  <c r="F790" i="4"/>
  <c r="C791" i="4"/>
  <c r="F791" i="4" s="1"/>
  <c r="D791" i="4"/>
  <c r="E791" i="4"/>
  <c r="G791" i="4" s="1"/>
  <c r="C792" i="4"/>
  <c r="F792" i="4" s="1"/>
  <c r="D792" i="4"/>
  <c r="E792" i="4"/>
  <c r="G792" i="4" s="1"/>
  <c r="C793" i="4"/>
  <c r="F793" i="4" s="1"/>
  <c r="D793" i="4"/>
  <c r="E793" i="4"/>
  <c r="G793" i="4" s="1"/>
  <c r="C794" i="4"/>
  <c r="F794" i="4" s="1"/>
  <c r="D794" i="4"/>
  <c r="E794" i="4"/>
  <c r="G794" i="4" s="1"/>
  <c r="C795" i="4"/>
  <c r="F795" i="4" s="1"/>
  <c r="D795" i="4"/>
  <c r="E795" i="4"/>
  <c r="G795" i="4" s="1"/>
  <c r="C796" i="4"/>
  <c r="F796" i="4" s="1"/>
  <c r="D796" i="4"/>
  <c r="E796" i="4"/>
  <c r="G796" i="4" s="1"/>
  <c r="C797" i="4"/>
  <c r="F797" i="4" s="1"/>
  <c r="D797" i="4"/>
  <c r="E797" i="4"/>
  <c r="G797" i="4" s="1"/>
  <c r="C798" i="4"/>
  <c r="F798" i="4" s="1"/>
  <c r="D798" i="4"/>
  <c r="E798" i="4"/>
  <c r="G798" i="4"/>
  <c r="C799" i="4"/>
  <c r="F799" i="4" s="1"/>
  <c r="D799" i="4"/>
  <c r="E799" i="4"/>
  <c r="G799" i="4" s="1"/>
  <c r="C800" i="4"/>
  <c r="F800" i="4" s="1"/>
  <c r="D800" i="4"/>
  <c r="E800" i="4"/>
  <c r="G800" i="4" s="1"/>
  <c r="C801" i="4"/>
  <c r="F801" i="4" s="1"/>
  <c r="D801" i="4"/>
  <c r="E801" i="4"/>
  <c r="G801" i="4" s="1"/>
  <c r="C802" i="4"/>
  <c r="F802" i="4" s="1"/>
  <c r="D802" i="4"/>
  <c r="E802" i="4"/>
  <c r="G802" i="4" s="1"/>
  <c r="C803" i="4"/>
  <c r="F803" i="4" s="1"/>
  <c r="D803" i="4"/>
  <c r="E803" i="4"/>
  <c r="G803" i="4" s="1"/>
  <c r="C804" i="4"/>
  <c r="F804" i="4" s="1"/>
  <c r="D804" i="4"/>
  <c r="E804" i="4"/>
  <c r="G804" i="4" s="1"/>
  <c r="C805" i="4"/>
  <c r="F805" i="4" s="1"/>
  <c r="D805" i="4"/>
  <c r="E805" i="4"/>
  <c r="G805" i="4" s="1"/>
  <c r="C806" i="4"/>
  <c r="F806" i="4" s="1"/>
  <c r="D806" i="4"/>
  <c r="E806" i="4"/>
  <c r="G806" i="4"/>
  <c r="C807" i="4"/>
  <c r="F807" i="4" s="1"/>
  <c r="D807" i="4"/>
  <c r="E807" i="4"/>
  <c r="G807" i="4" s="1"/>
  <c r="C808" i="4"/>
  <c r="F808" i="4" s="1"/>
  <c r="D808" i="4"/>
  <c r="E808" i="4"/>
  <c r="G808" i="4" s="1"/>
  <c r="C809" i="4"/>
  <c r="F809" i="4" s="1"/>
  <c r="D809" i="4"/>
  <c r="E809" i="4"/>
  <c r="G809" i="4" s="1"/>
  <c r="C810" i="4"/>
  <c r="F810" i="4" s="1"/>
  <c r="D810" i="4"/>
  <c r="E810" i="4"/>
  <c r="G810" i="4" s="1"/>
  <c r="C811" i="4"/>
  <c r="F811" i="4" s="1"/>
  <c r="D811" i="4"/>
  <c r="E811" i="4"/>
  <c r="G811" i="4" s="1"/>
  <c r="C812" i="4"/>
  <c r="F812" i="4" s="1"/>
  <c r="D812" i="4"/>
  <c r="E812" i="4"/>
  <c r="G812" i="4" s="1"/>
  <c r="C813" i="4"/>
  <c r="F813" i="4" s="1"/>
  <c r="D813" i="4"/>
  <c r="E813" i="4"/>
  <c r="G813" i="4" s="1"/>
  <c r="C814" i="4"/>
  <c r="F814" i="4" s="1"/>
  <c r="D814" i="4"/>
  <c r="E814" i="4"/>
  <c r="G814" i="4" s="1"/>
  <c r="C815" i="4"/>
  <c r="F815" i="4" s="1"/>
  <c r="D815" i="4"/>
  <c r="E815" i="4"/>
  <c r="G815" i="4" s="1"/>
  <c r="C816" i="4"/>
  <c r="F816" i="4" s="1"/>
  <c r="D816" i="4"/>
  <c r="E816" i="4"/>
  <c r="G816" i="4" s="1"/>
  <c r="C817" i="4"/>
  <c r="F817" i="4" s="1"/>
  <c r="D817" i="4"/>
  <c r="E817" i="4"/>
  <c r="G817" i="4" s="1"/>
  <c r="C818" i="4"/>
  <c r="F818" i="4" s="1"/>
  <c r="D818" i="4"/>
  <c r="E818" i="4"/>
  <c r="G818" i="4" s="1"/>
  <c r="C819" i="4"/>
  <c r="F819" i="4" s="1"/>
  <c r="D819" i="4"/>
  <c r="E819" i="4"/>
  <c r="G819" i="4" s="1"/>
  <c r="C820" i="4"/>
  <c r="F820" i="4" s="1"/>
  <c r="D820" i="4"/>
  <c r="E820" i="4"/>
  <c r="G820" i="4" s="1"/>
  <c r="C821" i="4"/>
  <c r="F821" i="4" s="1"/>
  <c r="D821" i="4"/>
  <c r="E821" i="4"/>
  <c r="G821" i="4" s="1"/>
  <c r="C822" i="4"/>
  <c r="D822" i="4"/>
  <c r="E822" i="4"/>
  <c r="G822" i="4" s="1"/>
  <c r="F822" i="4"/>
  <c r="C823" i="4"/>
  <c r="F823" i="4" s="1"/>
  <c r="D823" i="4"/>
  <c r="E823" i="4"/>
  <c r="G823" i="4" s="1"/>
  <c r="C824" i="4"/>
  <c r="F824" i="4" s="1"/>
  <c r="D824" i="4"/>
  <c r="E824" i="4"/>
  <c r="G824" i="4" s="1"/>
  <c r="C825" i="4"/>
  <c r="F825" i="4" s="1"/>
  <c r="D825" i="4"/>
  <c r="E825" i="4"/>
  <c r="G825" i="4" s="1"/>
  <c r="C826" i="4"/>
  <c r="F826" i="4" s="1"/>
  <c r="D826" i="4"/>
  <c r="E826" i="4"/>
  <c r="G826" i="4" s="1"/>
  <c r="C827" i="4"/>
  <c r="F827" i="4" s="1"/>
  <c r="D827" i="4"/>
  <c r="E827" i="4"/>
  <c r="G827" i="4" s="1"/>
  <c r="C828" i="4"/>
  <c r="F828" i="4" s="1"/>
  <c r="D828" i="4"/>
  <c r="E828" i="4"/>
  <c r="G828" i="4" s="1"/>
  <c r="C829" i="4"/>
  <c r="F829" i="4" s="1"/>
  <c r="D829" i="4"/>
  <c r="E829" i="4"/>
  <c r="G829" i="4" s="1"/>
  <c r="C830" i="4"/>
  <c r="F830" i="4" s="1"/>
  <c r="D830" i="4"/>
  <c r="E830" i="4"/>
  <c r="G830" i="4" s="1"/>
  <c r="C831" i="4"/>
  <c r="F831" i="4" s="1"/>
  <c r="D831" i="4"/>
  <c r="E831" i="4"/>
  <c r="G831" i="4" s="1"/>
  <c r="C832" i="4"/>
  <c r="F832" i="4" s="1"/>
  <c r="D832" i="4"/>
  <c r="E832" i="4"/>
  <c r="G832" i="4" s="1"/>
  <c r="C833" i="4"/>
  <c r="F833" i="4" s="1"/>
  <c r="D833" i="4"/>
  <c r="E833" i="4"/>
  <c r="G833" i="4" s="1"/>
  <c r="C834" i="4"/>
  <c r="F834" i="4" s="1"/>
  <c r="D834" i="4"/>
  <c r="E834" i="4"/>
  <c r="G834" i="4" s="1"/>
  <c r="C835" i="4"/>
  <c r="F835" i="4" s="1"/>
  <c r="D835" i="4"/>
  <c r="E835" i="4"/>
  <c r="G835" i="4" s="1"/>
  <c r="C836" i="4"/>
  <c r="D836" i="4"/>
  <c r="E836" i="4"/>
  <c r="G836" i="4" s="1"/>
  <c r="F836" i="4"/>
  <c r="C837" i="4"/>
  <c r="F837" i="4" s="1"/>
  <c r="D837" i="4"/>
  <c r="E837" i="4"/>
  <c r="G837" i="4" s="1"/>
  <c r="C838" i="4"/>
  <c r="F838" i="4" s="1"/>
  <c r="D838" i="4"/>
  <c r="E838" i="4"/>
  <c r="G838" i="4"/>
  <c r="C839" i="4"/>
  <c r="F839" i="4" s="1"/>
  <c r="D839" i="4"/>
  <c r="E839" i="4"/>
  <c r="G839" i="4" s="1"/>
  <c r="C840" i="4"/>
  <c r="D840" i="4"/>
  <c r="E840" i="4"/>
  <c r="G840" i="4" s="1"/>
  <c r="F840" i="4"/>
  <c r="C841" i="4"/>
  <c r="F841" i="4" s="1"/>
  <c r="D841" i="4"/>
  <c r="E841" i="4"/>
  <c r="G841" i="4" s="1"/>
  <c r="C842" i="4"/>
  <c r="F842" i="4" s="1"/>
  <c r="D842" i="4"/>
  <c r="E842" i="4"/>
  <c r="G842" i="4" s="1"/>
  <c r="C843" i="4"/>
  <c r="F843" i="4" s="1"/>
  <c r="D843" i="4"/>
  <c r="E843" i="4"/>
  <c r="G843" i="4" s="1"/>
  <c r="C844" i="4"/>
  <c r="F844" i="4" s="1"/>
  <c r="D844" i="4"/>
  <c r="E844" i="4"/>
  <c r="G844" i="4" s="1"/>
  <c r="C845" i="4"/>
  <c r="F845" i="4" s="1"/>
  <c r="D845" i="4"/>
  <c r="E845" i="4"/>
  <c r="G845" i="4" s="1"/>
  <c r="C846" i="4"/>
  <c r="F846" i="4" s="1"/>
  <c r="D846" i="4"/>
  <c r="E846" i="4"/>
  <c r="G846" i="4" s="1"/>
  <c r="C847" i="4"/>
  <c r="F847" i="4" s="1"/>
  <c r="D847" i="4"/>
  <c r="E847" i="4"/>
  <c r="G847" i="4" s="1"/>
  <c r="C848" i="4"/>
  <c r="D848" i="4"/>
  <c r="E848" i="4"/>
  <c r="G848" i="4" s="1"/>
  <c r="F848" i="4"/>
  <c r="C849" i="4"/>
  <c r="F849" i="4" s="1"/>
  <c r="D849" i="4"/>
  <c r="E849" i="4"/>
  <c r="G849" i="4" s="1"/>
  <c r="C850" i="4"/>
  <c r="F850" i="4" s="1"/>
  <c r="D850" i="4"/>
  <c r="E850" i="4"/>
  <c r="G850" i="4" s="1"/>
  <c r="C851" i="4"/>
  <c r="F851" i="4" s="1"/>
  <c r="D851" i="4"/>
  <c r="E851" i="4"/>
  <c r="G851" i="4" s="1"/>
  <c r="C852" i="4"/>
  <c r="F852" i="4" s="1"/>
  <c r="D852" i="4"/>
  <c r="E852" i="4"/>
  <c r="G852" i="4" s="1"/>
  <c r="C853" i="4"/>
  <c r="F853" i="4" s="1"/>
  <c r="D853" i="4"/>
  <c r="E853" i="4"/>
  <c r="G853" i="4" s="1"/>
  <c r="C854" i="4"/>
  <c r="F854" i="4" s="1"/>
  <c r="D854" i="4"/>
  <c r="E854" i="4"/>
  <c r="G854" i="4"/>
  <c r="C855" i="4"/>
  <c r="F855" i="4" s="1"/>
  <c r="D855" i="4"/>
  <c r="E855" i="4"/>
  <c r="G855" i="4" s="1"/>
  <c r="C856" i="4"/>
  <c r="F856" i="4" s="1"/>
  <c r="D856" i="4"/>
  <c r="E856" i="4"/>
  <c r="G856" i="4" s="1"/>
  <c r="C857" i="4"/>
  <c r="F857" i="4" s="1"/>
  <c r="D857" i="4"/>
  <c r="E857" i="4"/>
  <c r="G857" i="4" s="1"/>
  <c r="C858" i="4"/>
  <c r="F858" i="4" s="1"/>
  <c r="D858" i="4"/>
  <c r="E858" i="4"/>
  <c r="G858" i="4"/>
  <c r="C859" i="4"/>
  <c r="F859" i="4" s="1"/>
  <c r="D859" i="4"/>
  <c r="E859" i="4"/>
  <c r="G859" i="4" s="1"/>
  <c r="C860" i="4"/>
  <c r="F860" i="4" s="1"/>
  <c r="D860" i="4"/>
  <c r="E860" i="4"/>
  <c r="G860" i="4" s="1"/>
  <c r="C861" i="4"/>
  <c r="F861" i="4" s="1"/>
  <c r="D861" i="4"/>
  <c r="E861" i="4"/>
  <c r="G861" i="4" s="1"/>
  <c r="C862" i="4"/>
  <c r="D862" i="4"/>
  <c r="E862" i="4"/>
  <c r="G862" i="4" s="1"/>
  <c r="F862" i="4"/>
  <c r="C863" i="4"/>
  <c r="F863" i="4" s="1"/>
  <c r="D863" i="4"/>
  <c r="E863" i="4"/>
  <c r="G863" i="4" s="1"/>
  <c r="C864" i="4"/>
  <c r="F864" i="4" s="1"/>
  <c r="D864" i="4"/>
  <c r="E864" i="4"/>
  <c r="G864" i="4" s="1"/>
  <c r="C865" i="4"/>
  <c r="F865" i="4" s="1"/>
  <c r="D865" i="4"/>
  <c r="E865" i="4"/>
  <c r="G865" i="4"/>
  <c r="C866" i="4"/>
  <c r="F866" i="4" s="1"/>
  <c r="D866" i="4"/>
  <c r="E866" i="4"/>
  <c r="G866" i="4" s="1"/>
  <c r="C867" i="4"/>
  <c r="F867" i="4" s="1"/>
  <c r="D867" i="4"/>
  <c r="E867" i="4"/>
  <c r="G867" i="4" s="1"/>
  <c r="C868" i="4"/>
  <c r="F868" i="4" s="1"/>
  <c r="D868" i="4"/>
  <c r="E868" i="4"/>
  <c r="G868" i="4" s="1"/>
  <c r="C869" i="4"/>
  <c r="F869" i="4" s="1"/>
  <c r="D869" i="4"/>
  <c r="E869" i="4"/>
  <c r="G869" i="4" s="1"/>
  <c r="C870" i="4"/>
  <c r="F870" i="4" s="1"/>
  <c r="D870" i="4"/>
  <c r="E870" i="4"/>
  <c r="G870" i="4" s="1"/>
  <c r="C871" i="4"/>
  <c r="F871" i="4" s="1"/>
  <c r="D871" i="4"/>
  <c r="E871" i="4"/>
  <c r="G871" i="4" s="1"/>
  <c r="C872" i="4"/>
  <c r="D872" i="4"/>
  <c r="E872" i="4"/>
  <c r="G872" i="4" s="1"/>
  <c r="F872" i="4"/>
  <c r="C873" i="4"/>
  <c r="F873" i="4" s="1"/>
  <c r="D873" i="4"/>
  <c r="E873" i="4"/>
  <c r="G873" i="4" s="1"/>
  <c r="C874" i="4"/>
  <c r="F874" i="4" s="1"/>
  <c r="D874" i="4"/>
  <c r="E874" i="4"/>
  <c r="G874" i="4" s="1"/>
  <c r="C875" i="4"/>
  <c r="F875" i="4" s="1"/>
  <c r="D875" i="4"/>
  <c r="E875" i="4"/>
  <c r="G875" i="4" s="1"/>
  <c r="C876" i="4"/>
  <c r="F876" i="4" s="1"/>
  <c r="D876" i="4"/>
  <c r="E876" i="4"/>
  <c r="G876" i="4" s="1"/>
  <c r="C877" i="4"/>
  <c r="F877" i="4" s="1"/>
  <c r="D877" i="4"/>
  <c r="E877" i="4"/>
  <c r="G877" i="4" s="1"/>
  <c r="C878" i="4"/>
  <c r="F878" i="4" s="1"/>
  <c r="D878" i="4"/>
  <c r="E878" i="4"/>
  <c r="G878" i="4" s="1"/>
  <c r="C879" i="4"/>
  <c r="D879" i="4"/>
  <c r="E879" i="4"/>
  <c r="G879" i="4" s="1"/>
  <c r="F879" i="4"/>
  <c r="C880" i="4"/>
  <c r="F880" i="4" s="1"/>
  <c r="D880" i="4"/>
  <c r="E880" i="4"/>
  <c r="G880" i="4" s="1"/>
  <c r="C881" i="4"/>
  <c r="F881" i="4" s="1"/>
  <c r="D881" i="4"/>
  <c r="E881" i="4"/>
  <c r="G881" i="4" s="1"/>
  <c r="C882" i="4"/>
  <c r="F882" i="4" s="1"/>
  <c r="D882" i="4"/>
  <c r="E882" i="4"/>
  <c r="G882" i="4" s="1"/>
  <c r="C883" i="4"/>
  <c r="F883" i="4" s="1"/>
  <c r="D883" i="4"/>
  <c r="E883" i="4"/>
  <c r="G883" i="4" s="1"/>
  <c r="C884" i="4"/>
  <c r="F884" i="4" s="1"/>
  <c r="D884" i="4"/>
  <c r="E884" i="4"/>
  <c r="G884" i="4" s="1"/>
  <c r="C885" i="4"/>
  <c r="F885" i="4" s="1"/>
  <c r="D885" i="4"/>
  <c r="E885" i="4"/>
  <c r="G885" i="4" s="1"/>
  <c r="C886" i="4"/>
  <c r="F886" i="4" s="1"/>
  <c r="D886" i="4"/>
  <c r="E886" i="4"/>
  <c r="G886" i="4" s="1"/>
  <c r="C887" i="4"/>
  <c r="F887" i="4" s="1"/>
  <c r="D887" i="4"/>
  <c r="E887" i="4"/>
  <c r="G887" i="4" s="1"/>
  <c r="C888" i="4"/>
  <c r="D888" i="4"/>
  <c r="E888" i="4"/>
  <c r="G888" i="4" s="1"/>
  <c r="F888" i="4"/>
  <c r="C889" i="4"/>
  <c r="F889" i="4" s="1"/>
  <c r="D889" i="4"/>
  <c r="E889" i="4"/>
  <c r="G889" i="4" s="1"/>
  <c r="C890" i="4"/>
  <c r="F890" i="4" s="1"/>
  <c r="D890" i="4"/>
  <c r="E890" i="4"/>
  <c r="G890" i="4" s="1"/>
  <c r="C891" i="4"/>
  <c r="F891" i="4" s="1"/>
  <c r="D891" i="4"/>
  <c r="E891" i="4"/>
  <c r="G891" i="4" s="1"/>
  <c r="C892" i="4"/>
  <c r="F892" i="4" s="1"/>
  <c r="D892" i="4"/>
  <c r="E892" i="4"/>
  <c r="G892" i="4" s="1"/>
  <c r="C893" i="4"/>
  <c r="F893" i="4" s="1"/>
  <c r="D893" i="4"/>
  <c r="E893" i="4"/>
  <c r="G893" i="4" s="1"/>
  <c r="C894" i="4"/>
  <c r="F894" i="4" s="1"/>
  <c r="D894" i="4"/>
  <c r="E894" i="4"/>
  <c r="G894" i="4" s="1"/>
  <c r="C895" i="4"/>
  <c r="F895" i="4" s="1"/>
  <c r="D895" i="4"/>
  <c r="E895" i="4"/>
  <c r="G895" i="4" s="1"/>
  <c r="C896" i="4"/>
  <c r="F896" i="4" s="1"/>
  <c r="D896" i="4"/>
  <c r="E896" i="4"/>
  <c r="G896" i="4" s="1"/>
  <c r="C897" i="4"/>
  <c r="F897" i="4" s="1"/>
  <c r="D897" i="4"/>
  <c r="E897" i="4"/>
  <c r="G897" i="4" s="1"/>
  <c r="C898" i="4"/>
  <c r="F898" i="4" s="1"/>
  <c r="D898" i="4"/>
  <c r="E898" i="4"/>
  <c r="G898" i="4"/>
  <c r="C899" i="4"/>
  <c r="F899" i="4" s="1"/>
  <c r="D899" i="4"/>
  <c r="E899" i="4"/>
  <c r="G899" i="4" s="1"/>
  <c r="C900" i="4"/>
  <c r="F900" i="4" s="1"/>
  <c r="D900" i="4"/>
  <c r="E900" i="4"/>
  <c r="G900" i="4" s="1"/>
  <c r="C901" i="4"/>
  <c r="F901" i="4" s="1"/>
  <c r="D901" i="4"/>
  <c r="E901" i="4"/>
  <c r="G901" i="4" s="1"/>
  <c r="C902" i="4"/>
  <c r="F902" i="4" s="1"/>
  <c r="D902" i="4"/>
  <c r="E902" i="4"/>
  <c r="G902" i="4" s="1"/>
  <c r="C903" i="4"/>
  <c r="F903" i="4" s="1"/>
  <c r="D903" i="4"/>
  <c r="E903" i="4"/>
  <c r="G903" i="4" s="1"/>
  <c r="C904" i="4"/>
  <c r="F904" i="4" s="1"/>
  <c r="D904" i="4"/>
  <c r="E904" i="4"/>
  <c r="G904" i="4" s="1"/>
  <c r="C905" i="4"/>
  <c r="F905" i="4" s="1"/>
  <c r="D905" i="4"/>
  <c r="E905" i="4"/>
  <c r="G905" i="4" s="1"/>
  <c r="C906" i="4"/>
  <c r="F906" i="4" s="1"/>
  <c r="D906" i="4"/>
  <c r="E906" i="4"/>
  <c r="G906" i="4"/>
  <c r="C907" i="4"/>
  <c r="F907" i="4" s="1"/>
  <c r="D907" i="4"/>
  <c r="E907" i="4"/>
  <c r="G907" i="4" s="1"/>
  <c r="C908" i="4"/>
  <c r="F908" i="4" s="1"/>
  <c r="D908" i="4"/>
  <c r="E908" i="4"/>
  <c r="G908" i="4" s="1"/>
  <c r="C909" i="4"/>
  <c r="F909" i="4" s="1"/>
  <c r="D909" i="4"/>
  <c r="E909" i="4"/>
  <c r="G909" i="4" s="1"/>
  <c r="C910" i="4"/>
  <c r="F910" i="4" s="1"/>
  <c r="D910" i="4"/>
  <c r="E910" i="4"/>
  <c r="G910" i="4" s="1"/>
  <c r="C911" i="4"/>
  <c r="D911" i="4"/>
  <c r="E911" i="4"/>
  <c r="G911" i="4" s="1"/>
  <c r="F911" i="4"/>
  <c r="C912" i="4"/>
  <c r="F912" i="4" s="1"/>
  <c r="D912" i="4"/>
  <c r="E912" i="4"/>
  <c r="G912" i="4" s="1"/>
  <c r="C913" i="4"/>
  <c r="F913" i="4" s="1"/>
  <c r="D913" i="4"/>
  <c r="E913" i="4"/>
  <c r="G913" i="4" s="1"/>
  <c r="C914" i="4"/>
  <c r="F914" i="4" s="1"/>
  <c r="D914" i="4"/>
  <c r="E914" i="4"/>
  <c r="G914" i="4" s="1"/>
  <c r="C915" i="4"/>
  <c r="F915" i="4" s="1"/>
  <c r="D915" i="4"/>
  <c r="E915" i="4"/>
  <c r="G915" i="4" s="1"/>
  <c r="C916" i="4"/>
  <c r="F916" i="4" s="1"/>
  <c r="D916" i="4"/>
  <c r="E916" i="4"/>
  <c r="G916" i="4" s="1"/>
  <c r="C917" i="4"/>
  <c r="F917" i="4" s="1"/>
  <c r="D917" i="4"/>
  <c r="E917" i="4"/>
  <c r="G917" i="4" s="1"/>
  <c r="C918" i="4"/>
  <c r="F918" i="4" s="1"/>
  <c r="D918" i="4"/>
  <c r="E918" i="4"/>
  <c r="G918" i="4" s="1"/>
  <c r="C919" i="4"/>
  <c r="F919" i="4" s="1"/>
  <c r="D919" i="4"/>
  <c r="E919" i="4"/>
  <c r="G919" i="4" s="1"/>
  <c r="C920" i="4"/>
  <c r="F920" i="4" s="1"/>
  <c r="D920" i="4"/>
  <c r="E920" i="4"/>
  <c r="G920" i="4" s="1"/>
  <c r="C921" i="4"/>
  <c r="F921" i="4" s="1"/>
  <c r="D921" i="4"/>
  <c r="E921" i="4"/>
  <c r="G921" i="4" s="1"/>
  <c r="C922" i="4"/>
  <c r="F922" i="4" s="1"/>
  <c r="D922" i="4"/>
  <c r="E922" i="4"/>
  <c r="G922" i="4"/>
  <c r="C923" i="4"/>
  <c r="F923" i="4" s="1"/>
  <c r="D923" i="4"/>
  <c r="E923" i="4"/>
  <c r="G923" i="4" s="1"/>
  <c r="C924" i="4"/>
  <c r="F924" i="4" s="1"/>
  <c r="D924" i="4"/>
  <c r="E924" i="4"/>
  <c r="G924" i="4" s="1"/>
  <c r="C925" i="4"/>
  <c r="F925" i="4" s="1"/>
  <c r="D925" i="4"/>
  <c r="E925" i="4"/>
  <c r="G925" i="4" s="1"/>
  <c r="C926" i="4"/>
  <c r="F926" i="4" s="1"/>
  <c r="D926" i="4"/>
  <c r="E926" i="4"/>
  <c r="G926" i="4" s="1"/>
  <c r="C927" i="4"/>
  <c r="F927" i="4" s="1"/>
  <c r="D927" i="4"/>
  <c r="E927" i="4"/>
  <c r="G927" i="4" s="1"/>
  <c r="C928" i="4"/>
  <c r="F928" i="4" s="1"/>
  <c r="D928" i="4"/>
  <c r="E928" i="4"/>
  <c r="G928" i="4" s="1"/>
  <c r="C929" i="4"/>
  <c r="F929" i="4" s="1"/>
  <c r="D929" i="4"/>
  <c r="E929" i="4"/>
  <c r="G929" i="4" s="1"/>
  <c r="C930" i="4"/>
  <c r="F930" i="4" s="1"/>
  <c r="D930" i="4"/>
  <c r="E930" i="4"/>
  <c r="G930" i="4" s="1"/>
  <c r="C931" i="4"/>
  <c r="F931" i="4" s="1"/>
  <c r="D931" i="4"/>
  <c r="E931" i="4"/>
  <c r="G931" i="4" s="1"/>
  <c r="C932" i="4"/>
  <c r="F932" i="4" s="1"/>
  <c r="D932" i="4"/>
  <c r="E932" i="4"/>
  <c r="G932" i="4" s="1"/>
  <c r="C933" i="4"/>
  <c r="F933" i="4" s="1"/>
  <c r="D933" i="4"/>
  <c r="E933" i="4"/>
  <c r="G933" i="4" s="1"/>
  <c r="C934" i="4"/>
  <c r="F934" i="4" s="1"/>
  <c r="D934" i="4"/>
  <c r="E934" i="4"/>
  <c r="G934" i="4" s="1"/>
  <c r="C935" i="4"/>
  <c r="F935" i="4" s="1"/>
  <c r="D935" i="4"/>
  <c r="E935" i="4"/>
  <c r="G935" i="4" s="1"/>
  <c r="C936" i="4"/>
  <c r="F936" i="4" s="1"/>
  <c r="D936" i="4"/>
  <c r="E936" i="4"/>
  <c r="G936" i="4" s="1"/>
  <c r="C937" i="4"/>
  <c r="F937" i="4" s="1"/>
  <c r="D937" i="4"/>
  <c r="E937" i="4"/>
  <c r="G937" i="4" s="1"/>
  <c r="C938" i="4"/>
  <c r="F938" i="4" s="1"/>
  <c r="D938" i="4"/>
  <c r="E938" i="4"/>
  <c r="G938" i="4" s="1"/>
  <c r="C939" i="4"/>
  <c r="F939" i="4" s="1"/>
  <c r="D939" i="4"/>
  <c r="E939" i="4"/>
  <c r="G939" i="4" s="1"/>
  <c r="C940" i="4"/>
  <c r="F940" i="4" s="1"/>
  <c r="D940" i="4"/>
  <c r="E940" i="4"/>
  <c r="G940" i="4" s="1"/>
  <c r="C941" i="4"/>
  <c r="F941" i="4" s="1"/>
  <c r="D941" i="4"/>
  <c r="E941" i="4"/>
  <c r="G941" i="4" s="1"/>
  <c r="C942" i="4"/>
  <c r="F942" i="4" s="1"/>
  <c r="D942" i="4"/>
  <c r="E942" i="4"/>
  <c r="G942" i="4" s="1"/>
  <c r="C943" i="4"/>
  <c r="F943" i="4" s="1"/>
  <c r="D943" i="4"/>
  <c r="E943" i="4"/>
  <c r="G943" i="4" s="1"/>
  <c r="C944" i="4"/>
  <c r="F944" i="4" s="1"/>
  <c r="D944" i="4"/>
  <c r="E944" i="4"/>
  <c r="G944" i="4" s="1"/>
  <c r="C945" i="4"/>
  <c r="F945" i="4" s="1"/>
  <c r="D945" i="4"/>
  <c r="E945" i="4"/>
  <c r="G945" i="4" s="1"/>
  <c r="C946" i="4"/>
  <c r="F946" i="4" s="1"/>
  <c r="D946" i="4"/>
  <c r="E946" i="4"/>
  <c r="G946" i="4" s="1"/>
  <c r="C947" i="4"/>
  <c r="F947" i="4" s="1"/>
  <c r="D947" i="4"/>
  <c r="E947" i="4"/>
  <c r="G947" i="4" s="1"/>
  <c r="C948" i="4"/>
  <c r="F948" i="4" s="1"/>
  <c r="D948" i="4"/>
  <c r="E948" i="4"/>
  <c r="G948" i="4" s="1"/>
  <c r="C949" i="4"/>
  <c r="F949" i="4" s="1"/>
  <c r="D949" i="4"/>
  <c r="E949" i="4"/>
  <c r="G949" i="4" s="1"/>
  <c r="C950" i="4"/>
  <c r="F950" i="4" s="1"/>
  <c r="D950" i="4"/>
  <c r="E950" i="4"/>
  <c r="G950" i="4" s="1"/>
  <c r="C951" i="4"/>
  <c r="F951" i="4" s="1"/>
  <c r="D951" i="4"/>
  <c r="E951" i="4"/>
  <c r="G951" i="4" s="1"/>
  <c r="C952" i="4"/>
  <c r="F952" i="4" s="1"/>
  <c r="D952" i="4"/>
  <c r="E952" i="4"/>
  <c r="G952" i="4" s="1"/>
  <c r="C953" i="4"/>
  <c r="F953" i="4" s="1"/>
  <c r="D953" i="4"/>
  <c r="E953" i="4"/>
  <c r="G953" i="4" s="1"/>
  <c r="C954" i="4"/>
  <c r="F954" i="4" s="1"/>
  <c r="D954" i="4"/>
  <c r="E954" i="4"/>
  <c r="G954" i="4" s="1"/>
  <c r="C955" i="4"/>
  <c r="F955" i="4" s="1"/>
  <c r="D955" i="4"/>
  <c r="E955" i="4"/>
  <c r="G955" i="4" s="1"/>
  <c r="C956" i="4"/>
  <c r="F956" i="4" s="1"/>
  <c r="D956" i="4"/>
  <c r="E956" i="4"/>
  <c r="G956" i="4" s="1"/>
  <c r="C957" i="4"/>
  <c r="F957" i="4" s="1"/>
  <c r="D957" i="4"/>
  <c r="E957" i="4"/>
  <c r="G957" i="4" s="1"/>
  <c r="C958" i="4"/>
  <c r="F958" i="4" s="1"/>
  <c r="D958" i="4"/>
  <c r="E958" i="4"/>
  <c r="G958" i="4" s="1"/>
  <c r="C959" i="4"/>
  <c r="F959" i="4" s="1"/>
  <c r="D959" i="4"/>
  <c r="E959" i="4"/>
  <c r="G959" i="4" s="1"/>
  <c r="C960" i="4"/>
  <c r="F960" i="4" s="1"/>
  <c r="D960" i="4"/>
  <c r="E960" i="4"/>
  <c r="G960" i="4" s="1"/>
  <c r="C961" i="4"/>
  <c r="F961" i="4" s="1"/>
  <c r="D961" i="4"/>
  <c r="E961" i="4"/>
  <c r="G961" i="4" s="1"/>
  <c r="C962" i="4"/>
  <c r="F962" i="4" s="1"/>
  <c r="D962" i="4"/>
  <c r="E962" i="4"/>
  <c r="G962" i="4" s="1"/>
  <c r="C963" i="4"/>
  <c r="F963" i="4" s="1"/>
  <c r="D963" i="4"/>
  <c r="E963" i="4"/>
  <c r="G963" i="4" s="1"/>
  <c r="C964" i="4"/>
  <c r="F964" i="4" s="1"/>
  <c r="D964" i="4"/>
  <c r="E964" i="4"/>
  <c r="G964" i="4" s="1"/>
  <c r="C965" i="4"/>
  <c r="F965" i="4" s="1"/>
  <c r="D965" i="4"/>
  <c r="E965" i="4"/>
  <c r="G965" i="4" s="1"/>
  <c r="C966" i="4"/>
  <c r="F966" i="4" s="1"/>
  <c r="D966" i="4"/>
  <c r="E966" i="4"/>
  <c r="G966" i="4"/>
  <c r="C967" i="4"/>
  <c r="F967" i="4" s="1"/>
  <c r="D967" i="4"/>
  <c r="E967" i="4"/>
  <c r="G967" i="4" s="1"/>
  <c r="C968" i="4"/>
  <c r="F968" i="4" s="1"/>
  <c r="D968" i="4"/>
  <c r="E968" i="4"/>
  <c r="G968" i="4" s="1"/>
  <c r="C969" i="4"/>
  <c r="F969" i="4" s="1"/>
  <c r="D969" i="4"/>
  <c r="E969" i="4"/>
  <c r="G969" i="4" s="1"/>
  <c r="C970" i="4"/>
  <c r="F970" i="4" s="1"/>
  <c r="D970" i="4"/>
  <c r="E970" i="4"/>
  <c r="G970" i="4" s="1"/>
  <c r="C971" i="4"/>
  <c r="F971" i="4" s="1"/>
  <c r="D971" i="4"/>
  <c r="E971" i="4"/>
  <c r="G971" i="4"/>
  <c r="C972" i="4"/>
  <c r="F972" i="4" s="1"/>
  <c r="D972" i="4"/>
  <c r="E972" i="4"/>
  <c r="G972" i="4" s="1"/>
  <c r="C973" i="4"/>
  <c r="F973" i="4" s="1"/>
  <c r="D973" i="4"/>
  <c r="E973" i="4"/>
  <c r="G973" i="4" s="1"/>
  <c r="C974" i="4"/>
  <c r="F974" i="4" s="1"/>
  <c r="D974" i="4"/>
  <c r="E974" i="4"/>
  <c r="G974" i="4" s="1"/>
  <c r="C975" i="4"/>
  <c r="F975" i="4" s="1"/>
  <c r="D975" i="4"/>
  <c r="E975" i="4"/>
  <c r="G975" i="4" s="1"/>
  <c r="C976" i="4"/>
  <c r="F976" i="4" s="1"/>
  <c r="D976" i="4"/>
  <c r="E976" i="4"/>
  <c r="G976" i="4" s="1"/>
  <c r="C977" i="4"/>
  <c r="F977" i="4" s="1"/>
  <c r="D977" i="4"/>
  <c r="E977" i="4"/>
  <c r="G977" i="4" s="1"/>
  <c r="C978" i="4"/>
  <c r="F978" i="4" s="1"/>
  <c r="D978" i="4"/>
  <c r="E978" i="4"/>
  <c r="G978" i="4" s="1"/>
  <c r="C979" i="4"/>
  <c r="F979" i="4" s="1"/>
  <c r="D979" i="4"/>
  <c r="E979" i="4"/>
  <c r="G979" i="4" s="1"/>
  <c r="C980" i="4"/>
  <c r="F980" i="4" s="1"/>
  <c r="D980" i="4"/>
  <c r="E980" i="4"/>
  <c r="G980" i="4" s="1"/>
  <c r="C981" i="4"/>
  <c r="F981" i="4" s="1"/>
  <c r="D981" i="4"/>
  <c r="E981" i="4"/>
  <c r="G981" i="4" s="1"/>
  <c r="C982" i="4"/>
  <c r="D982" i="4"/>
  <c r="E982" i="4"/>
  <c r="G982" i="4" s="1"/>
  <c r="F982" i="4"/>
  <c r="C983" i="4"/>
  <c r="F983" i="4" s="1"/>
  <c r="D983" i="4"/>
  <c r="E983" i="4"/>
  <c r="G983" i="4" s="1"/>
  <c r="C984" i="4"/>
  <c r="F984" i="4" s="1"/>
  <c r="D984" i="4"/>
  <c r="E984" i="4"/>
  <c r="G984" i="4" s="1"/>
  <c r="C985" i="4"/>
  <c r="F985" i="4" s="1"/>
  <c r="D985" i="4"/>
  <c r="E985" i="4"/>
  <c r="G985" i="4"/>
  <c r="C986" i="4"/>
  <c r="F986" i="4" s="1"/>
  <c r="D986" i="4"/>
  <c r="E986" i="4"/>
  <c r="G986" i="4" s="1"/>
  <c r="C987" i="4"/>
  <c r="F987" i="4" s="1"/>
  <c r="D987" i="4"/>
  <c r="E987" i="4"/>
  <c r="G987" i="4" s="1"/>
  <c r="C988" i="4"/>
  <c r="F988" i="4" s="1"/>
  <c r="D988" i="4"/>
  <c r="E988" i="4"/>
  <c r="G988" i="4" s="1"/>
  <c r="C989" i="4"/>
  <c r="F989" i="4" s="1"/>
  <c r="D989" i="4"/>
  <c r="E989" i="4"/>
  <c r="G989" i="4" s="1"/>
  <c r="C990" i="4"/>
  <c r="D990" i="4"/>
  <c r="E990" i="4"/>
  <c r="G990" i="4" s="1"/>
  <c r="F990" i="4"/>
  <c r="C991" i="4"/>
  <c r="F991" i="4" s="1"/>
  <c r="D991" i="4"/>
  <c r="E991" i="4"/>
  <c r="G991" i="4" s="1"/>
  <c r="C992" i="4"/>
  <c r="F992" i="4" s="1"/>
  <c r="D992" i="4"/>
  <c r="E992" i="4"/>
  <c r="G992" i="4" s="1"/>
  <c r="C993" i="4"/>
  <c r="F993" i="4" s="1"/>
  <c r="D993" i="4"/>
  <c r="E993" i="4"/>
  <c r="G993" i="4" s="1"/>
  <c r="C994" i="4"/>
  <c r="F994" i="4" s="1"/>
  <c r="D994" i="4"/>
  <c r="E994" i="4"/>
  <c r="G994" i="4" s="1"/>
  <c r="C995" i="4"/>
  <c r="F995" i="4" s="1"/>
  <c r="D995" i="4"/>
  <c r="E995" i="4"/>
  <c r="G995" i="4" s="1"/>
  <c r="C996" i="4"/>
  <c r="F996" i="4" s="1"/>
  <c r="D996" i="4"/>
  <c r="E996" i="4"/>
  <c r="G996" i="4" s="1"/>
  <c r="C997" i="4"/>
  <c r="D997" i="4"/>
  <c r="E997" i="4"/>
  <c r="G997" i="4" s="1"/>
  <c r="F997" i="4"/>
  <c r="C998" i="4"/>
  <c r="F998" i="4" s="1"/>
  <c r="D998" i="4"/>
  <c r="E998" i="4"/>
  <c r="G998" i="4" s="1"/>
  <c r="C999" i="4"/>
  <c r="D999" i="4"/>
  <c r="E999" i="4"/>
  <c r="G999" i="4" s="1"/>
  <c r="F999" i="4"/>
  <c r="C1000" i="4"/>
  <c r="F1000" i="4" s="1"/>
  <c r="D1000" i="4"/>
  <c r="E1000" i="4"/>
  <c r="G1000" i="4" s="1"/>
  <c r="C1001" i="4"/>
  <c r="F1001" i="4" s="1"/>
  <c r="D1001" i="4"/>
  <c r="E1001" i="4"/>
  <c r="G1001" i="4" s="1"/>
  <c r="C1002" i="4"/>
  <c r="F1002" i="4" s="1"/>
  <c r="D1002" i="4"/>
  <c r="E1002" i="4"/>
  <c r="G1002" i="4" s="1"/>
  <c r="C1003" i="4"/>
  <c r="F1003" i="4" s="1"/>
  <c r="D1003" i="4"/>
  <c r="E1003" i="4"/>
  <c r="G1003" i="4" s="1"/>
  <c r="C1004" i="4"/>
  <c r="F1004" i="4" s="1"/>
  <c r="D1004" i="4"/>
  <c r="E1004" i="4"/>
  <c r="G1004" i="4" s="1"/>
  <c r="C1005" i="4"/>
  <c r="F1005" i="4" s="1"/>
  <c r="D1005" i="4"/>
  <c r="E1005" i="4"/>
  <c r="G1005" i="4" s="1"/>
  <c r="C1006" i="4"/>
  <c r="F1006" i="4" s="1"/>
  <c r="D1006" i="4"/>
  <c r="E1006" i="4"/>
  <c r="G1006" i="4" s="1"/>
  <c r="C1007" i="4"/>
  <c r="F1007" i="4" s="1"/>
  <c r="D1007" i="4"/>
  <c r="E1007" i="4"/>
  <c r="G1007" i="4" s="1"/>
  <c r="C1008" i="4"/>
  <c r="F1008" i="4" s="1"/>
  <c r="D1008" i="4"/>
  <c r="E1008" i="4"/>
  <c r="G1008" i="4" s="1"/>
  <c r="C1009" i="4"/>
  <c r="F1009" i="4" s="1"/>
  <c r="D1009" i="4"/>
  <c r="E1009" i="4"/>
  <c r="G1009" i="4" s="1"/>
  <c r="C1010" i="4"/>
  <c r="F1010" i="4" s="1"/>
  <c r="D1010" i="4"/>
  <c r="E1010" i="4"/>
  <c r="G1010" i="4" s="1"/>
  <c r="C1011" i="4"/>
  <c r="F1011" i="4" s="1"/>
  <c r="D1011" i="4"/>
  <c r="E1011" i="4"/>
  <c r="G1011" i="4" s="1"/>
  <c r="C1012" i="4"/>
  <c r="F1012" i="4" s="1"/>
  <c r="D1012" i="4"/>
  <c r="E1012" i="4"/>
  <c r="G1012" i="4"/>
  <c r="C1013" i="4"/>
  <c r="F1013" i="4" s="1"/>
  <c r="D1013" i="4"/>
  <c r="E1013" i="4"/>
  <c r="G1013" i="4" s="1"/>
  <c r="C1014" i="4"/>
  <c r="F1014" i="4" s="1"/>
  <c r="D1014" i="4"/>
  <c r="E1014" i="4"/>
  <c r="G1014" i="4" s="1"/>
  <c r="C1015" i="4"/>
  <c r="F1015" i="4" s="1"/>
  <c r="D1015" i="4"/>
  <c r="E1015" i="4"/>
  <c r="G1015" i="4" s="1"/>
  <c r="C1016" i="4"/>
  <c r="F1016" i="4" s="1"/>
  <c r="D1016" i="4"/>
  <c r="E1016" i="4"/>
  <c r="G1016" i="4" s="1"/>
  <c r="C1017" i="4"/>
  <c r="F1017" i="4" s="1"/>
  <c r="D1017" i="4"/>
  <c r="E1017" i="4"/>
  <c r="G1017" i="4" s="1"/>
  <c r="C1018" i="4"/>
  <c r="F1018" i="4" s="1"/>
  <c r="D1018" i="4"/>
  <c r="E1018" i="4"/>
  <c r="G1018" i="4" s="1"/>
  <c r="C1019" i="4"/>
  <c r="F1019" i="4" s="1"/>
  <c r="D1019" i="4"/>
  <c r="E1019" i="4"/>
  <c r="G1019" i="4" s="1"/>
  <c r="C1020" i="4"/>
  <c r="F1020" i="4" s="1"/>
  <c r="D1020" i="4"/>
  <c r="E1020" i="4"/>
  <c r="G1020" i="4" s="1"/>
  <c r="C1021" i="4"/>
  <c r="F1021" i="4" s="1"/>
  <c r="D1021" i="4"/>
  <c r="E1021" i="4"/>
  <c r="G1021" i="4" s="1"/>
  <c r="C1022" i="4"/>
  <c r="F1022" i="4" s="1"/>
  <c r="D1022" i="4"/>
  <c r="E1022" i="4"/>
  <c r="G1022" i="4" s="1"/>
  <c r="C1023" i="4"/>
  <c r="F1023" i="4" s="1"/>
  <c r="D1023" i="4"/>
  <c r="E1023" i="4"/>
  <c r="G1023" i="4" s="1"/>
  <c r="C1024" i="4"/>
  <c r="F1024" i="4" s="1"/>
  <c r="D1024" i="4"/>
  <c r="E1024" i="4"/>
  <c r="G1024" i="4" s="1"/>
  <c r="C1025" i="4"/>
  <c r="F1025" i="4" s="1"/>
  <c r="D1025" i="4"/>
  <c r="E1025" i="4"/>
  <c r="G1025" i="4" s="1"/>
  <c r="C1026" i="4"/>
  <c r="F1026" i="4" s="1"/>
  <c r="D1026" i="4"/>
  <c r="E1026" i="4"/>
  <c r="G1026" i="4" s="1"/>
  <c r="C1027" i="4"/>
  <c r="D1027" i="4"/>
  <c r="E1027" i="4"/>
  <c r="G1027" i="4" s="1"/>
  <c r="F1027" i="4"/>
  <c r="C1028" i="4"/>
  <c r="F1028" i="4" s="1"/>
  <c r="D1028" i="4"/>
  <c r="E1028" i="4"/>
  <c r="G1028" i="4" s="1"/>
  <c r="C1029" i="4"/>
  <c r="D1029" i="4"/>
  <c r="E1029" i="4"/>
  <c r="G1029" i="4" s="1"/>
  <c r="F1029" i="4"/>
  <c r="C1030" i="4"/>
  <c r="F1030" i="4" s="1"/>
  <c r="D1030" i="4"/>
  <c r="E1030" i="4"/>
  <c r="G1030" i="4" s="1"/>
  <c r="C1031" i="4"/>
  <c r="F1031" i="4" s="1"/>
  <c r="D1031" i="4"/>
  <c r="E1031" i="4"/>
  <c r="G1031" i="4" s="1"/>
  <c r="C1032" i="4"/>
  <c r="F1032" i="4" s="1"/>
  <c r="D1032" i="4"/>
  <c r="E1032" i="4"/>
  <c r="G1032" i="4" s="1"/>
  <c r="C1033" i="4"/>
  <c r="F1033" i="4" s="1"/>
  <c r="D1033" i="4"/>
  <c r="E1033" i="4"/>
  <c r="G1033" i="4"/>
  <c r="C1034" i="4"/>
  <c r="F1034" i="4" s="1"/>
  <c r="D1034" i="4"/>
  <c r="E1034" i="4"/>
  <c r="G1034" i="4" s="1"/>
  <c r="C1035" i="4"/>
  <c r="F1035" i="4" s="1"/>
  <c r="D1035" i="4"/>
  <c r="E1035" i="4"/>
  <c r="G1035" i="4" s="1"/>
  <c r="C1036" i="4"/>
  <c r="F1036" i="4" s="1"/>
  <c r="D1036" i="4"/>
  <c r="E1036" i="4"/>
  <c r="G1036" i="4" s="1"/>
  <c r="C1037" i="4"/>
  <c r="F1037" i="4" s="1"/>
  <c r="D1037" i="4"/>
  <c r="E1037" i="4"/>
  <c r="G1037" i="4" s="1"/>
  <c r="C1038" i="4"/>
  <c r="F1038" i="4" s="1"/>
  <c r="D1038" i="4"/>
  <c r="E1038" i="4"/>
  <c r="G1038" i="4" s="1"/>
  <c r="C1039" i="4"/>
  <c r="F1039" i="4" s="1"/>
  <c r="D1039" i="4"/>
  <c r="E1039" i="4"/>
  <c r="G1039" i="4" s="1"/>
  <c r="C1040" i="4"/>
  <c r="F1040" i="4" s="1"/>
  <c r="D1040" i="4"/>
  <c r="E1040" i="4"/>
  <c r="G1040" i="4" s="1"/>
  <c r="C1041" i="4"/>
  <c r="D1041" i="4"/>
  <c r="E1041" i="4"/>
  <c r="G1041" i="4" s="1"/>
  <c r="F1041" i="4"/>
  <c r="C1042" i="4"/>
  <c r="F1042" i="4" s="1"/>
  <c r="D1042" i="4"/>
  <c r="E1042" i="4"/>
  <c r="G1042" i="4" s="1"/>
  <c r="C1043" i="4"/>
  <c r="D1043" i="4"/>
  <c r="E1043" i="4"/>
  <c r="G1043" i="4" s="1"/>
  <c r="F1043" i="4"/>
  <c r="C1044" i="4"/>
  <c r="F1044" i="4" s="1"/>
  <c r="D1044" i="4"/>
  <c r="E1044" i="4"/>
  <c r="G1044" i="4"/>
  <c r="C1045" i="4"/>
  <c r="D1045" i="4"/>
  <c r="E1045" i="4"/>
  <c r="G1045" i="4" s="1"/>
  <c r="F1045" i="4"/>
  <c r="C1046" i="4"/>
  <c r="F1046" i="4" s="1"/>
  <c r="D1046" i="4"/>
  <c r="E1046" i="4"/>
  <c r="G1046" i="4" s="1"/>
  <c r="C1047" i="4"/>
  <c r="F1047" i="4" s="1"/>
  <c r="D1047" i="4"/>
  <c r="E1047" i="4"/>
  <c r="G1047" i="4" s="1"/>
  <c r="C1048" i="4"/>
  <c r="F1048" i="4" s="1"/>
  <c r="D1048" i="4"/>
  <c r="E1048" i="4"/>
  <c r="G1048" i="4" s="1"/>
  <c r="C1049" i="4"/>
  <c r="F1049" i="4" s="1"/>
  <c r="D1049" i="4"/>
  <c r="E1049" i="4"/>
  <c r="G1049" i="4" s="1"/>
  <c r="C1050" i="4"/>
  <c r="F1050" i="4" s="1"/>
  <c r="D1050" i="4"/>
  <c r="E1050" i="4"/>
  <c r="G1050" i="4" s="1"/>
  <c r="C1051" i="4"/>
  <c r="F1051" i="4" s="1"/>
  <c r="D1051" i="4"/>
  <c r="E1051" i="4"/>
  <c r="G1051" i="4" s="1"/>
  <c r="C1052" i="4"/>
  <c r="F1052" i="4" s="1"/>
  <c r="D1052" i="4"/>
  <c r="E1052" i="4"/>
  <c r="G1052" i="4" s="1"/>
  <c r="C1053" i="4"/>
  <c r="F1053" i="4" s="1"/>
  <c r="D1053" i="4"/>
  <c r="E1053" i="4"/>
  <c r="G1053" i="4" s="1"/>
  <c r="C1054" i="4"/>
  <c r="F1054" i="4" s="1"/>
  <c r="D1054" i="4"/>
  <c r="E1054" i="4"/>
  <c r="G1054" i="4" s="1"/>
  <c r="C1055" i="4"/>
  <c r="F1055" i="4" s="1"/>
  <c r="D1055" i="4"/>
  <c r="E1055" i="4"/>
  <c r="G1055" i="4" s="1"/>
  <c r="C1056" i="4"/>
  <c r="F1056" i="4" s="1"/>
  <c r="D1056" i="4"/>
  <c r="E1056" i="4"/>
  <c r="G1056" i="4" s="1"/>
  <c r="C1057" i="4"/>
  <c r="D1057" i="4"/>
  <c r="E1057" i="4"/>
  <c r="G1057" i="4" s="1"/>
  <c r="F1057" i="4"/>
  <c r="C1058" i="4"/>
  <c r="F1058" i="4" s="1"/>
  <c r="D1058" i="4"/>
  <c r="E1058" i="4"/>
  <c r="G1058" i="4" s="1"/>
  <c r="C1059" i="4"/>
  <c r="F1059" i="4" s="1"/>
  <c r="D1059" i="4"/>
  <c r="E1059" i="4"/>
  <c r="G1059" i="4" s="1"/>
  <c r="C1060" i="4"/>
  <c r="F1060" i="4" s="1"/>
  <c r="D1060" i="4"/>
  <c r="E1060" i="4"/>
  <c r="G1060" i="4" s="1"/>
  <c r="C1061" i="4"/>
  <c r="F1061" i="4" s="1"/>
  <c r="D1061" i="4"/>
  <c r="E1061" i="4"/>
  <c r="G1061" i="4" s="1"/>
  <c r="C1062" i="4"/>
  <c r="F1062" i="4" s="1"/>
  <c r="D1062" i="4"/>
  <c r="E1062" i="4"/>
  <c r="G1062" i="4"/>
  <c r="C1063" i="4"/>
  <c r="F1063" i="4" s="1"/>
  <c r="D1063" i="4"/>
  <c r="E1063" i="4"/>
  <c r="G1063" i="4" s="1"/>
  <c r="C1064" i="4"/>
  <c r="F1064" i="4" s="1"/>
  <c r="D1064" i="4"/>
  <c r="E1064" i="4"/>
  <c r="G1064" i="4" s="1"/>
  <c r="C1065" i="4"/>
  <c r="F1065" i="4" s="1"/>
  <c r="D1065" i="4"/>
  <c r="E1065" i="4"/>
  <c r="G1065" i="4" s="1"/>
  <c r="C1066" i="4"/>
  <c r="F1066" i="4" s="1"/>
  <c r="D1066" i="4"/>
  <c r="E1066" i="4"/>
  <c r="G1066" i="4" s="1"/>
  <c r="C1067" i="4"/>
  <c r="F1067" i="4" s="1"/>
  <c r="D1067" i="4"/>
  <c r="E1067" i="4"/>
  <c r="G1067" i="4" s="1"/>
  <c r="C1068" i="4"/>
  <c r="F1068" i="4" s="1"/>
  <c r="D1068" i="4"/>
  <c r="E1068" i="4"/>
  <c r="G1068" i="4" s="1"/>
  <c r="C1069" i="4"/>
  <c r="F1069" i="4" s="1"/>
  <c r="D1069" i="4"/>
  <c r="E1069" i="4"/>
  <c r="G1069" i="4"/>
  <c r="C1070" i="4"/>
  <c r="F1070" i="4" s="1"/>
  <c r="D1070" i="4"/>
  <c r="E1070" i="4"/>
  <c r="G1070" i="4" s="1"/>
  <c r="C1071" i="4"/>
  <c r="F1071" i="4" s="1"/>
  <c r="D1071" i="4"/>
  <c r="E1071" i="4"/>
  <c r="G1071" i="4" s="1"/>
  <c r="C1072" i="4"/>
  <c r="F1072" i="4" s="1"/>
  <c r="D1072" i="4"/>
  <c r="E1072" i="4"/>
  <c r="G1072" i="4" s="1"/>
  <c r="C1073" i="4"/>
  <c r="F1073" i="4" s="1"/>
  <c r="D1073" i="4"/>
  <c r="E1073" i="4"/>
  <c r="G1073" i="4" s="1"/>
  <c r="C1074" i="4"/>
  <c r="F1074" i="4" s="1"/>
  <c r="D1074" i="4"/>
  <c r="E1074" i="4"/>
  <c r="G1074" i="4" s="1"/>
  <c r="C1075" i="4"/>
  <c r="F1075" i="4" s="1"/>
  <c r="D1075" i="4"/>
  <c r="E1075" i="4"/>
  <c r="G1075" i="4" s="1"/>
  <c r="C1076" i="4"/>
  <c r="F1076" i="4" s="1"/>
  <c r="D1076" i="4"/>
  <c r="E1076" i="4"/>
  <c r="G1076" i="4" s="1"/>
  <c r="C1077" i="4"/>
  <c r="F1077" i="4" s="1"/>
  <c r="D1077" i="4"/>
  <c r="E1077" i="4"/>
  <c r="G1077" i="4" s="1"/>
  <c r="C1078" i="4"/>
  <c r="D1078" i="4"/>
  <c r="E1078" i="4"/>
  <c r="G1078" i="4" s="1"/>
  <c r="F1078" i="4"/>
  <c r="C1079" i="4"/>
  <c r="F1079" i="4" s="1"/>
  <c r="D1079" i="4"/>
  <c r="E1079" i="4"/>
  <c r="G1079" i="4" s="1"/>
  <c r="C1080" i="4"/>
  <c r="F1080" i="4" s="1"/>
  <c r="D1080" i="4"/>
  <c r="E1080" i="4"/>
  <c r="G1080" i="4" s="1"/>
  <c r="C1081" i="4"/>
  <c r="F1081" i="4" s="1"/>
  <c r="D1081" i="4"/>
  <c r="E1081" i="4"/>
  <c r="G1081" i="4" s="1"/>
  <c r="C1082" i="4"/>
  <c r="F1082" i="4" s="1"/>
  <c r="D1082" i="4"/>
  <c r="E1082" i="4"/>
  <c r="G1082" i="4" s="1"/>
  <c r="C1083" i="4"/>
  <c r="F1083" i="4" s="1"/>
  <c r="D1083" i="4"/>
  <c r="E1083" i="4"/>
  <c r="G1083" i="4" s="1"/>
  <c r="C1084" i="4"/>
  <c r="F1084" i="4" s="1"/>
  <c r="D1084" i="4"/>
  <c r="E1084" i="4"/>
  <c r="G1084" i="4" s="1"/>
  <c r="C1085" i="4"/>
  <c r="F1085" i="4" s="1"/>
  <c r="D1085" i="4"/>
  <c r="E1085" i="4"/>
  <c r="G1085" i="4" s="1"/>
  <c r="C1086" i="4"/>
  <c r="F1086" i="4" s="1"/>
  <c r="D1086" i="4"/>
  <c r="E1086" i="4"/>
  <c r="G1086" i="4" s="1"/>
  <c r="C1087" i="4"/>
  <c r="F1087" i="4" s="1"/>
  <c r="D1087" i="4"/>
  <c r="E1087" i="4"/>
  <c r="G1087" i="4" s="1"/>
  <c r="C1088" i="4"/>
  <c r="F1088" i="4" s="1"/>
  <c r="D1088" i="4"/>
  <c r="E1088" i="4"/>
  <c r="G1088" i="4" s="1"/>
  <c r="C1089" i="4"/>
  <c r="D1089" i="4"/>
  <c r="E1089" i="4"/>
  <c r="G1089" i="4" s="1"/>
  <c r="F1089" i="4"/>
  <c r="C1090" i="4"/>
  <c r="F1090" i="4" s="1"/>
  <c r="D1090" i="4"/>
  <c r="E1090" i="4"/>
  <c r="G1090" i="4" s="1"/>
  <c r="C1091" i="4"/>
  <c r="F1091" i="4" s="1"/>
  <c r="D1091" i="4"/>
  <c r="E1091" i="4"/>
  <c r="G1091" i="4" s="1"/>
  <c r="C1092" i="4"/>
  <c r="F1092" i="4" s="1"/>
  <c r="D1092" i="4"/>
  <c r="E1092" i="4"/>
  <c r="G1092" i="4" s="1"/>
  <c r="C1093" i="4"/>
  <c r="F1093" i="4" s="1"/>
  <c r="D1093" i="4"/>
  <c r="E1093" i="4"/>
  <c r="G1093" i="4" s="1"/>
  <c r="C1094" i="4"/>
  <c r="F1094" i="4" s="1"/>
  <c r="D1094" i="4"/>
  <c r="E1094" i="4"/>
  <c r="G1094" i="4" s="1"/>
  <c r="C1095" i="4"/>
  <c r="F1095" i="4" s="1"/>
  <c r="D1095" i="4"/>
  <c r="E1095" i="4"/>
  <c r="G1095" i="4" s="1"/>
  <c r="C1096" i="4"/>
  <c r="F1096" i="4" s="1"/>
  <c r="D1096" i="4"/>
  <c r="E1096" i="4"/>
  <c r="G1096" i="4" s="1"/>
  <c r="C1097" i="4"/>
  <c r="F1097" i="4" s="1"/>
  <c r="D1097" i="4"/>
  <c r="E1097" i="4"/>
  <c r="G1097" i="4" s="1"/>
  <c r="C1098" i="4"/>
  <c r="F1098" i="4" s="1"/>
  <c r="D1098" i="4"/>
  <c r="E1098" i="4"/>
  <c r="G1098" i="4" s="1"/>
  <c r="C1099" i="4"/>
  <c r="F1099" i="4" s="1"/>
  <c r="D1099" i="4"/>
  <c r="E1099" i="4"/>
  <c r="G1099" i="4" s="1"/>
  <c r="C1100" i="4"/>
  <c r="F1100" i="4" s="1"/>
  <c r="D1100" i="4"/>
  <c r="E1100" i="4"/>
  <c r="G1100" i="4" s="1"/>
  <c r="C1101" i="4"/>
  <c r="F1101" i="4" s="1"/>
  <c r="D1101" i="4"/>
  <c r="E1101" i="4"/>
  <c r="G1101" i="4" s="1"/>
  <c r="C1102" i="4"/>
  <c r="F1102" i="4" s="1"/>
  <c r="D1102" i="4"/>
  <c r="E1102" i="4"/>
  <c r="G1102" i="4"/>
  <c r="C1103" i="4"/>
  <c r="F1103" i="4" s="1"/>
  <c r="D1103" i="4"/>
  <c r="E1103" i="4"/>
  <c r="G1103" i="4" s="1"/>
  <c r="C1104" i="4"/>
  <c r="F1104" i="4" s="1"/>
  <c r="D1104" i="4"/>
  <c r="E1104" i="4"/>
  <c r="G1104" i="4" s="1"/>
  <c r="C1105" i="4"/>
  <c r="F1105" i="4" s="1"/>
  <c r="D1105" i="4"/>
  <c r="E1105" i="4"/>
  <c r="G1105" i="4"/>
  <c r="C1106" i="4"/>
  <c r="F1106" i="4" s="1"/>
  <c r="D1106" i="4"/>
  <c r="E1106" i="4"/>
  <c r="G1106" i="4" s="1"/>
  <c r="C1107" i="4"/>
  <c r="F1107" i="4" s="1"/>
  <c r="D1107" i="4"/>
  <c r="E1107" i="4"/>
  <c r="G1107" i="4" s="1"/>
  <c r="C1108" i="4"/>
  <c r="F1108" i="4" s="1"/>
  <c r="D1108" i="4"/>
  <c r="E1108" i="4"/>
  <c r="G1108" i="4" s="1"/>
  <c r="C1109" i="4"/>
  <c r="F1109" i="4" s="1"/>
  <c r="D1109" i="4"/>
  <c r="E1109" i="4"/>
  <c r="G1109" i="4" s="1"/>
  <c r="C1110" i="4"/>
  <c r="F1110" i="4" s="1"/>
  <c r="D1110" i="4"/>
  <c r="E1110" i="4"/>
  <c r="G1110" i="4" s="1"/>
  <c r="C1111" i="4"/>
  <c r="F1111" i="4" s="1"/>
  <c r="D1111" i="4"/>
  <c r="E1111" i="4"/>
  <c r="G1111" i="4" s="1"/>
  <c r="C1112" i="4"/>
  <c r="F1112" i="4" s="1"/>
  <c r="D1112" i="4"/>
  <c r="E1112" i="4"/>
  <c r="G1112" i="4" s="1"/>
  <c r="C1113" i="4"/>
  <c r="F1113" i="4" s="1"/>
  <c r="D1113" i="4"/>
  <c r="E1113" i="4"/>
  <c r="G1113" i="4" s="1"/>
  <c r="C1114" i="4"/>
  <c r="F1114" i="4" s="1"/>
  <c r="D1114" i="4"/>
  <c r="E1114" i="4"/>
  <c r="G1114" i="4" s="1"/>
  <c r="C1115" i="4"/>
  <c r="F1115" i="4" s="1"/>
  <c r="D1115" i="4"/>
  <c r="E1115" i="4"/>
  <c r="G1115" i="4" s="1"/>
  <c r="C1116" i="4"/>
  <c r="F1116" i="4" s="1"/>
  <c r="D1116" i="4"/>
  <c r="E1116" i="4"/>
  <c r="G1116" i="4" s="1"/>
  <c r="C1117" i="4"/>
  <c r="F1117" i="4" s="1"/>
  <c r="D1117" i="4"/>
  <c r="E1117" i="4"/>
  <c r="G1117" i="4" s="1"/>
  <c r="C1118" i="4"/>
  <c r="D1118" i="4"/>
  <c r="E1118" i="4"/>
  <c r="G1118" i="4" s="1"/>
  <c r="F1118" i="4"/>
  <c r="C1119" i="4"/>
  <c r="F1119" i="4" s="1"/>
  <c r="D1119" i="4"/>
  <c r="E1119" i="4"/>
  <c r="G1119" i="4" s="1"/>
  <c r="C1120" i="4"/>
  <c r="F1120" i="4" s="1"/>
  <c r="D1120" i="4"/>
  <c r="E1120" i="4"/>
  <c r="G1120" i="4" s="1"/>
  <c r="C1121" i="4"/>
  <c r="F1121" i="4" s="1"/>
  <c r="D1121" i="4"/>
  <c r="E1121" i="4"/>
  <c r="G1121" i="4" s="1"/>
  <c r="C1122" i="4"/>
  <c r="F1122" i="4" s="1"/>
  <c r="D1122" i="4"/>
  <c r="E1122" i="4"/>
  <c r="G1122" i="4" s="1"/>
  <c r="C1123" i="4"/>
  <c r="F1123" i="4" s="1"/>
  <c r="D1123" i="4"/>
  <c r="E1123" i="4"/>
  <c r="G1123" i="4" s="1"/>
  <c r="C1124" i="4"/>
  <c r="F1124" i="4" s="1"/>
  <c r="D1124" i="4"/>
  <c r="E1124" i="4"/>
  <c r="G1124" i="4" s="1"/>
  <c r="C1125" i="4"/>
  <c r="F1125" i="4" s="1"/>
  <c r="D1125" i="4"/>
  <c r="E1125" i="4"/>
  <c r="G1125" i="4" s="1"/>
  <c r="C1126" i="4"/>
  <c r="F1126" i="4" s="1"/>
  <c r="D1126" i="4"/>
  <c r="E1126" i="4"/>
  <c r="G1126" i="4" s="1"/>
  <c r="C1127" i="4"/>
  <c r="F1127" i="4" s="1"/>
  <c r="D1127" i="4"/>
  <c r="E1127" i="4"/>
  <c r="G1127" i="4" s="1"/>
  <c r="C1128" i="4"/>
  <c r="F1128" i="4" s="1"/>
  <c r="D1128" i="4"/>
  <c r="E1128" i="4"/>
  <c r="G1128" i="4" s="1"/>
  <c r="C1129" i="4"/>
  <c r="F1129" i="4" s="1"/>
  <c r="D1129" i="4"/>
  <c r="E1129" i="4"/>
  <c r="G1129" i="4" s="1"/>
  <c r="C1130" i="4"/>
  <c r="F1130" i="4" s="1"/>
  <c r="D1130" i="4"/>
  <c r="E1130" i="4"/>
  <c r="G1130" i="4" s="1"/>
  <c r="C1131" i="4"/>
  <c r="F1131" i="4" s="1"/>
  <c r="D1131" i="4"/>
  <c r="E1131" i="4"/>
  <c r="G1131" i="4" s="1"/>
  <c r="C1132" i="4"/>
  <c r="F1132" i="4" s="1"/>
  <c r="D1132" i="4"/>
  <c r="E1132" i="4"/>
  <c r="G1132" i="4" s="1"/>
  <c r="C1133" i="4"/>
  <c r="F1133" i="4" s="1"/>
  <c r="D1133" i="4"/>
  <c r="E1133" i="4"/>
  <c r="G1133" i="4" s="1"/>
  <c r="C1134" i="4"/>
  <c r="F1134" i="4" s="1"/>
  <c r="D1134" i="4"/>
  <c r="E1134" i="4"/>
  <c r="G1134" i="4" s="1"/>
  <c r="C1135" i="4"/>
  <c r="F1135" i="4" s="1"/>
  <c r="D1135" i="4"/>
  <c r="E1135" i="4"/>
  <c r="G1135" i="4" s="1"/>
  <c r="C1136" i="4"/>
  <c r="F1136" i="4" s="1"/>
  <c r="D1136" i="4"/>
  <c r="E1136" i="4"/>
  <c r="G1136" i="4" s="1"/>
  <c r="C1137" i="4"/>
  <c r="F1137" i="4" s="1"/>
  <c r="D1137" i="4"/>
  <c r="E1137" i="4"/>
  <c r="G1137" i="4"/>
  <c r="C1138" i="4"/>
  <c r="F1138" i="4" s="1"/>
  <c r="D1138" i="4"/>
  <c r="E1138" i="4"/>
  <c r="G1138" i="4" s="1"/>
  <c r="C1139" i="4"/>
  <c r="F1139" i="4" s="1"/>
  <c r="D1139" i="4"/>
  <c r="E1139" i="4"/>
  <c r="G1139" i="4" s="1"/>
  <c r="C1140" i="4"/>
  <c r="F1140" i="4" s="1"/>
  <c r="D1140" i="4"/>
  <c r="E1140" i="4"/>
  <c r="G1140" i="4" s="1"/>
  <c r="C1141" i="4"/>
  <c r="F1141" i="4" s="1"/>
  <c r="D1141" i="4"/>
  <c r="E1141" i="4"/>
  <c r="G1141" i="4" s="1"/>
  <c r="C1142" i="4"/>
  <c r="F1142" i="4" s="1"/>
  <c r="D1142" i="4"/>
  <c r="E1142" i="4"/>
  <c r="G1142" i="4" s="1"/>
  <c r="C1143" i="4"/>
  <c r="F1143" i="4" s="1"/>
  <c r="D1143" i="4"/>
  <c r="E1143" i="4"/>
  <c r="G1143" i="4" s="1"/>
  <c r="C1144" i="4"/>
  <c r="F1144" i="4" s="1"/>
  <c r="D1144" i="4"/>
  <c r="E1144" i="4"/>
  <c r="G1144" i="4" s="1"/>
  <c r="C1145" i="4"/>
  <c r="F1145" i="4" s="1"/>
  <c r="D1145" i="4"/>
  <c r="E1145" i="4"/>
  <c r="G1145" i="4" s="1"/>
  <c r="C1146" i="4"/>
  <c r="F1146" i="4" s="1"/>
  <c r="D1146" i="4"/>
  <c r="E1146" i="4"/>
  <c r="G1146" i="4" s="1"/>
  <c r="C1147" i="4"/>
  <c r="F1147" i="4" s="1"/>
  <c r="D1147" i="4"/>
  <c r="E1147" i="4"/>
  <c r="G1147" i="4" s="1"/>
  <c r="C1148" i="4"/>
  <c r="F1148" i="4" s="1"/>
  <c r="D1148" i="4"/>
  <c r="E1148" i="4"/>
  <c r="G1148" i="4" s="1"/>
  <c r="C1149" i="4"/>
  <c r="F1149" i="4" s="1"/>
  <c r="D1149" i="4"/>
  <c r="E1149" i="4"/>
  <c r="G1149" i="4" s="1"/>
  <c r="C1150" i="4"/>
  <c r="F1150" i="4" s="1"/>
  <c r="D1150" i="4"/>
  <c r="E1150" i="4"/>
  <c r="G1150" i="4" s="1"/>
  <c r="C1151" i="4"/>
  <c r="F1151" i="4" s="1"/>
  <c r="D1151" i="4"/>
  <c r="E1151" i="4"/>
  <c r="G1151" i="4" s="1"/>
  <c r="C1152" i="4"/>
  <c r="F1152" i="4" s="1"/>
  <c r="D1152" i="4"/>
  <c r="E1152" i="4"/>
  <c r="G1152" i="4" s="1"/>
  <c r="C1153" i="4"/>
  <c r="F1153" i="4" s="1"/>
  <c r="D1153" i="4"/>
  <c r="E1153" i="4"/>
  <c r="G1153" i="4" s="1"/>
  <c r="C1154" i="4"/>
  <c r="F1154" i="4" s="1"/>
  <c r="D1154" i="4"/>
  <c r="E1154" i="4"/>
  <c r="G1154" i="4" s="1"/>
  <c r="C1155" i="4"/>
  <c r="F1155" i="4" s="1"/>
  <c r="D1155" i="4"/>
  <c r="E1155" i="4"/>
  <c r="G1155" i="4" s="1"/>
  <c r="C1156" i="4"/>
  <c r="F1156" i="4" s="1"/>
  <c r="D1156" i="4"/>
  <c r="E1156" i="4"/>
  <c r="G1156" i="4" s="1"/>
  <c r="C1157" i="4"/>
  <c r="F1157" i="4" s="1"/>
  <c r="D1157" i="4"/>
  <c r="E1157" i="4"/>
  <c r="G1157" i="4" s="1"/>
  <c r="C1158" i="4"/>
  <c r="F1158" i="4" s="1"/>
  <c r="D1158" i="4"/>
  <c r="E1158" i="4"/>
  <c r="G1158" i="4" s="1"/>
  <c r="C1159" i="4"/>
  <c r="F1159" i="4" s="1"/>
  <c r="D1159" i="4"/>
  <c r="E1159" i="4"/>
  <c r="G1159" i="4" s="1"/>
  <c r="C1160" i="4"/>
  <c r="F1160" i="4" s="1"/>
  <c r="D1160" i="4"/>
  <c r="E1160" i="4"/>
  <c r="G1160" i="4" s="1"/>
  <c r="C1161" i="4"/>
  <c r="F1161" i="4" s="1"/>
  <c r="D1161" i="4"/>
  <c r="E1161" i="4"/>
  <c r="G1161" i="4" s="1"/>
  <c r="C1162" i="4"/>
  <c r="F1162" i="4" s="1"/>
  <c r="D1162" i="4"/>
  <c r="E1162" i="4"/>
  <c r="G1162" i="4" s="1"/>
  <c r="C1163" i="4"/>
  <c r="F1163" i="4" s="1"/>
  <c r="D1163" i="4"/>
  <c r="E1163" i="4"/>
  <c r="G1163" i="4" s="1"/>
  <c r="C1164" i="4"/>
  <c r="F1164" i="4" s="1"/>
  <c r="D1164" i="4"/>
  <c r="E1164" i="4"/>
  <c r="G1164" i="4" s="1"/>
  <c r="C1165" i="4"/>
  <c r="F1165" i="4" s="1"/>
  <c r="D1165" i="4"/>
  <c r="E1165" i="4"/>
  <c r="G1165" i="4" s="1"/>
  <c r="C1166" i="4"/>
  <c r="D1166" i="4"/>
  <c r="E1166" i="4"/>
  <c r="G1166" i="4" s="1"/>
  <c r="F1166" i="4"/>
  <c r="C1167" i="4"/>
  <c r="F1167" i="4" s="1"/>
  <c r="D1167" i="4"/>
  <c r="E1167" i="4"/>
  <c r="G1167" i="4" s="1"/>
  <c r="C1168" i="4"/>
  <c r="F1168" i="4" s="1"/>
  <c r="D1168" i="4"/>
  <c r="E1168" i="4"/>
  <c r="G1168" i="4" s="1"/>
  <c r="C1169" i="4"/>
  <c r="F1169" i="4" s="1"/>
  <c r="D1169" i="4"/>
  <c r="E1169" i="4"/>
  <c r="G1169" i="4"/>
  <c r="C1170" i="4"/>
  <c r="F1170" i="4" s="1"/>
  <c r="D1170" i="4"/>
  <c r="E1170" i="4"/>
  <c r="G1170" i="4" s="1"/>
  <c r="C1171" i="4"/>
  <c r="F1171" i="4" s="1"/>
  <c r="D1171" i="4"/>
  <c r="E1171" i="4"/>
  <c r="G1171" i="4" s="1"/>
  <c r="C1172" i="4"/>
  <c r="F1172" i="4" s="1"/>
  <c r="D1172" i="4"/>
  <c r="E1172" i="4"/>
  <c r="G1172" i="4" s="1"/>
  <c r="C1173" i="4"/>
  <c r="F1173" i="4" s="1"/>
  <c r="D1173" i="4"/>
  <c r="E1173" i="4"/>
  <c r="G1173" i="4" s="1"/>
  <c r="C1174" i="4"/>
  <c r="D1174" i="4"/>
  <c r="E1174" i="4"/>
  <c r="G1174" i="4" s="1"/>
  <c r="F1174" i="4"/>
  <c r="C1175" i="4"/>
  <c r="D1175" i="4"/>
  <c r="E1175" i="4"/>
  <c r="G1175" i="4" s="1"/>
  <c r="F1175" i="4"/>
  <c r="C1176" i="4"/>
  <c r="F1176" i="4" s="1"/>
  <c r="D1176" i="4"/>
  <c r="E1176" i="4"/>
  <c r="G1176" i="4" s="1"/>
  <c r="C1177" i="4"/>
  <c r="F1177" i="4" s="1"/>
  <c r="D1177" i="4"/>
  <c r="E1177" i="4"/>
  <c r="G1177" i="4" s="1"/>
  <c r="C1178" i="4"/>
  <c r="F1178" i="4" s="1"/>
  <c r="D1178" i="4"/>
  <c r="E1178" i="4"/>
  <c r="G1178" i="4" s="1"/>
  <c r="C1179" i="4"/>
  <c r="F1179" i="4" s="1"/>
  <c r="D1179" i="4"/>
  <c r="E1179" i="4"/>
  <c r="G1179" i="4" s="1"/>
  <c r="C1180" i="4"/>
  <c r="F1180" i="4" s="1"/>
  <c r="D1180" i="4"/>
  <c r="E1180" i="4"/>
  <c r="G1180" i="4" s="1"/>
  <c r="C1181" i="4"/>
  <c r="F1181" i="4" s="1"/>
  <c r="D1181" i="4"/>
  <c r="E1181" i="4"/>
  <c r="G1181" i="4" s="1"/>
  <c r="C1182" i="4"/>
  <c r="F1182" i="4" s="1"/>
  <c r="D1182" i="4"/>
  <c r="E1182" i="4"/>
  <c r="G1182" i="4" s="1"/>
  <c r="C1183" i="4"/>
  <c r="F1183" i="4" s="1"/>
  <c r="D1183" i="4"/>
  <c r="E1183" i="4"/>
  <c r="G1183" i="4" s="1"/>
  <c r="C1184" i="4"/>
  <c r="F1184" i="4" s="1"/>
  <c r="D1184" i="4"/>
  <c r="E1184" i="4"/>
  <c r="G1184" i="4" s="1"/>
  <c r="C1185" i="4"/>
  <c r="F1185" i="4" s="1"/>
  <c r="D1185" i="4"/>
  <c r="E1185" i="4"/>
  <c r="G1185" i="4" s="1"/>
  <c r="C1186" i="4"/>
  <c r="F1186" i="4" s="1"/>
  <c r="D1186" i="4"/>
  <c r="E1186" i="4"/>
  <c r="G1186" i="4" s="1"/>
  <c r="C1187" i="4"/>
  <c r="F1187" i="4" s="1"/>
  <c r="D1187" i="4"/>
  <c r="E1187" i="4"/>
  <c r="G1187" i="4" s="1"/>
  <c r="C1188" i="4"/>
  <c r="F1188" i="4" s="1"/>
  <c r="D1188" i="4"/>
  <c r="E1188" i="4"/>
  <c r="G1188" i="4"/>
  <c r="C1189" i="4"/>
  <c r="F1189" i="4" s="1"/>
  <c r="D1189" i="4"/>
  <c r="E1189" i="4"/>
  <c r="G1189" i="4" s="1"/>
  <c r="C1190" i="4"/>
  <c r="F1190" i="4" s="1"/>
  <c r="D1190" i="4"/>
  <c r="E1190" i="4"/>
  <c r="G1190" i="4"/>
  <c r="C1191" i="4"/>
  <c r="F1191" i="4" s="1"/>
  <c r="D1191" i="4"/>
  <c r="E1191" i="4"/>
  <c r="G1191" i="4" s="1"/>
  <c r="C1192" i="4"/>
  <c r="F1192" i="4" s="1"/>
  <c r="D1192" i="4"/>
  <c r="E1192" i="4"/>
  <c r="G1192" i="4" s="1"/>
  <c r="C1193" i="4"/>
  <c r="F1193" i="4" s="1"/>
  <c r="D1193" i="4"/>
  <c r="E1193" i="4"/>
  <c r="G1193" i="4" s="1"/>
  <c r="C1194" i="4"/>
  <c r="F1194" i="4" s="1"/>
  <c r="D1194" i="4"/>
  <c r="E1194" i="4"/>
  <c r="G1194" i="4" s="1"/>
  <c r="C1195" i="4"/>
  <c r="F1195" i="4" s="1"/>
  <c r="D1195" i="4"/>
  <c r="E1195" i="4"/>
  <c r="G1195" i="4" s="1"/>
  <c r="C1196" i="4"/>
  <c r="F1196" i="4" s="1"/>
  <c r="D1196" i="4"/>
  <c r="E1196" i="4"/>
  <c r="G1196" i="4" s="1"/>
  <c r="C1197" i="4"/>
  <c r="F1197" i="4" s="1"/>
  <c r="D1197" i="4"/>
  <c r="E1197" i="4"/>
  <c r="G1197" i="4" s="1"/>
  <c r="C1198" i="4"/>
  <c r="F1198" i="4" s="1"/>
  <c r="D1198" i="4"/>
  <c r="E1198" i="4"/>
  <c r="G1198" i="4" s="1"/>
  <c r="C1199" i="4"/>
  <c r="F1199" i="4" s="1"/>
  <c r="D1199" i="4"/>
  <c r="E1199" i="4"/>
  <c r="G1199" i="4" s="1"/>
  <c r="C1200" i="4"/>
  <c r="F1200" i="4" s="1"/>
  <c r="D1200" i="4"/>
  <c r="E1200" i="4"/>
  <c r="G1200" i="4" s="1"/>
  <c r="C1201" i="4"/>
  <c r="F1201" i="4" s="1"/>
  <c r="D1201" i="4"/>
  <c r="E1201" i="4"/>
  <c r="G1201" i="4" s="1"/>
  <c r="C1202" i="4"/>
  <c r="F1202" i="4" s="1"/>
  <c r="D1202" i="4"/>
  <c r="E1202" i="4"/>
  <c r="G1202" i="4" s="1"/>
  <c r="C1203" i="4"/>
  <c r="F1203" i="4" s="1"/>
  <c r="D1203" i="4"/>
  <c r="E1203" i="4"/>
  <c r="G1203" i="4" s="1"/>
  <c r="C1204" i="4"/>
  <c r="F1204" i="4" s="1"/>
  <c r="D1204" i="4"/>
  <c r="E1204" i="4"/>
  <c r="G1204" i="4" s="1"/>
  <c r="C1205" i="4"/>
  <c r="F1205" i="4" s="1"/>
  <c r="D1205" i="4"/>
  <c r="E1205" i="4"/>
  <c r="G1205" i="4" s="1"/>
  <c r="C1206" i="4"/>
  <c r="F1206" i="4" s="1"/>
  <c r="D1206" i="4"/>
  <c r="E1206" i="4"/>
  <c r="G1206" i="4" s="1"/>
  <c r="C1207" i="4"/>
  <c r="F1207" i="4" s="1"/>
  <c r="D1207" i="4"/>
  <c r="E1207" i="4"/>
  <c r="G1207" i="4" s="1"/>
  <c r="C1208" i="4"/>
  <c r="F1208" i="4" s="1"/>
  <c r="D1208" i="4"/>
  <c r="E1208" i="4"/>
  <c r="G1208" i="4" s="1"/>
  <c r="C1209" i="4"/>
  <c r="F1209" i="4" s="1"/>
  <c r="D1209" i="4"/>
  <c r="E1209" i="4"/>
  <c r="G1209" i="4" s="1"/>
  <c r="C1210" i="4"/>
  <c r="F1210" i="4" s="1"/>
  <c r="D1210" i="4"/>
  <c r="E1210" i="4"/>
  <c r="G1210" i="4" s="1"/>
  <c r="C1211" i="4"/>
  <c r="D1211" i="4"/>
  <c r="E1211" i="4"/>
  <c r="G1211" i="4" s="1"/>
  <c r="F1211" i="4"/>
  <c r="C1212" i="4"/>
  <c r="F1212" i="4" s="1"/>
  <c r="D1212" i="4"/>
  <c r="E1212" i="4"/>
  <c r="G1212" i="4" s="1"/>
  <c r="C1213" i="4"/>
  <c r="F1213" i="4" s="1"/>
  <c r="D1213" i="4"/>
  <c r="E1213" i="4"/>
  <c r="G1213" i="4" s="1"/>
  <c r="C1214" i="4"/>
  <c r="D1214" i="4"/>
  <c r="E1214" i="4"/>
  <c r="G1214" i="4" s="1"/>
  <c r="F1214" i="4"/>
  <c r="C1215" i="4"/>
  <c r="F1215" i="4" s="1"/>
  <c r="D1215" i="4"/>
  <c r="E1215" i="4"/>
  <c r="G1215" i="4" s="1"/>
  <c r="C1216" i="4"/>
  <c r="F1216" i="4" s="1"/>
  <c r="D1216" i="4"/>
  <c r="E1216" i="4"/>
  <c r="G1216" i="4" s="1"/>
  <c r="C1217" i="4"/>
  <c r="F1217" i="4" s="1"/>
  <c r="D1217" i="4"/>
  <c r="E1217" i="4"/>
  <c r="G1217" i="4" s="1"/>
  <c r="C1218" i="4"/>
  <c r="F1218" i="4" s="1"/>
  <c r="D1218" i="4"/>
  <c r="E1218" i="4"/>
  <c r="G1218" i="4" s="1"/>
  <c r="C1219" i="4"/>
  <c r="F1219" i="4" s="1"/>
  <c r="D1219" i="4"/>
  <c r="E1219" i="4"/>
  <c r="G1219" i="4" s="1"/>
  <c r="C1220" i="4"/>
  <c r="F1220" i="4" s="1"/>
  <c r="D1220" i="4"/>
  <c r="E1220" i="4"/>
  <c r="G1220" i="4" s="1"/>
  <c r="C1221" i="4"/>
  <c r="D1221" i="4"/>
  <c r="E1221" i="4"/>
  <c r="G1221" i="4" s="1"/>
  <c r="F1221" i="4"/>
  <c r="C1222" i="4"/>
  <c r="F1222" i="4" s="1"/>
  <c r="D1222" i="4"/>
  <c r="E1222" i="4"/>
  <c r="G1222" i="4" s="1"/>
  <c r="C1223" i="4"/>
  <c r="F1223" i="4" s="1"/>
  <c r="D1223" i="4"/>
  <c r="E1223" i="4"/>
  <c r="G1223" i="4" s="1"/>
  <c r="C1224" i="4"/>
  <c r="F1224" i="4" s="1"/>
  <c r="D1224" i="4"/>
  <c r="E1224" i="4"/>
  <c r="G1224" i="4" s="1"/>
  <c r="C1225" i="4"/>
  <c r="F1225" i="4" s="1"/>
  <c r="D1225" i="4"/>
  <c r="E1225" i="4"/>
  <c r="G1225" i="4" s="1"/>
  <c r="C1226" i="4"/>
  <c r="F1226" i="4" s="1"/>
  <c r="D1226" i="4"/>
  <c r="E1226" i="4"/>
  <c r="G1226" i="4" s="1"/>
  <c r="C1227" i="4"/>
  <c r="F1227" i="4" s="1"/>
  <c r="D1227" i="4"/>
  <c r="E1227" i="4"/>
  <c r="G1227" i="4" s="1"/>
  <c r="C1228" i="4"/>
  <c r="F1228" i="4" s="1"/>
  <c r="D1228" i="4"/>
  <c r="E1228" i="4"/>
  <c r="G1228" i="4" s="1"/>
  <c r="C1229" i="4"/>
  <c r="F1229" i="4" s="1"/>
  <c r="D1229" i="4"/>
  <c r="E1229" i="4"/>
  <c r="G1229" i="4" s="1"/>
  <c r="C1230" i="4"/>
  <c r="F1230" i="4" s="1"/>
  <c r="D1230" i="4"/>
  <c r="E1230" i="4"/>
  <c r="G1230" i="4"/>
  <c r="C1231" i="4"/>
  <c r="F1231" i="4" s="1"/>
  <c r="D1231" i="4"/>
  <c r="E1231" i="4"/>
  <c r="G1231" i="4" s="1"/>
  <c r="C1232" i="4"/>
  <c r="F1232" i="4" s="1"/>
  <c r="D1232" i="4"/>
  <c r="E1232" i="4"/>
  <c r="G1232" i="4" s="1"/>
  <c r="C1233" i="4"/>
  <c r="F1233" i="4" s="1"/>
  <c r="D1233" i="4"/>
  <c r="E1233" i="4"/>
  <c r="G1233" i="4" s="1"/>
  <c r="C1234" i="4"/>
  <c r="F1234" i="4" s="1"/>
  <c r="D1234" i="4"/>
  <c r="E1234" i="4"/>
  <c r="G1234" i="4" s="1"/>
  <c r="C1235" i="4"/>
  <c r="F1235" i="4" s="1"/>
  <c r="D1235" i="4"/>
  <c r="E1235" i="4"/>
  <c r="G1235" i="4" s="1"/>
  <c r="C1236" i="4"/>
  <c r="F1236" i="4" s="1"/>
  <c r="D1236" i="4"/>
  <c r="E1236" i="4"/>
  <c r="G1236" i="4"/>
  <c r="C1237" i="4"/>
  <c r="F1237" i="4" s="1"/>
  <c r="D1237" i="4"/>
  <c r="E1237" i="4"/>
  <c r="G1237" i="4"/>
  <c r="C1238" i="4"/>
  <c r="D1238" i="4"/>
  <c r="E1238" i="4"/>
  <c r="G1238" i="4" s="1"/>
  <c r="F1238" i="4"/>
  <c r="C1239" i="4"/>
  <c r="F1239" i="4" s="1"/>
  <c r="D1239" i="4"/>
  <c r="E1239" i="4"/>
  <c r="G1239" i="4" s="1"/>
  <c r="C1240" i="4"/>
  <c r="F1240" i="4" s="1"/>
  <c r="D1240" i="4"/>
  <c r="E1240" i="4"/>
  <c r="G1240" i="4" s="1"/>
  <c r="C1241" i="4"/>
  <c r="F1241" i="4" s="1"/>
  <c r="D1241" i="4"/>
  <c r="E1241" i="4"/>
  <c r="G1241" i="4" s="1"/>
  <c r="C1242" i="4"/>
  <c r="F1242" i="4" s="1"/>
  <c r="D1242" i="4"/>
  <c r="E1242" i="4"/>
  <c r="G1242" i="4" s="1"/>
  <c r="C1243" i="4"/>
  <c r="F1243" i="4" s="1"/>
  <c r="D1243" i="4"/>
  <c r="E1243" i="4"/>
  <c r="G1243" i="4" s="1"/>
  <c r="C1244" i="4"/>
  <c r="F1244" i="4" s="1"/>
  <c r="D1244" i="4"/>
  <c r="E1244" i="4"/>
  <c r="G1244" i="4" s="1"/>
  <c r="C1245" i="4"/>
  <c r="F1245" i="4" s="1"/>
  <c r="D1245" i="4"/>
  <c r="E1245" i="4"/>
  <c r="G1245" i="4" s="1"/>
  <c r="C1246" i="4"/>
  <c r="F1246" i="4" s="1"/>
  <c r="D1246" i="4"/>
  <c r="E1246" i="4"/>
  <c r="G1246" i="4" s="1"/>
  <c r="C1247" i="4"/>
  <c r="F1247" i="4" s="1"/>
  <c r="D1247" i="4"/>
  <c r="E1247" i="4"/>
  <c r="G1247" i="4" s="1"/>
  <c r="C1248" i="4"/>
  <c r="F1248" i="4" s="1"/>
  <c r="D1248" i="4"/>
  <c r="E1248" i="4"/>
  <c r="G1248" i="4" s="1"/>
  <c r="C1249" i="4"/>
  <c r="F1249" i="4" s="1"/>
  <c r="D1249" i="4"/>
  <c r="E1249" i="4"/>
  <c r="G1249" i="4" s="1"/>
  <c r="F28" i="5" s="1"/>
  <c r="C1250" i="4"/>
  <c r="F1250" i="4" s="1"/>
  <c r="D1250" i="4"/>
  <c r="E1250" i="4"/>
  <c r="G1250" i="4" s="1"/>
  <c r="C1251" i="4"/>
  <c r="F1251" i="4" s="1"/>
  <c r="D1251" i="4"/>
  <c r="E1251" i="4"/>
  <c r="G1251" i="4" s="1"/>
  <c r="C1252" i="4"/>
  <c r="F1252" i="4" s="1"/>
  <c r="D1252" i="4"/>
  <c r="E1252" i="4"/>
  <c r="G1252" i="4" s="1"/>
  <c r="C1253" i="4"/>
  <c r="F1253" i="4" s="1"/>
  <c r="D1253" i="4"/>
  <c r="E1253" i="4"/>
  <c r="G1253" i="4" s="1"/>
  <c r="C1254" i="4"/>
  <c r="F1254" i="4" s="1"/>
  <c r="D1254" i="4"/>
  <c r="E1254" i="4"/>
  <c r="G1254" i="4" s="1"/>
  <c r="C1255" i="4"/>
  <c r="F1255" i="4" s="1"/>
  <c r="D1255" i="4"/>
  <c r="E1255" i="4"/>
  <c r="G1255" i="4" s="1"/>
  <c r="C1256" i="4"/>
  <c r="F1256" i="4" s="1"/>
  <c r="D1256" i="4"/>
  <c r="E1256" i="4"/>
  <c r="G1256" i="4" s="1"/>
  <c r="C1257" i="4"/>
  <c r="F1257" i="4" s="1"/>
  <c r="D1257" i="4"/>
  <c r="E1257" i="4"/>
  <c r="G1257" i="4" s="1"/>
  <c r="C1258" i="4"/>
  <c r="F1258" i="4" s="1"/>
  <c r="D1258" i="4"/>
  <c r="E1258" i="4"/>
  <c r="G1258" i="4" s="1"/>
  <c r="C1259" i="4"/>
  <c r="F1259" i="4" s="1"/>
  <c r="D1259" i="4"/>
  <c r="E1259" i="4"/>
  <c r="G1259" i="4" s="1"/>
  <c r="C1260" i="4"/>
  <c r="F1260" i="4" s="1"/>
  <c r="D1260" i="4"/>
  <c r="E1260" i="4"/>
  <c r="G1260" i="4" s="1"/>
  <c r="C1261" i="4"/>
  <c r="F1261" i="4" s="1"/>
  <c r="D1261" i="4"/>
  <c r="E1261" i="4"/>
  <c r="G1261" i="4" s="1"/>
  <c r="C1262" i="4"/>
  <c r="F1262" i="4" s="1"/>
  <c r="D1262" i="4"/>
  <c r="E1262" i="4"/>
  <c r="G1262" i="4" s="1"/>
  <c r="C1263" i="4"/>
  <c r="F1263" i="4" s="1"/>
  <c r="D1263" i="4"/>
  <c r="E1263" i="4"/>
  <c r="G1263" i="4" s="1"/>
  <c r="C1264" i="4"/>
  <c r="F1264" i="4" s="1"/>
  <c r="D1264" i="4"/>
  <c r="E1264" i="4"/>
  <c r="G1264" i="4" s="1"/>
  <c r="C1265" i="4"/>
  <c r="F1265" i="4" s="1"/>
  <c r="D1265" i="4"/>
  <c r="E1265" i="4"/>
  <c r="G1265" i="4" s="1"/>
  <c r="C1266" i="4"/>
  <c r="F1266" i="4" s="1"/>
  <c r="D1266" i="4"/>
  <c r="E1266" i="4"/>
  <c r="G1266" i="4" s="1"/>
  <c r="C1267" i="4"/>
  <c r="F1267" i="4" s="1"/>
  <c r="D1267" i="4"/>
  <c r="E1267" i="4"/>
  <c r="G1267" i="4" s="1"/>
  <c r="C1268" i="4"/>
  <c r="F1268" i="4" s="1"/>
  <c r="D1268" i="4"/>
  <c r="E1268" i="4"/>
  <c r="G1268" i="4" s="1"/>
  <c r="C1269" i="4"/>
  <c r="F1269" i="4" s="1"/>
  <c r="D1269" i="4"/>
  <c r="E1269" i="4"/>
  <c r="G1269" i="4" s="1"/>
  <c r="C1270" i="4"/>
  <c r="F1270" i="4" s="1"/>
  <c r="D1270" i="4"/>
  <c r="E1270" i="4"/>
  <c r="G1270" i="4" s="1"/>
  <c r="C1271" i="4"/>
  <c r="D1271" i="4"/>
  <c r="E1271" i="4"/>
  <c r="G1271" i="4" s="1"/>
  <c r="F1271" i="4"/>
  <c r="C1272" i="4"/>
  <c r="F1272" i="4" s="1"/>
  <c r="D1272" i="4"/>
  <c r="E1272" i="4"/>
  <c r="G1272" i="4" s="1"/>
  <c r="C1273" i="4"/>
  <c r="F1273" i="4" s="1"/>
  <c r="D1273" i="4"/>
  <c r="E1273" i="4"/>
  <c r="G1273" i="4"/>
  <c r="C1274" i="4"/>
  <c r="F1274" i="4" s="1"/>
  <c r="D1274" i="4"/>
  <c r="E1274" i="4"/>
  <c r="G1274" i="4" s="1"/>
  <c r="C1275" i="4"/>
  <c r="F1275" i="4" s="1"/>
  <c r="D1275" i="4"/>
  <c r="E1275" i="4"/>
  <c r="G1275" i="4" s="1"/>
  <c r="C1276" i="4"/>
  <c r="F1276" i="4" s="1"/>
  <c r="D1276" i="4"/>
  <c r="E1276" i="4"/>
  <c r="G1276" i="4" s="1"/>
  <c r="C1277" i="4"/>
  <c r="F1277" i="4" s="1"/>
  <c r="D1277" i="4"/>
  <c r="E1277" i="4"/>
  <c r="G1277" i="4"/>
  <c r="C1278" i="4"/>
  <c r="D1278" i="4"/>
  <c r="E1278" i="4"/>
  <c r="G1278" i="4" s="1"/>
  <c r="F1278" i="4"/>
  <c r="C1279" i="4"/>
  <c r="F1279" i="4" s="1"/>
  <c r="D1279" i="4"/>
  <c r="E1279" i="4"/>
  <c r="G1279" i="4" s="1"/>
  <c r="C1280" i="4"/>
  <c r="F1280" i="4" s="1"/>
  <c r="D1280" i="4"/>
  <c r="E1280" i="4"/>
  <c r="G1280" i="4" s="1"/>
  <c r="C1281" i="4"/>
  <c r="D1281" i="4"/>
  <c r="E1281" i="4"/>
  <c r="G1281" i="4" s="1"/>
  <c r="F1281" i="4"/>
  <c r="C1282" i="4"/>
  <c r="F1282" i="4" s="1"/>
  <c r="D1282" i="4"/>
  <c r="E1282" i="4"/>
  <c r="G1282" i="4" s="1"/>
  <c r="C1283" i="4"/>
  <c r="F1283" i="4" s="1"/>
  <c r="D1283" i="4"/>
  <c r="E1283" i="4"/>
  <c r="G1283" i="4" s="1"/>
  <c r="C1284" i="4"/>
  <c r="F1284" i="4" s="1"/>
  <c r="D1284" i="4"/>
  <c r="E1284" i="4"/>
  <c r="G1284" i="4" s="1"/>
  <c r="C1285" i="4"/>
  <c r="F1285" i="4" s="1"/>
  <c r="D1285" i="4"/>
  <c r="E1285" i="4"/>
  <c r="G1285" i="4" s="1"/>
  <c r="C1286" i="4"/>
  <c r="F1286" i="4" s="1"/>
  <c r="D1286" i="4"/>
  <c r="E1286" i="4"/>
  <c r="G1286" i="4" s="1"/>
  <c r="C1287" i="4"/>
  <c r="F1287" i="4" s="1"/>
  <c r="D1287" i="4"/>
  <c r="E1287" i="4"/>
  <c r="G1287" i="4" s="1"/>
  <c r="C1288" i="4"/>
  <c r="F1288" i="4" s="1"/>
  <c r="D1288" i="4"/>
  <c r="E1288" i="4"/>
  <c r="G1288" i="4" s="1"/>
  <c r="C1289" i="4"/>
  <c r="F1289" i="4" s="1"/>
  <c r="D1289" i="4"/>
  <c r="E1289" i="4"/>
  <c r="G1289" i="4" s="1"/>
  <c r="C1290" i="4"/>
  <c r="F1290" i="4" s="1"/>
  <c r="D1290" i="4"/>
  <c r="E1290" i="4"/>
  <c r="G1290" i="4" s="1"/>
  <c r="C1291" i="4"/>
  <c r="F1291" i="4" s="1"/>
  <c r="D1291" i="4"/>
  <c r="E1291" i="4"/>
  <c r="G1291" i="4" s="1"/>
  <c r="C1292" i="4"/>
  <c r="F1292" i="4" s="1"/>
  <c r="D1292" i="4"/>
  <c r="E1292" i="4"/>
  <c r="G1292" i="4" s="1"/>
  <c r="C1293" i="4"/>
  <c r="F1293" i="4" s="1"/>
  <c r="D1293" i="4"/>
  <c r="E1293" i="4"/>
  <c r="G1293" i="4" s="1"/>
  <c r="C1294" i="4"/>
  <c r="F1294" i="4" s="1"/>
  <c r="D1294" i="4"/>
  <c r="E1294" i="4"/>
  <c r="G1294" i="4"/>
  <c r="C1295" i="4"/>
  <c r="F1295" i="4" s="1"/>
  <c r="D1295" i="4"/>
  <c r="E1295" i="4"/>
  <c r="G1295" i="4" s="1"/>
  <c r="C1296" i="4"/>
  <c r="F1296" i="4" s="1"/>
  <c r="D1296" i="4"/>
  <c r="E1296" i="4"/>
  <c r="G1296" i="4" s="1"/>
  <c r="C1297" i="4"/>
  <c r="F1297" i="4" s="1"/>
  <c r="D1297" i="4"/>
  <c r="E1297" i="4"/>
  <c r="G1297" i="4" s="1"/>
  <c r="C1298" i="4"/>
  <c r="F1298" i="4" s="1"/>
  <c r="D1298" i="4"/>
  <c r="E1298" i="4"/>
  <c r="G1298" i="4" s="1"/>
  <c r="C1299" i="4"/>
  <c r="F1299" i="4" s="1"/>
  <c r="D1299" i="4"/>
  <c r="E1299" i="4"/>
  <c r="G1299" i="4" s="1"/>
  <c r="C1300" i="4"/>
  <c r="F1300" i="4" s="1"/>
  <c r="D1300" i="4"/>
  <c r="E1300" i="4"/>
  <c r="G1300" i="4"/>
  <c r="C1301" i="4"/>
  <c r="F1301" i="4" s="1"/>
  <c r="D1301" i="4"/>
  <c r="E1301" i="4"/>
  <c r="G1301" i="4" s="1"/>
  <c r="C1302" i="4"/>
  <c r="F1302" i="4" s="1"/>
  <c r="D1302" i="4"/>
  <c r="E1302" i="4"/>
  <c r="G1302" i="4" s="1"/>
  <c r="C1303" i="4"/>
  <c r="F1303" i="4" s="1"/>
  <c r="D1303" i="4"/>
  <c r="E1303" i="4"/>
  <c r="G1303" i="4" s="1"/>
  <c r="C1304" i="4"/>
  <c r="F1304" i="4" s="1"/>
  <c r="D1304" i="4"/>
  <c r="E1304" i="4"/>
  <c r="G1304" i="4" s="1"/>
  <c r="C1305" i="4"/>
  <c r="F1305" i="4" s="1"/>
  <c r="D1305" i="4"/>
  <c r="E1305" i="4"/>
  <c r="G1305" i="4" s="1"/>
  <c r="C1306" i="4"/>
  <c r="F1306" i="4" s="1"/>
  <c r="D1306" i="4"/>
  <c r="E1306" i="4"/>
  <c r="G1306" i="4" s="1"/>
  <c r="C1307" i="4"/>
  <c r="F1307" i="4" s="1"/>
  <c r="D1307" i="4"/>
  <c r="E1307" i="4"/>
  <c r="G1307" i="4" s="1"/>
  <c r="C1308" i="4"/>
  <c r="F1308" i="4" s="1"/>
  <c r="D1308" i="4"/>
  <c r="E1308" i="4"/>
  <c r="G1308" i="4" s="1"/>
  <c r="C1309" i="4"/>
  <c r="F1309" i="4" s="1"/>
  <c r="D1309" i="4"/>
  <c r="E1309" i="4"/>
  <c r="G1309" i="4" s="1"/>
  <c r="C1310" i="4"/>
  <c r="D1310" i="4"/>
  <c r="E1310" i="4"/>
  <c r="G1310" i="4" s="1"/>
  <c r="F1310" i="4"/>
  <c r="C1311" i="4"/>
  <c r="F1311" i="4" s="1"/>
  <c r="D1311" i="4"/>
  <c r="E1311" i="4"/>
  <c r="G1311" i="4" s="1"/>
  <c r="C1312" i="4"/>
  <c r="F1312" i="4" s="1"/>
  <c r="D1312" i="4"/>
  <c r="E1312" i="4"/>
  <c r="G1312" i="4" s="1"/>
  <c r="C1313" i="4"/>
  <c r="F1313" i="4" s="1"/>
  <c r="D1313" i="4"/>
  <c r="E1313" i="4"/>
  <c r="G1313" i="4" s="1"/>
  <c r="C1314" i="4"/>
  <c r="F1314" i="4" s="1"/>
  <c r="D1314" i="4"/>
  <c r="E1314" i="4"/>
  <c r="G1314" i="4" s="1"/>
  <c r="C1315" i="4"/>
  <c r="F1315" i="4" s="1"/>
  <c r="D1315" i="4"/>
  <c r="E1315" i="4"/>
  <c r="G1315" i="4" s="1"/>
  <c r="C1316" i="4"/>
  <c r="F1316" i="4" s="1"/>
  <c r="D1316" i="4"/>
  <c r="E1316" i="4"/>
  <c r="G1316" i="4"/>
  <c r="C1317" i="4"/>
  <c r="F1317" i="4" s="1"/>
  <c r="D1317" i="4"/>
  <c r="E1317" i="4"/>
  <c r="G1317" i="4" s="1"/>
  <c r="C1318" i="4"/>
  <c r="F1318" i="4" s="1"/>
  <c r="D1318" i="4"/>
  <c r="E1318" i="4"/>
  <c r="G1318" i="4" s="1"/>
  <c r="C1319" i="4"/>
  <c r="F1319" i="4" s="1"/>
  <c r="D1319" i="4"/>
  <c r="E1319" i="4"/>
  <c r="G1319" i="4" s="1"/>
  <c r="C1320" i="4"/>
  <c r="F1320" i="4" s="1"/>
  <c r="D1320" i="4"/>
  <c r="E1320" i="4"/>
  <c r="G1320" i="4" s="1"/>
  <c r="C1321" i="4"/>
  <c r="F1321" i="4" s="1"/>
  <c r="D1321" i="4"/>
  <c r="E1321" i="4"/>
  <c r="G1321" i="4" s="1"/>
  <c r="C1322" i="4"/>
  <c r="F1322" i="4" s="1"/>
  <c r="D1322" i="4"/>
  <c r="E1322" i="4"/>
  <c r="G1322" i="4" s="1"/>
  <c r="C1323" i="4"/>
  <c r="F1323" i="4" s="1"/>
  <c r="D1323" i="4"/>
  <c r="E1323" i="4"/>
  <c r="G1323" i="4" s="1"/>
  <c r="C1324" i="4"/>
  <c r="F1324" i="4" s="1"/>
  <c r="D1324" i="4"/>
  <c r="E1324" i="4"/>
  <c r="G1324" i="4" s="1"/>
  <c r="C1325" i="4"/>
  <c r="F1325" i="4" s="1"/>
  <c r="D1325" i="4"/>
  <c r="E1325" i="4"/>
  <c r="G1325" i="4"/>
  <c r="C1326" i="4"/>
  <c r="F1326" i="4" s="1"/>
  <c r="D1326" i="4"/>
  <c r="E1326" i="4"/>
  <c r="G1326" i="4" s="1"/>
  <c r="C1327" i="4"/>
  <c r="D1327" i="4"/>
  <c r="E1327" i="4"/>
  <c r="G1327" i="4" s="1"/>
  <c r="F1327" i="4"/>
  <c r="C1328" i="4"/>
  <c r="F1328" i="4" s="1"/>
  <c r="D1328" i="4"/>
  <c r="E1328" i="4"/>
  <c r="G1328" i="4" s="1"/>
  <c r="C1329" i="4"/>
  <c r="D1329" i="4"/>
  <c r="E1329" i="4"/>
  <c r="F1329" i="4"/>
  <c r="G1329" i="4"/>
  <c r="C1330" i="4"/>
  <c r="F1330" i="4" s="1"/>
  <c r="D1330" i="4"/>
  <c r="E1330" i="4"/>
  <c r="G1330" i="4" s="1"/>
  <c r="C1331" i="4"/>
  <c r="D1331" i="4"/>
  <c r="E1331" i="4"/>
  <c r="G1331" i="4" s="1"/>
  <c r="F1331" i="4"/>
  <c r="C1332" i="4"/>
  <c r="F1332" i="4" s="1"/>
  <c r="D1332" i="4"/>
  <c r="E1332" i="4"/>
  <c r="G1332" i="4" s="1"/>
  <c r="C1333" i="4"/>
  <c r="F1333" i="4" s="1"/>
  <c r="D1333" i="4"/>
  <c r="E1333" i="4"/>
  <c r="G1333" i="4"/>
  <c r="C1334" i="4"/>
  <c r="F1334" i="4" s="1"/>
  <c r="D1334" i="4"/>
  <c r="E1334" i="4"/>
  <c r="G1334" i="4" s="1"/>
  <c r="C1335" i="4"/>
  <c r="F1335" i="4" s="1"/>
  <c r="D1335" i="4"/>
  <c r="E1335" i="4"/>
  <c r="G1335" i="4" s="1"/>
  <c r="C1336" i="4"/>
  <c r="F1336" i="4" s="1"/>
  <c r="D1336" i="4"/>
  <c r="E1336" i="4"/>
  <c r="G1336" i="4" s="1"/>
  <c r="C1337" i="4"/>
  <c r="F1337" i="4" s="1"/>
  <c r="D1337" i="4"/>
  <c r="E1337" i="4"/>
  <c r="G1337" i="4" s="1"/>
  <c r="C1338" i="4"/>
  <c r="F1338" i="4" s="1"/>
  <c r="D1338" i="4"/>
  <c r="E1338" i="4"/>
  <c r="G1338" i="4" s="1"/>
  <c r="C1339" i="4"/>
  <c r="F1339" i="4" s="1"/>
  <c r="D1339" i="4"/>
  <c r="E1339" i="4"/>
  <c r="G1339" i="4" s="1"/>
  <c r="C1340" i="4"/>
  <c r="F1340" i="4" s="1"/>
  <c r="D1340" i="4"/>
  <c r="E1340" i="4"/>
  <c r="G1340" i="4"/>
  <c r="C1341" i="4"/>
  <c r="F1341" i="4" s="1"/>
  <c r="D1341" i="4"/>
  <c r="E1341" i="4"/>
  <c r="G1341" i="4" s="1"/>
  <c r="C1342" i="4"/>
  <c r="F1342" i="4" s="1"/>
  <c r="D1342" i="4"/>
  <c r="E1342" i="4"/>
  <c r="G1342" i="4"/>
  <c r="C1343" i="4"/>
  <c r="F1343" i="4" s="1"/>
  <c r="D1343" i="4"/>
  <c r="E1343" i="4"/>
  <c r="G1343" i="4" s="1"/>
  <c r="C1344" i="4"/>
  <c r="F1344" i="4" s="1"/>
  <c r="D1344" i="4"/>
  <c r="E1344" i="4"/>
  <c r="G1344" i="4" s="1"/>
  <c r="C1345" i="4"/>
  <c r="F1345" i="4" s="1"/>
  <c r="D1345" i="4"/>
  <c r="E1345" i="4"/>
  <c r="G1345" i="4" s="1"/>
  <c r="C1346" i="4"/>
  <c r="F1346" i="4" s="1"/>
  <c r="D1346" i="4"/>
  <c r="E1346" i="4"/>
  <c r="G1346" i="4" s="1"/>
  <c r="C1347" i="4"/>
  <c r="F1347" i="4" s="1"/>
  <c r="D1347" i="4"/>
  <c r="E1347" i="4"/>
  <c r="G1347" i="4" s="1"/>
  <c r="C1348" i="4"/>
  <c r="F1348" i="4" s="1"/>
  <c r="D1348" i="4"/>
  <c r="E1348" i="4"/>
  <c r="G1348" i="4" s="1"/>
  <c r="C1349" i="4"/>
  <c r="F1349" i="4" s="1"/>
  <c r="D1349" i="4"/>
  <c r="E1349" i="4"/>
  <c r="G1349" i="4" s="1"/>
  <c r="C1350" i="4"/>
  <c r="F1350" i="4" s="1"/>
  <c r="D1350" i="4"/>
  <c r="E1350" i="4"/>
  <c r="G1350" i="4" s="1"/>
  <c r="C1351" i="4"/>
  <c r="F1351" i="4" s="1"/>
  <c r="D1351" i="4"/>
  <c r="E1351" i="4"/>
  <c r="G1351" i="4" s="1"/>
  <c r="C1352" i="4"/>
  <c r="F1352" i="4" s="1"/>
  <c r="D1352" i="4"/>
  <c r="E1352" i="4"/>
  <c r="G1352" i="4" s="1"/>
  <c r="C1353" i="4"/>
  <c r="D1353" i="4"/>
  <c r="E1353" i="4"/>
  <c r="G1353" i="4" s="1"/>
  <c r="F1353" i="4"/>
  <c r="C1354" i="4"/>
  <c r="F1354" i="4" s="1"/>
  <c r="D1354" i="4"/>
  <c r="E1354" i="4"/>
  <c r="G1354" i="4" s="1"/>
  <c r="C1355" i="4"/>
  <c r="D1355" i="4"/>
  <c r="E1355" i="4"/>
  <c r="G1355" i="4" s="1"/>
  <c r="F1355" i="4"/>
  <c r="C1356" i="4"/>
  <c r="F1356" i="4" s="1"/>
  <c r="D1356" i="4"/>
  <c r="E1356" i="4"/>
  <c r="G1356" i="4"/>
  <c r="C1357" i="4"/>
  <c r="F1357" i="4" s="1"/>
  <c r="D1357" i="4"/>
  <c r="E1357" i="4"/>
  <c r="G1357" i="4"/>
  <c r="C1358" i="4"/>
  <c r="F1358" i="4" s="1"/>
  <c r="D1358" i="4"/>
  <c r="E1358" i="4"/>
  <c r="G1358" i="4"/>
  <c r="C1359" i="4"/>
  <c r="D1359" i="4"/>
  <c r="E1359" i="4"/>
  <c r="G1359" i="4" s="1"/>
  <c r="F1359" i="4"/>
  <c r="C1360" i="4"/>
  <c r="F1360" i="4" s="1"/>
  <c r="D1360" i="4"/>
  <c r="E1360" i="4"/>
  <c r="G1360" i="4" s="1"/>
  <c r="C1361" i="4"/>
  <c r="F1361" i="4" s="1"/>
  <c r="D1361" i="4"/>
  <c r="E1361" i="4"/>
  <c r="G1361" i="4"/>
  <c r="C1362" i="4"/>
  <c r="F1362" i="4" s="1"/>
  <c r="D1362" i="4"/>
  <c r="E1362" i="4"/>
  <c r="G1362" i="4" s="1"/>
  <c r="C1363" i="4"/>
  <c r="F1363" i="4" s="1"/>
  <c r="D1363" i="4"/>
  <c r="E1363" i="4"/>
  <c r="G1363" i="4" s="1"/>
  <c r="C1364" i="4"/>
  <c r="F1364" i="4" s="1"/>
  <c r="D1364" i="4"/>
  <c r="E1364" i="4"/>
  <c r="G1364" i="4"/>
  <c r="C1365" i="4"/>
  <c r="F1365" i="4" s="1"/>
  <c r="D1365" i="4"/>
  <c r="E1365" i="4"/>
  <c r="G1365" i="4" s="1"/>
  <c r="C1366" i="4"/>
  <c r="F1366" i="4" s="1"/>
  <c r="D1366" i="4"/>
  <c r="E1366" i="4"/>
  <c r="G1366" i="4"/>
  <c r="C1367" i="4"/>
  <c r="F1367" i="4" s="1"/>
  <c r="D1367" i="4"/>
  <c r="E1367" i="4"/>
  <c r="G1367" i="4" s="1"/>
  <c r="C1368" i="4"/>
  <c r="F1368" i="4" s="1"/>
  <c r="D1368" i="4"/>
  <c r="E1368" i="4"/>
  <c r="G1368" i="4" s="1"/>
  <c r="C1369" i="4"/>
  <c r="D1369" i="4"/>
  <c r="E1369" i="4"/>
  <c r="G1369" i="4" s="1"/>
  <c r="F1369" i="4"/>
  <c r="C1370" i="4"/>
  <c r="F1370" i="4" s="1"/>
  <c r="D1370" i="4"/>
  <c r="E1370" i="4"/>
  <c r="G1370" i="4" s="1"/>
  <c r="C1371" i="4"/>
  <c r="D1371" i="4"/>
  <c r="E1371" i="4"/>
  <c r="G1371" i="4" s="1"/>
  <c r="F1371" i="4"/>
  <c r="C1372" i="4"/>
  <c r="F1372" i="4" s="1"/>
  <c r="D1372" i="4"/>
  <c r="E1372" i="4"/>
  <c r="G1372" i="4" s="1"/>
  <c r="C1373" i="4"/>
  <c r="F1373" i="4" s="1"/>
  <c r="D1373" i="4"/>
  <c r="E1373" i="4"/>
  <c r="G1373" i="4" s="1"/>
  <c r="C1374" i="4"/>
  <c r="F1374" i="4" s="1"/>
  <c r="D1374" i="4"/>
  <c r="E1374" i="4"/>
  <c r="G1374" i="4" s="1"/>
  <c r="C1375" i="4"/>
  <c r="D1375" i="4"/>
  <c r="E1375" i="4"/>
  <c r="G1375" i="4" s="1"/>
  <c r="F1375" i="4"/>
  <c r="C1376" i="4"/>
  <c r="F1376" i="4" s="1"/>
  <c r="D1376" i="4"/>
  <c r="E1376" i="4"/>
  <c r="G1376" i="4" s="1"/>
  <c r="C1377" i="4"/>
  <c r="F1377" i="4" s="1"/>
  <c r="D1377" i="4"/>
  <c r="E1377" i="4"/>
  <c r="G1377" i="4" s="1"/>
  <c r="C1378" i="4"/>
  <c r="F1378" i="4" s="1"/>
  <c r="D1378" i="4"/>
  <c r="E1378" i="4"/>
  <c r="G1378" i="4" s="1"/>
  <c r="C1379" i="4"/>
  <c r="F1379" i="4" s="1"/>
  <c r="D1379" i="4"/>
  <c r="E1379" i="4"/>
  <c r="G1379" i="4" s="1"/>
  <c r="C1380" i="4"/>
  <c r="F1380" i="4" s="1"/>
  <c r="D1380" i="4"/>
  <c r="E1380" i="4"/>
  <c r="G1380" i="4" s="1"/>
  <c r="C1381" i="4"/>
  <c r="F1381" i="4" s="1"/>
  <c r="D1381" i="4"/>
  <c r="E1381" i="4"/>
  <c r="G1381" i="4" s="1"/>
  <c r="C1382" i="4"/>
  <c r="F1382" i="4" s="1"/>
  <c r="D1382" i="4"/>
  <c r="E1382" i="4"/>
  <c r="G1382" i="4" s="1"/>
  <c r="C1383" i="4"/>
  <c r="F1383" i="4" s="1"/>
  <c r="D1383" i="4"/>
  <c r="E1383" i="4"/>
  <c r="G1383" i="4" s="1"/>
  <c r="C1384" i="4"/>
  <c r="F1384" i="4" s="1"/>
  <c r="D1384" i="4"/>
  <c r="E1384" i="4"/>
  <c r="G1384" i="4" s="1"/>
  <c r="C1385" i="4"/>
  <c r="F1385" i="4" s="1"/>
  <c r="D1385" i="4"/>
  <c r="E1385" i="4"/>
  <c r="G1385" i="4" s="1"/>
  <c r="C1386" i="4"/>
  <c r="F1386" i="4" s="1"/>
  <c r="D1386" i="4"/>
  <c r="E1386" i="4"/>
  <c r="G1386" i="4" s="1"/>
  <c r="C1387" i="4"/>
  <c r="F1387" i="4" s="1"/>
  <c r="D1387" i="4"/>
  <c r="E1387" i="4"/>
  <c r="G1387" i="4" s="1"/>
  <c r="C1388" i="4"/>
  <c r="F1388" i="4" s="1"/>
  <c r="D1388" i="4"/>
  <c r="E1388" i="4"/>
  <c r="G1388" i="4"/>
  <c r="C1389" i="4"/>
  <c r="F1389" i="4" s="1"/>
  <c r="D1389" i="4"/>
  <c r="E1389" i="4"/>
  <c r="G1389" i="4" s="1"/>
  <c r="C1390" i="4"/>
  <c r="F1390" i="4" s="1"/>
  <c r="D1390" i="4"/>
  <c r="E1390" i="4"/>
  <c r="G1390" i="4" s="1"/>
  <c r="C1391" i="4"/>
  <c r="F1391" i="4" s="1"/>
  <c r="D1391" i="4"/>
  <c r="E1391" i="4"/>
  <c r="G1391" i="4" s="1"/>
  <c r="C1392" i="4"/>
  <c r="F1392" i="4" s="1"/>
  <c r="D1392" i="4"/>
  <c r="E1392" i="4"/>
  <c r="G1392" i="4" s="1"/>
  <c r="C1393" i="4"/>
  <c r="F1393" i="4" s="1"/>
  <c r="D1393" i="4"/>
  <c r="E1393" i="4"/>
  <c r="G1393" i="4" s="1"/>
  <c r="C1394" i="4"/>
  <c r="F1394" i="4" s="1"/>
  <c r="D1394" i="4"/>
  <c r="E1394" i="4"/>
  <c r="G1394" i="4" s="1"/>
  <c r="C1395" i="4"/>
  <c r="F1395" i="4" s="1"/>
  <c r="D1395" i="4"/>
  <c r="E1395" i="4"/>
  <c r="G1395" i="4" s="1"/>
  <c r="C1396" i="4"/>
  <c r="F1396" i="4" s="1"/>
  <c r="D1396" i="4"/>
  <c r="E1396" i="4"/>
  <c r="G1396" i="4" s="1"/>
  <c r="C1397" i="4"/>
  <c r="F1397" i="4" s="1"/>
  <c r="D1397" i="4"/>
  <c r="E1397" i="4"/>
  <c r="G1397" i="4" s="1"/>
  <c r="C1398" i="4"/>
  <c r="F1398" i="4" s="1"/>
  <c r="D1398" i="4"/>
  <c r="E1398" i="4"/>
  <c r="G1398" i="4" s="1"/>
  <c r="C1399" i="4"/>
  <c r="F1399" i="4" s="1"/>
  <c r="D1399" i="4"/>
  <c r="E1399" i="4"/>
  <c r="G1399" i="4" s="1"/>
  <c r="C1400" i="4"/>
  <c r="F1400" i="4" s="1"/>
  <c r="D1400" i="4"/>
  <c r="E1400" i="4"/>
  <c r="G1400" i="4" s="1"/>
  <c r="C1401" i="4"/>
  <c r="F1401" i="4" s="1"/>
  <c r="D1401" i="4"/>
  <c r="E1401" i="4"/>
  <c r="G1401" i="4" s="1"/>
  <c r="C1402" i="4"/>
  <c r="F1402" i="4" s="1"/>
  <c r="D1402" i="4"/>
  <c r="E1402" i="4"/>
  <c r="G1402" i="4" s="1"/>
  <c r="C1403" i="4"/>
  <c r="F1403" i="4" s="1"/>
  <c r="D1403" i="4"/>
  <c r="E1403" i="4"/>
  <c r="G1403" i="4" s="1"/>
  <c r="C1404" i="4"/>
  <c r="F1404" i="4" s="1"/>
  <c r="D1404" i="4"/>
  <c r="E1404" i="4"/>
  <c r="G1404" i="4" s="1"/>
  <c r="C1405" i="4"/>
  <c r="F1405" i="4" s="1"/>
  <c r="D1405" i="4"/>
  <c r="E1405" i="4"/>
  <c r="G1405" i="4"/>
  <c r="C1406" i="4"/>
  <c r="F1406" i="4" s="1"/>
  <c r="D1406" i="4"/>
  <c r="E1406" i="4"/>
  <c r="G1406" i="4" s="1"/>
  <c r="C1407" i="4"/>
  <c r="F1407" i="4" s="1"/>
  <c r="D1407" i="4"/>
  <c r="E1407" i="4"/>
  <c r="G1407" i="4" s="1"/>
  <c r="C1408" i="4"/>
  <c r="F1408" i="4" s="1"/>
  <c r="D1408" i="4"/>
  <c r="E1408" i="4"/>
  <c r="G1408" i="4" s="1"/>
  <c r="C1409" i="4"/>
  <c r="F1409" i="4" s="1"/>
  <c r="D1409" i="4"/>
  <c r="E1409" i="4"/>
  <c r="G1409" i="4"/>
  <c r="C1410" i="4"/>
  <c r="F1410" i="4" s="1"/>
  <c r="D1410" i="4"/>
  <c r="E1410" i="4"/>
  <c r="G1410" i="4" s="1"/>
  <c r="C1411" i="4"/>
  <c r="F1411" i="4" s="1"/>
  <c r="D1411" i="4"/>
  <c r="E1411" i="4"/>
  <c r="G1411" i="4" s="1"/>
  <c r="C1412" i="4"/>
  <c r="F1412" i="4" s="1"/>
  <c r="D1412" i="4"/>
  <c r="E1412" i="4"/>
  <c r="G1412" i="4" s="1"/>
  <c r="C1413" i="4"/>
  <c r="F1413" i="4" s="1"/>
  <c r="D1413" i="4"/>
  <c r="E1413" i="4"/>
  <c r="G1413" i="4" s="1"/>
  <c r="C1414" i="4"/>
  <c r="F1414" i="4" s="1"/>
  <c r="D1414" i="4"/>
  <c r="E1414" i="4"/>
  <c r="G1414" i="4"/>
  <c r="C1415" i="4"/>
  <c r="F1415" i="4" s="1"/>
  <c r="D1415" i="4"/>
  <c r="E1415" i="4"/>
  <c r="G1415" i="4" s="1"/>
  <c r="C1416" i="4"/>
  <c r="F1416" i="4" s="1"/>
  <c r="D1416" i="4"/>
  <c r="E1416" i="4"/>
  <c r="G1416" i="4" s="1"/>
  <c r="C1417" i="4"/>
  <c r="F1417" i="4" s="1"/>
  <c r="D1417" i="4"/>
  <c r="E1417" i="4"/>
  <c r="G1417" i="4" s="1"/>
  <c r="C1418" i="4"/>
  <c r="F1418" i="4" s="1"/>
  <c r="D1418" i="4"/>
  <c r="E1418" i="4"/>
  <c r="G1418" i="4" s="1"/>
  <c r="C1419" i="4"/>
  <c r="F1419" i="4" s="1"/>
  <c r="D1419" i="4"/>
  <c r="E1419" i="4"/>
  <c r="G1419" i="4" s="1"/>
  <c r="C1420" i="4"/>
  <c r="F1420" i="4" s="1"/>
  <c r="D1420" i="4"/>
  <c r="E1420" i="4"/>
  <c r="G1420" i="4" s="1"/>
  <c r="C1421" i="4"/>
  <c r="F1421" i="4" s="1"/>
  <c r="D1421" i="4"/>
  <c r="E1421" i="4"/>
  <c r="G1421" i="4" s="1"/>
  <c r="C1422" i="4"/>
  <c r="F1422" i="4" s="1"/>
  <c r="D1422" i="4"/>
  <c r="E1422" i="4"/>
  <c r="G1422" i="4" s="1"/>
  <c r="C1423" i="4"/>
  <c r="F1423" i="4" s="1"/>
  <c r="D1423" i="4"/>
  <c r="E1423" i="4"/>
  <c r="G1423" i="4" s="1"/>
  <c r="C1424" i="4"/>
  <c r="F1424" i="4" s="1"/>
  <c r="D1424" i="4"/>
  <c r="E1424" i="4"/>
  <c r="G1424" i="4" s="1"/>
  <c r="C1425" i="4"/>
  <c r="F1425" i="4" s="1"/>
  <c r="D1425" i="4"/>
  <c r="E1425" i="4"/>
  <c r="G1425" i="4"/>
  <c r="C1426" i="4"/>
  <c r="F1426" i="4" s="1"/>
  <c r="D1426" i="4"/>
  <c r="E1426" i="4"/>
  <c r="G1426" i="4" s="1"/>
  <c r="C1427" i="4"/>
  <c r="F1427" i="4" s="1"/>
  <c r="D1427" i="4"/>
  <c r="E1427" i="4"/>
  <c r="G1427" i="4" s="1"/>
  <c r="C1428" i="4"/>
  <c r="F1428" i="4" s="1"/>
  <c r="D1428" i="4"/>
  <c r="E1428" i="4"/>
  <c r="G1428" i="4" s="1"/>
  <c r="C1429" i="4"/>
  <c r="F1429" i="4" s="1"/>
  <c r="D1429" i="4"/>
  <c r="E1429" i="4"/>
  <c r="G1429" i="4" s="1"/>
  <c r="C1430" i="4"/>
  <c r="F1430" i="4" s="1"/>
  <c r="D1430" i="4"/>
  <c r="E1430" i="4"/>
  <c r="G1430" i="4" s="1"/>
  <c r="C1431" i="4"/>
  <c r="F1431" i="4" s="1"/>
  <c r="D1431" i="4"/>
  <c r="E1431" i="4"/>
  <c r="G1431" i="4" s="1"/>
  <c r="C1432" i="4"/>
  <c r="F1432" i="4" s="1"/>
  <c r="D1432" i="4"/>
  <c r="E1432" i="4"/>
  <c r="G1432" i="4" s="1"/>
  <c r="C1433" i="4"/>
  <c r="F1433" i="4" s="1"/>
  <c r="D1433" i="4"/>
  <c r="E1433" i="4"/>
  <c r="G1433" i="4" s="1"/>
  <c r="C1434" i="4"/>
  <c r="F1434" i="4" s="1"/>
  <c r="D1434" i="4"/>
  <c r="E1434" i="4"/>
  <c r="G1434" i="4" s="1"/>
  <c r="C1435" i="4"/>
  <c r="F1435" i="4" s="1"/>
  <c r="D1435" i="4"/>
  <c r="E1435" i="4"/>
  <c r="G1435" i="4" s="1"/>
  <c r="C1436" i="4"/>
  <c r="F1436" i="4" s="1"/>
  <c r="D1436" i="4"/>
  <c r="E1436" i="4"/>
  <c r="G1436" i="4" s="1"/>
  <c r="C1437" i="4"/>
  <c r="F1437" i="4" s="1"/>
  <c r="D1437" i="4"/>
  <c r="E1437" i="4"/>
  <c r="G1437" i="4" s="1"/>
  <c r="C1438" i="4"/>
  <c r="F1438" i="4" s="1"/>
  <c r="D1438" i="4"/>
  <c r="E1438" i="4"/>
  <c r="G1438" i="4" s="1"/>
  <c r="C1439" i="4"/>
  <c r="D1439" i="4"/>
  <c r="E1439" i="4"/>
  <c r="G1439" i="4" s="1"/>
  <c r="F1439" i="4"/>
  <c r="C1440" i="4"/>
  <c r="F1440" i="4" s="1"/>
  <c r="D1440" i="4"/>
  <c r="E1440" i="4"/>
  <c r="G1440" i="4" s="1"/>
  <c r="C1441" i="4"/>
  <c r="F1441" i="4" s="1"/>
  <c r="D1441" i="4"/>
  <c r="E1441" i="4"/>
  <c r="G1441" i="4"/>
  <c r="E2" i="4"/>
  <c r="G2" i="4" s="1"/>
  <c r="D2" i="4"/>
  <c r="C2" i="4"/>
  <c r="G23" i="5" l="1"/>
  <c r="F2" i="5"/>
  <c r="F22" i="5"/>
  <c r="F14" i="5"/>
  <c r="F6" i="5"/>
  <c r="F29" i="5"/>
  <c r="F21" i="5"/>
  <c r="F13" i="5"/>
  <c r="F5" i="5"/>
  <c r="F20" i="5"/>
  <c r="F12" i="5"/>
  <c r="F4" i="5"/>
  <c r="F27" i="5"/>
  <c r="F19" i="5"/>
  <c r="F11" i="5"/>
  <c r="F3" i="5"/>
  <c r="G3" i="5" s="1"/>
  <c r="F26" i="5"/>
  <c r="F18" i="5"/>
  <c r="F10" i="5"/>
  <c r="G10" i="5" s="1"/>
  <c r="F25" i="5"/>
  <c r="F17" i="5"/>
  <c r="G17" i="5" s="1"/>
  <c r="F9" i="5"/>
  <c r="G9" i="5" s="1"/>
  <c r="F24" i="5"/>
  <c r="G24" i="5" s="1"/>
  <c r="F16" i="5"/>
  <c r="G16" i="5" s="1"/>
  <c r="F8" i="5"/>
  <c r="F2" i="4"/>
  <c r="C2" i="3"/>
  <c r="C3" i="3"/>
  <c r="C4" i="3"/>
  <c r="C5" i="3"/>
  <c r="C6" i="3"/>
  <c r="C7" i="3"/>
  <c r="AI6" i="1"/>
  <c r="AL6" i="1" s="1"/>
  <c r="AJ6" i="1"/>
  <c r="AI7" i="1"/>
  <c r="AL7" i="1" s="1"/>
  <c r="AJ7" i="1"/>
  <c r="AI8" i="1"/>
  <c r="AL8" i="1" s="1"/>
  <c r="AJ8" i="1"/>
  <c r="AI9" i="1"/>
  <c r="AL9" i="1" s="1"/>
  <c r="AJ9" i="1"/>
  <c r="AI10" i="1"/>
  <c r="AL10" i="1" s="1"/>
  <c r="AJ10" i="1"/>
  <c r="AI11" i="1"/>
  <c r="AL11" i="1" s="1"/>
  <c r="AJ11" i="1"/>
  <c r="AI12" i="1"/>
  <c r="AL12" i="1" s="1"/>
  <c r="AJ12" i="1"/>
  <c r="AI13" i="1"/>
  <c r="AL13" i="1" s="1"/>
  <c r="AJ13" i="1"/>
  <c r="AI14" i="1"/>
  <c r="AL14" i="1" s="1"/>
  <c r="AJ14" i="1"/>
  <c r="AI15" i="1"/>
  <c r="AL15" i="1" s="1"/>
  <c r="AJ15" i="1"/>
  <c r="AI16" i="1"/>
  <c r="AL16" i="1" s="1"/>
  <c r="AJ16" i="1"/>
  <c r="AI17" i="1"/>
  <c r="AL17" i="1" s="1"/>
  <c r="AJ17" i="1"/>
  <c r="AI18" i="1"/>
  <c r="AL18" i="1" s="1"/>
  <c r="AJ18" i="1"/>
  <c r="AI19" i="1"/>
  <c r="AL19" i="1" s="1"/>
  <c r="AJ19" i="1"/>
  <c r="AI20" i="1"/>
  <c r="AL20" i="1" s="1"/>
  <c r="AJ20" i="1"/>
  <c r="AI21" i="1"/>
  <c r="AL21" i="1" s="1"/>
  <c r="AJ21" i="1"/>
  <c r="AI22" i="1"/>
  <c r="AL22" i="1" s="1"/>
  <c r="AJ22" i="1"/>
  <c r="AI23" i="1"/>
  <c r="AL23" i="1" s="1"/>
  <c r="AJ23" i="1"/>
  <c r="AI24" i="1"/>
  <c r="AL24" i="1" s="1"/>
  <c r="AJ24" i="1"/>
  <c r="AI25" i="1"/>
  <c r="AL25" i="1" s="1"/>
  <c r="AJ25" i="1"/>
  <c r="AI26" i="1"/>
  <c r="AL26" i="1" s="1"/>
  <c r="AJ26" i="1"/>
  <c r="AI27" i="1"/>
  <c r="AL27" i="1" s="1"/>
  <c r="AJ27" i="1"/>
  <c r="AI28" i="1"/>
  <c r="AL28" i="1" s="1"/>
  <c r="AJ28" i="1"/>
  <c r="AI29" i="1"/>
  <c r="AL29" i="1" s="1"/>
  <c r="AJ29" i="1"/>
  <c r="AI30" i="1"/>
  <c r="AL30" i="1" s="1"/>
  <c r="AJ30" i="1"/>
  <c r="AI31" i="1"/>
  <c r="AL31" i="1" s="1"/>
  <c r="AJ31" i="1"/>
  <c r="AI32" i="1"/>
  <c r="AL32" i="1" s="1"/>
  <c r="AJ32" i="1"/>
  <c r="AI33" i="1"/>
  <c r="AL33" i="1" s="1"/>
  <c r="AJ33" i="1"/>
  <c r="AI34" i="1"/>
  <c r="AL34" i="1" s="1"/>
  <c r="AJ34" i="1"/>
  <c r="AI35" i="1"/>
  <c r="AL35" i="1" s="1"/>
  <c r="AJ35" i="1"/>
  <c r="AI36" i="1"/>
  <c r="AL36" i="1" s="1"/>
  <c r="AJ36" i="1"/>
  <c r="AI37" i="1"/>
  <c r="AL37" i="1" s="1"/>
  <c r="AJ37" i="1"/>
  <c r="AI38" i="1"/>
  <c r="AL38" i="1" s="1"/>
  <c r="AJ38" i="1"/>
  <c r="AI39" i="1"/>
  <c r="AL39" i="1" s="1"/>
  <c r="AJ39" i="1"/>
  <c r="AI40" i="1"/>
  <c r="AL40" i="1" s="1"/>
  <c r="AJ40" i="1"/>
  <c r="AI41" i="1"/>
  <c r="AL41" i="1" s="1"/>
  <c r="AJ41" i="1"/>
  <c r="AI42" i="1"/>
  <c r="AL42" i="1" s="1"/>
  <c r="AJ42" i="1"/>
  <c r="AI43" i="1"/>
  <c r="AL43" i="1" s="1"/>
  <c r="AJ43" i="1"/>
  <c r="AI44" i="1"/>
  <c r="AL44" i="1" s="1"/>
  <c r="AJ44" i="1"/>
  <c r="AI45" i="1"/>
  <c r="AL45" i="1" s="1"/>
  <c r="AJ45" i="1"/>
  <c r="AI46" i="1"/>
  <c r="AL46" i="1" s="1"/>
  <c r="AJ46" i="1"/>
  <c r="AI47" i="1"/>
  <c r="AL47" i="1" s="1"/>
  <c r="AJ47" i="1"/>
  <c r="AI48" i="1"/>
  <c r="AL48" i="1" s="1"/>
  <c r="AJ48" i="1"/>
  <c r="AI49" i="1"/>
  <c r="AL49" i="1" s="1"/>
  <c r="AJ49" i="1"/>
  <c r="AI50" i="1"/>
  <c r="AL50" i="1" s="1"/>
  <c r="AJ50" i="1"/>
  <c r="AI51" i="1"/>
  <c r="AL51" i="1" s="1"/>
  <c r="AJ51" i="1"/>
  <c r="AI52" i="1"/>
  <c r="AL52" i="1" s="1"/>
  <c r="AJ52" i="1"/>
  <c r="AI53" i="1"/>
  <c r="AL53" i="1" s="1"/>
  <c r="AJ53" i="1"/>
  <c r="AI54" i="1"/>
  <c r="AL54" i="1" s="1"/>
  <c r="AJ54" i="1"/>
  <c r="AI55" i="1"/>
  <c r="AL55" i="1" s="1"/>
  <c r="AJ55" i="1"/>
  <c r="AI56" i="1"/>
  <c r="AL56" i="1" s="1"/>
  <c r="AJ56" i="1"/>
  <c r="AI57" i="1"/>
  <c r="AL57" i="1" s="1"/>
  <c r="AJ57" i="1"/>
  <c r="AI58" i="1"/>
  <c r="AL58" i="1" s="1"/>
  <c r="AJ58" i="1"/>
  <c r="AI59" i="1"/>
  <c r="AL59" i="1" s="1"/>
  <c r="AJ59" i="1"/>
  <c r="AI60" i="1"/>
  <c r="AL60" i="1" s="1"/>
  <c r="AJ60" i="1"/>
  <c r="AI61" i="1"/>
  <c r="AL61" i="1" s="1"/>
  <c r="AJ61" i="1"/>
  <c r="AI62" i="1"/>
  <c r="AL62" i="1" s="1"/>
  <c r="AJ62" i="1"/>
  <c r="AI63" i="1"/>
  <c r="AL63" i="1" s="1"/>
  <c r="AJ63" i="1"/>
  <c r="AI64" i="1"/>
  <c r="AL64" i="1" s="1"/>
  <c r="AJ64" i="1"/>
  <c r="AI65" i="1"/>
  <c r="AL65" i="1" s="1"/>
  <c r="AJ65" i="1"/>
  <c r="AI66" i="1"/>
  <c r="AL66" i="1" s="1"/>
  <c r="AJ66" i="1"/>
  <c r="AI67" i="1"/>
  <c r="AL67" i="1" s="1"/>
  <c r="AJ67" i="1"/>
  <c r="AI68" i="1"/>
  <c r="AL68" i="1" s="1"/>
  <c r="AJ68" i="1"/>
  <c r="AI69" i="1"/>
  <c r="AL69" i="1" s="1"/>
  <c r="AJ69" i="1"/>
  <c r="AI70" i="1"/>
  <c r="AL70" i="1" s="1"/>
  <c r="AJ70" i="1"/>
  <c r="AI71" i="1"/>
  <c r="AL71" i="1" s="1"/>
  <c r="AJ71" i="1"/>
  <c r="AI72" i="1"/>
  <c r="AL72" i="1" s="1"/>
  <c r="AJ72" i="1"/>
  <c r="AI73" i="1"/>
  <c r="AL73" i="1" s="1"/>
  <c r="AJ73" i="1"/>
  <c r="AI74" i="1"/>
  <c r="AL74" i="1" s="1"/>
  <c r="AJ74" i="1"/>
  <c r="AI75" i="1"/>
  <c r="AL75" i="1" s="1"/>
  <c r="AJ75" i="1"/>
  <c r="AI76" i="1"/>
  <c r="AL76" i="1" s="1"/>
  <c r="AJ76" i="1"/>
  <c r="AI77" i="1"/>
  <c r="AL77" i="1" s="1"/>
  <c r="AJ77" i="1"/>
  <c r="AI78" i="1"/>
  <c r="AL78" i="1" s="1"/>
  <c r="AJ78" i="1"/>
  <c r="AI79" i="1"/>
  <c r="AL79" i="1" s="1"/>
  <c r="AJ79" i="1"/>
  <c r="AI80" i="1"/>
  <c r="AL80" i="1" s="1"/>
  <c r="AJ80" i="1"/>
  <c r="AI81" i="1"/>
  <c r="AL81" i="1" s="1"/>
  <c r="AJ81" i="1"/>
  <c r="AI82" i="1"/>
  <c r="AL82" i="1" s="1"/>
  <c r="AJ82" i="1"/>
  <c r="AI83" i="1"/>
  <c r="AL83" i="1" s="1"/>
  <c r="AJ83" i="1"/>
  <c r="AI84" i="1"/>
  <c r="AL84" i="1" s="1"/>
  <c r="AJ84" i="1"/>
  <c r="AI85" i="1"/>
  <c r="AL85" i="1" s="1"/>
  <c r="AJ85" i="1"/>
  <c r="AI86" i="1"/>
  <c r="AL86" i="1" s="1"/>
  <c r="AJ86" i="1"/>
  <c r="AI87" i="1"/>
  <c r="AL87" i="1" s="1"/>
  <c r="AJ87" i="1"/>
  <c r="AI88" i="1"/>
  <c r="AL88" i="1" s="1"/>
  <c r="AJ88" i="1"/>
  <c r="AI89" i="1"/>
  <c r="AL89" i="1" s="1"/>
  <c r="AJ89" i="1"/>
  <c r="AI90" i="1"/>
  <c r="AL90" i="1" s="1"/>
  <c r="AJ90" i="1"/>
  <c r="AI91" i="1"/>
  <c r="AL91" i="1" s="1"/>
  <c r="AJ91" i="1"/>
  <c r="AI92" i="1"/>
  <c r="AL92" i="1" s="1"/>
  <c r="AJ92" i="1"/>
  <c r="AI93" i="1"/>
  <c r="AL93" i="1" s="1"/>
  <c r="AJ93" i="1"/>
  <c r="AI94" i="1"/>
  <c r="AL94" i="1" s="1"/>
  <c r="AJ94" i="1"/>
  <c r="AI95" i="1"/>
  <c r="AL95" i="1" s="1"/>
  <c r="AJ95" i="1"/>
  <c r="AI96" i="1"/>
  <c r="AL96" i="1" s="1"/>
  <c r="AJ96" i="1"/>
  <c r="AI97" i="1"/>
  <c r="AL97" i="1" s="1"/>
  <c r="AJ97" i="1"/>
  <c r="AI98" i="1"/>
  <c r="AL98" i="1" s="1"/>
  <c r="AJ98" i="1"/>
  <c r="AI99" i="1"/>
  <c r="AL99" i="1" s="1"/>
  <c r="AJ99" i="1"/>
  <c r="AI100" i="1"/>
  <c r="AL100" i="1" s="1"/>
  <c r="AJ100" i="1"/>
  <c r="AI102" i="1"/>
  <c r="AL102" i="1" s="1"/>
  <c r="AJ102" i="1"/>
  <c r="AI103" i="1"/>
  <c r="AL103" i="1" s="1"/>
  <c r="AJ103" i="1"/>
  <c r="AI104" i="1"/>
  <c r="AL104" i="1" s="1"/>
  <c r="AJ104" i="1"/>
  <c r="AI105" i="1"/>
  <c r="AL105" i="1" s="1"/>
  <c r="AJ105" i="1"/>
  <c r="AI106" i="1"/>
  <c r="AL106" i="1" s="1"/>
  <c r="AJ106" i="1"/>
  <c r="AI107" i="1"/>
  <c r="AL107" i="1" s="1"/>
  <c r="AJ107" i="1"/>
  <c r="AI108" i="1"/>
  <c r="AL108" i="1" s="1"/>
  <c r="AJ108" i="1"/>
  <c r="AI109" i="1"/>
  <c r="AL109" i="1" s="1"/>
  <c r="AJ109" i="1"/>
  <c r="AI110" i="1"/>
  <c r="AL110" i="1" s="1"/>
  <c r="AJ110" i="1"/>
  <c r="AI111" i="1"/>
  <c r="AL111" i="1" s="1"/>
  <c r="AJ111" i="1"/>
  <c r="AI112" i="1"/>
  <c r="AL112" i="1" s="1"/>
  <c r="AJ112" i="1"/>
  <c r="AI113" i="1"/>
  <c r="AL113" i="1" s="1"/>
  <c r="AJ113" i="1"/>
  <c r="AI114" i="1"/>
  <c r="AL114" i="1" s="1"/>
  <c r="AJ114" i="1"/>
  <c r="AI115" i="1"/>
  <c r="AL115" i="1" s="1"/>
  <c r="AJ115" i="1"/>
  <c r="AI116" i="1"/>
  <c r="AL116" i="1" s="1"/>
  <c r="AJ116" i="1"/>
  <c r="AI117" i="1"/>
  <c r="AL117" i="1" s="1"/>
  <c r="AJ117" i="1"/>
  <c r="AI118" i="1"/>
  <c r="AL118" i="1" s="1"/>
  <c r="AJ118" i="1"/>
  <c r="AI119" i="1"/>
  <c r="AL119" i="1" s="1"/>
  <c r="AJ119" i="1"/>
  <c r="AI120" i="1"/>
  <c r="AL120" i="1" s="1"/>
  <c r="AJ120" i="1"/>
  <c r="AI121" i="1"/>
  <c r="AL121" i="1" s="1"/>
  <c r="AJ121" i="1"/>
  <c r="AI122" i="1"/>
  <c r="AL122" i="1" s="1"/>
  <c r="AJ122" i="1"/>
  <c r="AI123" i="1"/>
  <c r="AL123" i="1" s="1"/>
  <c r="AJ123" i="1"/>
  <c r="AI124" i="1"/>
  <c r="AL124" i="1" s="1"/>
  <c r="AJ124" i="1"/>
  <c r="AI125" i="1"/>
  <c r="AL125" i="1" s="1"/>
  <c r="AJ125" i="1"/>
  <c r="AI126" i="1"/>
  <c r="AL126" i="1" s="1"/>
  <c r="AJ126" i="1"/>
  <c r="AI127" i="1"/>
  <c r="AL127" i="1" s="1"/>
  <c r="AJ127" i="1"/>
  <c r="AI128" i="1"/>
  <c r="AL128" i="1" s="1"/>
  <c r="AJ128" i="1"/>
  <c r="AI129" i="1"/>
  <c r="AL129" i="1" s="1"/>
  <c r="AJ129" i="1"/>
  <c r="AI130" i="1"/>
  <c r="AL130" i="1" s="1"/>
  <c r="AJ130" i="1"/>
  <c r="AI131" i="1"/>
  <c r="AL131" i="1" s="1"/>
  <c r="AJ131" i="1"/>
  <c r="AI132" i="1"/>
  <c r="AL132" i="1" s="1"/>
  <c r="AJ132" i="1"/>
  <c r="AI133" i="1"/>
  <c r="AL133" i="1" s="1"/>
  <c r="AJ133" i="1"/>
  <c r="AI134" i="1"/>
  <c r="AL134" i="1" s="1"/>
  <c r="AJ134" i="1"/>
  <c r="AI135" i="1"/>
  <c r="AL135" i="1" s="1"/>
  <c r="AJ135" i="1"/>
  <c r="AI136" i="1"/>
  <c r="AL136" i="1" s="1"/>
  <c r="AJ136" i="1"/>
  <c r="AI137" i="1"/>
  <c r="AL137" i="1" s="1"/>
  <c r="AJ137" i="1"/>
  <c r="AI138" i="1"/>
  <c r="AL138" i="1" s="1"/>
  <c r="AJ138" i="1"/>
  <c r="AI139" i="1"/>
  <c r="AL139" i="1" s="1"/>
  <c r="AJ139" i="1"/>
  <c r="AI140" i="1"/>
  <c r="AL140" i="1" s="1"/>
  <c r="AJ140" i="1"/>
  <c r="AI141" i="1"/>
  <c r="AL141" i="1" s="1"/>
  <c r="AJ141" i="1"/>
  <c r="AI142" i="1"/>
  <c r="AL142" i="1" s="1"/>
  <c r="AJ142" i="1"/>
  <c r="AI143" i="1"/>
  <c r="AL143" i="1" s="1"/>
  <c r="AJ143" i="1"/>
  <c r="AI144" i="1"/>
  <c r="AL144" i="1" s="1"/>
  <c r="AJ144" i="1"/>
  <c r="AI145" i="1"/>
  <c r="AL145" i="1" s="1"/>
  <c r="AJ145" i="1"/>
  <c r="AI146" i="1"/>
  <c r="AL146" i="1" s="1"/>
  <c r="AJ146" i="1"/>
  <c r="AI147" i="1"/>
  <c r="AL147" i="1" s="1"/>
  <c r="AJ147" i="1"/>
  <c r="AI148" i="1"/>
  <c r="AL148" i="1" s="1"/>
  <c r="AJ148" i="1"/>
  <c r="AI149" i="1"/>
  <c r="AL149" i="1" s="1"/>
  <c r="AJ149" i="1"/>
  <c r="AI150" i="1"/>
  <c r="AL150" i="1" s="1"/>
  <c r="AJ150" i="1"/>
  <c r="AI151" i="1"/>
  <c r="AL151" i="1" s="1"/>
  <c r="AJ151" i="1"/>
  <c r="AI152" i="1"/>
  <c r="AL152" i="1" s="1"/>
  <c r="AJ152" i="1"/>
  <c r="AI153" i="1"/>
  <c r="AL153" i="1" s="1"/>
  <c r="AJ153" i="1"/>
  <c r="AI154" i="1"/>
  <c r="AL154" i="1" s="1"/>
  <c r="AJ154" i="1"/>
  <c r="AI155" i="1"/>
  <c r="AL155" i="1" s="1"/>
  <c r="AJ155" i="1"/>
  <c r="AI156" i="1"/>
  <c r="AL156" i="1" s="1"/>
  <c r="AJ156" i="1"/>
  <c r="AI157" i="1"/>
  <c r="AL157" i="1" s="1"/>
  <c r="AJ157" i="1"/>
  <c r="AI158" i="1"/>
  <c r="AL158" i="1" s="1"/>
  <c r="AJ158" i="1"/>
  <c r="AI159" i="1"/>
  <c r="AL159" i="1" s="1"/>
  <c r="AJ159" i="1"/>
  <c r="AI160" i="1"/>
  <c r="AL160" i="1" s="1"/>
  <c r="AJ160" i="1"/>
  <c r="AI161" i="1"/>
  <c r="AL161" i="1" s="1"/>
  <c r="AJ161" i="1"/>
  <c r="AI162" i="1"/>
  <c r="AL162" i="1" s="1"/>
  <c r="AJ162" i="1"/>
  <c r="AI163" i="1"/>
  <c r="AL163" i="1" s="1"/>
  <c r="AJ163" i="1"/>
  <c r="AI164" i="1"/>
  <c r="AL164" i="1" s="1"/>
  <c r="AJ164" i="1"/>
  <c r="AI165" i="1"/>
  <c r="AL165" i="1" s="1"/>
  <c r="AJ165" i="1"/>
  <c r="AI166" i="1"/>
  <c r="AL166" i="1" s="1"/>
  <c r="AJ166" i="1"/>
  <c r="AI167" i="1"/>
  <c r="AL167" i="1" s="1"/>
  <c r="AJ167" i="1"/>
  <c r="AI168" i="1"/>
  <c r="AL168" i="1" s="1"/>
  <c r="AJ168" i="1"/>
  <c r="AI169" i="1"/>
  <c r="AL169" i="1" s="1"/>
  <c r="AJ169" i="1"/>
  <c r="AI170" i="1"/>
  <c r="AL170" i="1" s="1"/>
  <c r="AJ170" i="1"/>
  <c r="AI171" i="1"/>
  <c r="AL171" i="1" s="1"/>
  <c r="AJ171" i="1"/>
  <c r="AI172" i="1"/>
  <c r="AL172" i="1" s="1"/>
  <c r="AJ172" i="1"/>
  <c r="AI173" i="1"/>
  <c r="AL173" i="1" s="1"/>
  <c r="AJ173" i="1"/>
  <c r="AJ5" i="1"/>
  <c r="AI5" i="1"/>
  <c r="AL5" i="1" s="1"/>
  <c r="AK6" i="1"/>
  <c r="AM6" i="1" s="1"/>
  <c r="AK7" i="1"/>
  <c r="AM7" i="1" s="1"/>
  <c r="AK8" i="1"/>
  <c r="AM8" i="1" s="1"/>
  <c r="AK9" i="1"/>
  <c r="AM9" i="1" s="1"/>
  <c r="AK10" i="1"/>
  <c r="AM10" i="1" s="1"/>
  <c r="AK11" i="1"/>
  <c r="AM11" i="1" s="1"/>
  <c r="AK12" i="1"/>
  <c r="AM12" i="1" s="1"/>
  <c r="AK13" i="1"/>
  <c r="AM13" i="1" s="1"/>
  <c r="AK14" i="1"/>
  <c r="AM14" i="1" s="1"/>
  <c r="AK15" i="1"/>
  <c r="AM15" i="1" s="1"/>
  <c r="AK16" i="1"/>
  <c r="AM16" i="1" s="1"/>
  <c r="AK17" i="1"/>
  <c r="AM17" i="1" s="1"/>
  <c r="AK18" i="1"/>
  <c r="AM18" i="1" s="1"/>
  <c r="AK19" i="1"/>
  <c r="AM19" i="1" s="1"/>
  <c r="AK20" i="1"/>
  <c r="AM20" i="1" s="1"/>
  <c r="AK21" i="1"/>
  <c r="AM21" i="1" s="1"/>
  <c r="AK22" i="1"/>
  <c r="AM22" i="1" s="1"/>
  <c r="AK23" i="1"/>
  <c r="AM23" i="1" s="1"/>
  <c r="AK24" i="1"/>
  <c r="AM24" i="1" s="1"/>
  <c r="AK25" i="1"/>
  <c r="AM25" i="1" s="1"/>
  <c r="AK26" i="1"/>
  <c r="AM26" i="1" s="1"/>
  <c r="AK27" i="1"/>
  <c r="AM27" i="1" s="1"/>
  <c r="AK28" i="1"/>
  <c r="AM28" i="1" s="1"/>
  <c r="AK29" i="1"/>
  <c r="AM29" i="1" s="1"/>
  <c r="AK30" i="1"/>
  <c r="AM30" i="1" s="1"/>
  <c r="AK31" i="1"/>
  <c r="AM31" i="1" s="1"/>
  <c r="AK32" i="1"/>
  <c r="AM32" i="1" s="1"/>
  <c r="AK33" i="1"/>
  <c r="AM33" i="1" s="1"/>
  <c r="AK34" i="1"/>
  <c r="AM34" i="1" s="1"/>
  <c r="AK35" i="1"/>
  <c r="AM35" i="1" s="1"/>
  <c r="AK36" i="1"/>
  <c r="AM36" i="1" s="1"/>
  <c r="AK37" i="1"/>
  <c r="AM37" i="1" s="1"/>
  <c r="AK38" i="1"/>
  <c r="AM38" i="1" s="1"/>
  <c r="AK39" i="1"/>
  <c r="AM39" i="1" s="1"/>
  <c r="AK40" i="1"/>
  <c r="AM40" i="1" s="1"/>
  <c r="AK41" i="1"/>
  <c r="AM41" i="1" s="1"/>
  <c r="AK42" i="1"/>
  <c r="AM42" i="1" s="1"/>
  <c r="AK43" i="1"/>
  <c r="AM43" i="1" s="1"/>
  <c r="AK44" i="1"/>
  <c r="AM44" i="1" s="1"/>
  <c r="AK45" i="1"/>
  <c r="AM45" i="1" s="1"/>
  <c r="AK46" i="1"/>
  <c r="AM46" i="1" s="1"/>
  <c r="AK47" i="1"/>
  <c r="AM47" i="1" s="1"/>
  <c r="AK48" i="1"/>
  <c r="AM48" i="1" s="1"/>
  <c r="AK49" i="1"/>
  <c r="AM49" i="1" s="1"/>
  <c r="AK50" i="1"/>
  <c r="AM50" i="1" s="1"/>
  <c r="AK51" i="1"/>
  <c r="AM51" i="1" s="1"/>
  <c r="AK52" i="1"/>
  <c r="AM52" i="1" s="1"/>
  <c r="AK53" i="1"/>
  <c r="AM53" i="1" s="1"/>
  <c r="AK54" i="1"/>
  <c r="AM54" i="1" s="1"/>
  <c r="AK55" i="1"/>
  <c r="AM55" i="1" s="1"/>
  <c r="AK56" i="1"/>
  <c r="AM56" i="1" s="1"/>
  <c r="AK57" i="1"/>
  <c r="AM57" i="1" s="1"/>
  <c r="AK58" i="1"/>
  <c r="AM58" i="1" s="1"/>
  <c r="AK59" i="1"/>
  <c r="AM59" i="1" s="1"/>
  <c r="AK60" i="1"/>
  <c r="AM60" i="1" s="1"/>
  <c r="AK61" i="1"/>
  <c r="AM61" i="1" s="1"/>
  <c r="AK62" i="1"/>
  <c r="AM62" i="1" s="1"/>
  <c r="AK63" i="1"/>
  <c r="AM63" i="1" s="1"/>
  <c r="AK64" i="1"/>
  <c r="AM64" i="1" s="1"/>
  <c r="AK65" i="1"/>
  <c r="AM65" i="1" s="1"/>
  <c r="AK66" i="1"/>
  <c r="AM66" i="1" s="1"/>
  <c r="AK67" i="1"/>
  <c r="AM67" i="1" s="1"/>
  <c r="AK68" i="1"/>
  <c r="AM68" i="1" s="1"/>
  <c r="AK69" i="1"/>
  <c r="AM69" i="1" s="1"/>
  <c r="AK70" i="1"/>
  <c r="AM70" i="1" s="1"/>
  <c r="AK71" i="1"/>
  <c r="AM71" i="1" s="1"/>
  <c r="AK72" i="1"/>
  <c r="AM72" i="1" s="1"/>
  <c r="AK73" i="1"/>
  <c r="AM73" i="1" s="1"/>
  <c r="AK74" i="1"/>
  <c r="AM74" i="1" s="1"/>
  <c r="AK75" i="1"/>
  <c r="AM75" i="1" s="1"/>
  <c r="AK76" i="1"/>
  <c r="AM76" i="1" s="1"/>
  <c r="AK77" i="1"/>
  <c r="AM77" i="1" s="1"/>
  <c r="AK78" i="1"/>
  <c r="AM78" i="1" s="1"/>
  <c r="AK79" i="1"/>
  <c r="AM79" i="1" s="1"/>
  <c r="AK80" i="1"/>
  <c r="AM80" i="1" s="1"/>
  <c r="AK81" i="1"/>
  <c r="AM81" i="1" s="1"/>
  <c r="AK82" i="1"/>
  <c r="AM82" i="1" s="1"/>
  <c r="AK83" i="1"/>
  <c r="AM83" i="1" s="1"/>
  <c r="AK84" i="1"/>
  <c r="AM84" i="1" s="1"/>
  <c r="AK85" i="1"/>
  <c r="AM85" i="1" s="1"/>
  <c r="AK86" i="1"/>
  <c r="AM86" i="1" s="1"/>
  <c r="AK87" i="1"/>
  <c r="AM87" i="1" s="1"/>
  <c r="AK88" i="1"/>
  <c r="AM88" i="1" s="1"/>
  <c r="AK89" i="1"/>
  <c r="AM89" i="1" s="1"/>
  <c r="AK90" i="1"/>
  <c r="AM90" i="1" s="1"/>
  <c r="AK91" i="1"/>
  <c r="AM91" i="1" s="1"/>
  <c r="AK92" i="1"/>
  <c r="AM92" i="1" s="1"/>
  <c r="AK93" i="1"/>
  <c r="AM93" i="1" s="1"/>
  <c r="AK94" i="1"/>
  <c r="AM94" i="1" s="1"/>
  <c r="AK95" i="1"/>
  <c r="AM95" i="1" s="1"/>
  <c r="AK96" i="1"/>
  <c r="AM96" i="1" s="1"/>
  <c r="AK97" i="1"/>
  <c r="AM97" i="1" s="1"/>
  <c r="AK98" i="1"/>
  <c r="AM98" i="1" s="1"/>
  <c r="AK99" i="1"/>
  <c r="AM99" i="1" s="1"/>
  <c r="AK100" i="1"/>
  <c r="AM100" i="1" s="1"/>
  <c r="AK102" i="1"/>
  <c r="AM102" i="1" s="1"/>
  <c r="AK103" i="1"/>
  <c r="AM103" i="1" s="1"/>
  <c r="AK104" i="1"/>
  <c r="AM104" i="1" s="1"/>
  <c r="AK105" i="1"/>
  <c r="AM105" i="1" s="1"/>
  <c r="AK106" i="1"/>
  <c r="AM106" i="1" s="1"/>
  <c r="AK107" i="1"/>
  <c r="AM107" i="1" s="1"/>
  <c r="AK108" i="1"/>
  <c r="AM108" i="1" s="1"/>
  <c r="AK109" i="1"/>
  <c r="AM109" i="1" s="1"/>
  <c r="AK110" i="1"/>
  <c r="AM110" i="1" s="1"/>
  <c r="AK111" i="1"/>
  <c r="AM111" i="1" s="1"/>
  <c r="AK112" i="1"/>
  <c r="AM112" i="1" s="1"/>
  <c r="AK113" i="1"/>
  <c r="AM113" i="1" s="1"/>
  <c r="AK114" i="1"/>
  <c r="AM114" i="1" s="1"/>
  <c r="AK115" i="1"/>
  <c r="AM115" i="1" s="1"/>
  <c r="AK116" i="1"/>
  <c r="AM116" i="1" s="1"/>
  <c r="AK117" i="1"/>
  <c r="AM117" i="1" s="1"/>
  <c r="AK118" i="1"/>
  <c r="AM118" i="1" s="1"/>
  <c r="AK119" i="1"/>
  <c r="AM119" i="1" s="1"/>
  <c r="AK120" i="1"/>
  <c r="AM120" i="1" s="1"/>
  <c r="AK121" i="1"/>
  <c r="AM121" i="1" s="1"/>
  <c r="AK122" i="1"/>
  <c r="AM122" i="1" s="1"/>
  <c r="AK123" i="1"/>
  <c r="AM123" i="1" s="1"/>
  <c r="AK124" i="1"/>
  <c r="AM124" i="1" s="1"/>
  <c r="AK125" i="1"/>
  <c r="AM125" i="1" s="1"/>
  <c r="AK126" i="1"/>
  <c r="AM126" i="1" s="1"/>
  <c r="AK127" i="1"/>
  <c r="AM127" i="1" s="1"/>
  <c r="AK128" i="1"/>
  <c r="AM128" i="1" s="1"/>
  <c r="AK129" i="1"/>
  <c r="AM129" i="1" s="1"/>
  <c r="AK130" i="1"/>
  <c r="AM130" i="1" s="1"/>
  <c r="AK131" i="1"/>
  <c r="AM131" i="1" s="1"/>
  <c r="AK132" i="1"/>
  <c r="AM132" i="1" s="1"/>
  <c r="AK133" i="1"/>
  <c r="AM133" i="1" s="1"/>
  <c r="AK134" i="1"/>
  <c r="AM134" i="1" s="1"/>
  <c r="AK135" i="1"/>
  <c r="AM135" i="1" s="1"/>
  <c r="AK136" i="1"/>
  <c r="AM136" i="1" s="1"/>
  <c r="AK137" i="1"/>
  <c r="AM137" i="1" s="1"/>
  <c r="AK138" i="1"/>
  <c r="AM138" i="1" s="1"/>
  <c r="AK139" i="1"/>
  <c r="AM139" i="1" s="1"/>
  <c r="AK140" i="1"/>
  <c r="AM140" i="1" s="1"/>
  <c r="AK141" i="1"/>
  <c r="AM141" i="1" s="1"/>
  <c r="AK142" i="1"/>
  <c r="AM142" i="1" s="1"/>
  <c r="AK143" i="1"/>
  <c r="AM143" i="1" s="1"/>
  <c r="AK144" i="1"/>
  <c r="AM144" i="1" s="1"/>
  <c r="AK145" i="1"/>
  <c r="AM145" i="1" s="1"/>
  <c r="AK146" i="1"/>
  <c r="AM146" i="1" s="1"/>
  <c r="AK147" i="1"/>
  <c r="AM147" i="1" s="1"/>
  <c r="AK148" i="1"/>
  <c r="AM148" i="1" s="1"/>
  <c r="AK149" i="1"/>
  <c r="AM149" i="1" s="1"/>
  <c r="AK150" i="1"/>
  <c r="AM150" i="1" s="1"/>
  <c r="AK151" i="1"/>
  <c r="AM151" i="1" s="1"/>
  <c r="AK152" i="1"/>
  <c r="AM152" i="1" s="1"/>
  <c r="AK153" i="1"/>
  <c r="AM153" i="1" s="1"/>
  <c r="AK154" i="1"/>
  <c r="AM154" i="1" s="1"/>
  <c r="AK155" i="1"/>
  <c r="AM155" i="1" s="1"/>
  <c r="AK156" i="1"/>
  <c r="AM156" i="1" s="1"/>
  <c r="AK157" i="1"/>
  <c r="AM157" i="1" s="1"/>
  <c r="AK158" i="1"/>
  <c r="AM158" i="1" s="1"/>
  <c r="AK159" i="1"/>
  <c r="AM159" i="1" s="1"/>
  <c r="AK160" i="1"/>
  <c r="AM160" i="1" s="1"/>
  <c r="AK161" i="1"/>
  <c r="AM161" i="1" s="1"/>
  <c r="AK162" i="1"/>
  <c r="AM162" i="1" s="1"/>
  <c r="AK163" i="1"/>
  <c r="AM163" i="1" s="1"/>
  <c r="AK164" i="1"/>
  <c r="AM164" i="1" s="1"/>
  <c r="AK165" i="1"/>
  <c r="AM165" i="1" s="1"/>
  <c r="AK166" i="1"/>
  <c r="AM166" i="1" s="1"/>
  <c r="AK167" i="1"/>
  <c r="AM167" i="1" s="1"/>
  <c r="AK168" i="1"/>
  <c r="AM168" i="1" s="1"/>
  <c r="AK169" i="1"/>
  <c r="AM169" i="1" s="1"/>
  <c r="AK170" i="1"/>
  <c r="AM170" i="1" s="1"/>
  <c r="AK171" i="1"/>
  <c r="AM171" i="1" s="1"/>
  <c r="AK172" i="1"/>
  <c r="AM172" i="1" s="1"/>
  <c r="AK173" i="1"/>
  <c r="AM173" i="1" s="1"/>
  <c r="AK5" i="1"/>
  <c r="AM5" i="1" s="1"/>
  <c r="E3" i="3" l="1"/>
  <c r="F8" i="3"/>
  <c r="G8" i="3" s="1"/>
  <c r="E2" i="3"/>
  <c r="F2" i="3"/>
  <c r="F3" i="3"/>
  <c r="F7" i="3"/>
  <c r="F4" i="3"/>
  <c r="F5" i="3"/>
  <c r="F6" i="3"/>
  <c r="E12" i="5"/>
  <c r="G12" i="5" s="1"/>
  <c r="E13" i="5"/>
  <c r="G13" i="5" s="1"/>
  <c r="E11" i="5"/>
  <c r="G11" i="5" s="1"/>
  <c r="E8" i="5"/>
  <c r="G8" i="5" s="1"/>
  <c r="E7" i="5"/>
  <c r="G7" i="5" s="1"/>
  <c r="E6" i="5"/>
  <c r="G6" i="5" s="1"/>
  <c r="E5" i="5"/>
  <c r="G5" i="5" s="1"/>
  <c r="E4" i="5"/>
  <c r="G4" i="5" s="1"/>
  <c r="E14" i="5"/>
  <c r="E29" i="5"/>
  <c r="G29" i="5" s="1"/>
  <c r="E18" i="5"/>
  <c r="G18" i="5" s="1"/>
  <c r="E25" i="5"/>
  <c r="G25" i="5" s="1"/>
  <c r="E21" i="5"/>
  <c r="G21" i="5" s="1"/>
  <c r="E27" i="5"/>
  <c r="G27" i="5" s="1"/>
  <c r="E19" i="5"/>
  <c r="G19" i="5" s="1"/>
  <c r="E15" i="5"/>
  <c r="G15" i="5" s="1"/>
  <c r="G2" i="5"/>
  <c r="F30" i="5"/>
  <c r="E28" i="5"/>
  <c r="G28" i="5" s="1"/>
  <c r="E26" i="5"/>
  <c r="G26" i="5" s="1"/>
  <c r="E7" i="3"/>
  <c r="E6" i="3"/>
  <c r="E5" i="3"/>
  <c r="E4" i="3"/>
  <c r="E22" i="5"/>
  <c r="G22" i="5" s="1"/>
  <c r="E20" i="5"/>
  <c r="G20" i="5" s="1"/>
  <c r="G3" i="3" l="1"/>
  <c r="G2" i="3"/>
  <c r="G6" i="3"/>
  <c r="G7" i="3"/>
  <c r="G4" i="3"/>
  <c r="E30" i="5"/>
  <c r="D11" i="5" s="1"/>
  <c r="G14" i="5"/>
  <c r="G5" i="3"/>
  <c r="E9" i="3"/>
  <c r="F9" i="3"/>
  <c r="D2" i="3" l="1"/>
  <c r="D3" i="3"/>
  <c r="D4" i="3"/>
  <c r="D5" i="3"/>
  <c r="D6" i="3"/>
  <c r="D7" i="3"/>
  <c r="D8" i="3"/>
  <c r="D12" i="5"/>
  <c r="D18" i="5"/>
  <c r="D25" i="5"/>
  <c r="D23" i="5"/>
  <c r="D7" i="5"/>
  <c r="D6" i="5"/>
  <c r="D21" i="5"/>
  <c r="D5" i="5"/>
  <c r="D9" i="5"/>
  <c r="D4" i="5"/>
  <c r="D19" i="5"/>
  <c r="D3" i="5"/>
  <c r="D22" i="5"/>
  <c r="D26" i="5"/>
  <c r="D10" i="5"/>
  <c r="D17" i="5"/>
  <c r="D20" i="5"/>
  <c r="D8" i="5"/>
  <c r="D15" i="5"/>
  <c r="D2" i="5"/>
  <c r="D24" i="5"/>
  <c r="D29" i="5"/>
  <c r="D13" i="5"/>
  <c r="D28" i="5"/>
  <c r="D16" i="5"/>
  <c r="D14" i="5"/>
  <c r="D27" i="5"/>
  <c r="E14" i="3"/>
  <c r="E15" i="3"/>
  <c r="G9" i="3"/>
  <c r="E16" i="3" l="1"/>
</calcChain>
</file>

<file path=xl/sharedStrings.xml><?xml version="1.0" encoding="utf-8"?>
<sst xmlns="http://schemas.openxmlformats.org/spreadsheetml/2006/main" count="96" uniqueCount="52">
  <si>
    <t>Time stamp</t>
  </si>
  <si>
    <t>Hour</t>
  </si>
  <si>
    <t>Date</t>
  </si>
  <si>
    <t>Week Day #</t>
  </si>
  <si>
    <t>Off</t>
  </si>
  <si>
    <t>On</t>
  </si>
  <si>
    <t>On/Off Hour</t>
  </si>
  <si>
    <t>On/Off Day</t>
  </si>
  <si>
    <t>%</t>
  </si>
  <si>
    <t xml:space="preserve">Target </t>
  </si>
  <si>
    <t>Average Peak Load / Month Production Days (KWH)</t>
  </si>
  <si>
    <t>Average Peak Load / Month Shutdown Days (KWH)</t>
  </si>
  <si>
    <t>Shutdown Days over Production Days</t>
  </si>
  <si>
    <t>Note</t>
  </si>
  <si>
    <t>If greater than 20 Box should be red</t>
  </si>
  <si>
    <t>End Date Time</t>
  </si>
  <si>
    <t>Demand (kW)</t>
  </si>
  <si>
    <t>ON/ OFF</t>
  </si>
  <si>
    <t>Molding   (kW)</t>
  </si>
  <si>
    <t>Barrel Heater 1   (kW)</t>
  </si>
  <si>
    <t>Barrel Heater 2   (kW)</t>
  </si>
  <si>
    <t>Crane   (kW)</t>
  </si>
  <si>
    <t>Dryer   (kW)</t>
  </si>
  <si>
    <t>EAS Panel (Press 1)   (kW)</t>
  </si>
  <si>
    <t>Grinder (Press 2)   (kW)</t>
  </si>
  <si>
    <t>Grinder (Press 3)   (kW)</t>
  </si>
  <si>
    <t>ID2 Hopper 2 D1H2   (kW)</t>
  </si>
  <si>
    <t>ID3 Hopper 1 D1H1   (kW)</t>
  </si>
  <si>
    <t>ID4 Hopper 3 D1H3   (kW)</t>
  </si>
  <si>
    <t>Mold Press 1 (Disconnect 1 Red)   (kW)</t>
  </si>
  <si>
    <t>Mold Press 1 (Disconnect 2 Black)   (kW)</t>
  </si>
  <si>
    <t>Mold Press 2 (Disconnect 1 Red)   (kW)</t>
  </si>
  <si>
    <t>Mold Press 2 (Disconnect 2 Black)   (kW)</t>
  </si>
  <si>
    <t>Mold Press 3 (Disconnect 1 Red)   (kW)</t>
  </si>
  <si>
    <t>Mold Press 3 (Disconnect 2 Black)   (kW)</t>
  </si>
  <si>
    <t>P2 (Processed Water)    (kW)</t>
  </si>
  <si>
    <t>PP (Press 1)    (kW)</t>
  </si>
  <si>
    <t>PP2 (Press 2)   (kW)</t>
  </si>
  <si>
    <t>PP3 (Press 3)   (kW)</t>
  </si>
  <si>
    <t>Robotic Panel (Press 1)   (kW)</t>
  </si>
  <si>
    <t>Robotic Panel (Press 2)   (kW)</t>
  </si>
  <si>
    <t>Robotic Panel (Press 3)   (kW)</t>
  </si>
  <si>
    <t>Thermolator (Press 1)   (kW)</t>
  </si>
  <si>
    <t>Thermolator (Press 2)   (kW)</t>
  </si>
  <si>
    <t>Thermolator (Press 3)   (kW)</t>
  </si>
  <si>
    <t>VP1 Pump 1   (kW)</t>
  </si>
  <si>
    <t>VP2 Pump 2   (kW)</t>
  </si>
  <si>
    <t>VP21 Distribution Pump 1   (kW)</t>
  </si>
  <si>
    <t>VP22 Distribution Pump 2   (kW)</t>
  </si>
  <si>
    <t>VP3 Pump 3   (kW)</t>
  </si>
  <si>
    <t>W3800 Dryer 1 Molding   (kW)</t>
  </si>
  <si>
    <t xml:space="preserve">Displayed on 5 min interval.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</si>
</sst>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9" fontId="0" fillId="0" borderId="0" xfId="1" applyFon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9" fontId="0" fillId="0" borderId="0" xfId="1" applyFont="1" applyAlignment="1">
      <alignment horizontal="center" vertical="center" wrapText="1"/>
    </xf>
    <xf numFmtId="0" fontId="18" fillId="0" borderId="0" xfId="0" applyFont="1"/>
    <xf numFmtId="22" fontId="18" fillId="0" borderId="0" xfId="0" applyNumberFormat="1" applyFont="1"/>
    <xf numFmtId="0" fontId="0" fillId="0" borderId="0" xfId="0" applyNumberFormat="1" applyAlignment="1">
      <alignment horizontal="center" vertical="center" wrapText="1"/>
    </xf>
    <xf numFmtId="2" fontId="0" fillId="0" borderId="0" xfId="0" applyNumberFormat="1"/>
    <xf numFmtId="10" fontId="0" fillId="0" borderId="0" xfId="1" applyNumberFormat="1" applyFont="1"/>
    <xf numFmtId="0" fontId="0" fillId="0" borderId="0" xfId="0" applyNumberForma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 wrapText="1"/>
    </xf>
    <xf numFmtId="22" fontId="19" fillId="0" borderId="0" xfId="0" applyNumberFormat="1" applyFont="1" applyAlignment="1">
      <alignment wrapText="1"/>
    </xf>
    <xf numFmtId="0" fontId="19" fillId="0" borderId="0" xfId="0" applyFont="1" applyAlignment="1">
      <alignment wrapText="1"/>
    </xf>
    <xf numFmtId="22" fontId="19" fillId="0" borderId="0" xfId="0" applyNumberFormat="1" applyFont="1"/>
    <xf numFmtId="0" fontId="19" fillId="33" borderId="0" xfId="0" applyFont="1" applyFill="1" applyAlignment="1">
      <alignment horizontal="center" vertical="center" wrapText="1"/>
    </xf>
    <xf numFmtId="0" fontId="19" fillId="33" borderId="0" xfId="0" applyFont="1" applyFill="1"/>
    <xf numFmtId="0" fontId="19" fillId="0" borderId="0" xfId="0" applyFont="1" applyFill="1" applyAlignment="1">
      <alignment horizontal="center" vertical="center" wrapText="1"/>
    </xf>
    <xf numFmtId="0" fontId="19" fillId="0" borderId="0" xfId="0" applyFon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406FC4"/>
      <color rgb="FF7AB8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'MEB Report'!$F$1</c:f>
              <c:strCache>
                <c:ptCount val="1"/>
                <c:pt idx="0">
                  <c:v>Off</c:v>
                </c:pt>
              </c:strCache>
            </c:strRef>
          </c:tx>
          <c:spPr>
            <a:solidFill>
              <a:srgbClr val="406FC4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'MEB Report'!$A$2:$A$8</c:f>
              <c:numCache>
                <c:formatCode>m/d;@</c:formatCode>
                <c:ptCount val="7"/>
                <c:pt idx="0">
                  <c:v>44592</c:v>
                </c:pt>
                <c:pt idx="1">
                  <c:v>44593</c:v>
                </c:pt>
                <c:pt idx="2">
                  <c:v>44594</c:v>
                </c:pt>
                <c:pt idx="3">
                  <c:v>44595</c:v>
                </c:pt>
                <c:pt idx="4">
                  <c:v>44596</c:v>
                </c:pt>
                <c:pt idx="5">
                  <c:v>44597</c:v>
                </c:pt>
                <c:pt idx="6">
                  <c:v>44598</c:v>
                </c:pt>
              </c:numCache>
            </c:numRef>
          </c:cat>
          <c:val>
            <c:numRef>
              <c:f>'MEB Report'!$F$2:$F$8</c:f>
              <c:numCache>
                <c:formatCode>0.00</c:formatCode>
                <c:ptCount val="7"/>
                <c:pt idx="0">
                  <c:v>4.7981250000000006</c:v>
                </c:pt>
                <c:pt idx="1">
                  <c:v>5.6585416666666655</c:v>
                </c:pt>
                <c:pt idx="2">
                  <c:v>27.907083333333333</c:v>
                </c:pt>
                <c:pt idx="3">
                  <c:v>17.108333333333338</c:v>
                </c:pt>
                <c:pt idx="4">
                  <c:v>5.687708333333334</c:v>
                </c:pt>
                <c:pt idx="5">
                  <c:v>6.1184374999999998</c:v>
                </c:pt>
                <c:pt idx="6">
                  <c:v>6.2487500000000002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24-4FE7-B649-6098F218CC43}"/>
            </c:ext>
          </c:extLst>
        </c:ser>
        <c:ser>
          <c:idx val="2"/>
          <c:order val="1"/>
          <c:tx>
            <c:strRef>
              <c:f>'MEB Report'!$E$1</c:f>
              <c:strCache>
                <c:ptCount val="1"/>
                <c:pt idx="0">
                  <c:v>On</c:v>
                </c:pt>
              </c:strCache>
            </c:strRef>
          </c:tx>
          <c:spPr>
            <a:solidFill>
              <a:srgbClr val="7AB8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'MEB Report'!$A$2:$A$8</c:f>
              <c:numCache>
                <c:formatCode>m/d;@</c:formatCode>
                <c:ptCount val="7"/>
                <c:pt idx="0">
                  <c:v>44592</c:v>
                </c:pt>
                <c:pt idx="1">
                  <c:v>44593</c:v>
                </c:pt>
                <c:pt idx="2">
                  <c:v>44594</c:v>
                </c:pt>
                <c:pt idx="3">
                  <c:v>44595</c:v>
                </c:pt>
                <c:pt idx="4">
                  <c:v>44596</c:v>
                </c:pt>
                <c:pt idx="5">
                  <c:v>44597</c:v>
                </c:pt>
                <c:pt idx="6">
                  <c:v>44598</c:v>
                </c:pt>
              </c:numCache>
            </c:numRef>
          </c:cat>
          <c:val>
            <c:numRef>
              <c:f>'MEB Report'!$E$2:$E$8</c:f>
              <c:numCache>
                <c:formatCode>0.00</c:formatCode>
                <c:ptCount val="7"/>
                <c:pt idx="0">
                  <c:v>524.70895833333327</c:v>
                </c:pt>
                <c:pt idx="1">
                  <c:v>685.6639583333332</c:v>
                </c:pt>
                <c:pt idx="2">
                  <c:v>653.57395833333351</c:v>
                </c:pt>
                <c:pt idx="3">
                  <c:v>638.18812500000001</c:v>
                </c:pt>
                <c:pt idx="4">
                  <c:v>597.55374999999981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24-4FE7-B649-6098F218C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347704"/>
        <c:axId val="525348688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'MEB Report'!$G$1</c15:sqref>
                        </c15:formulaRef>
                      </c:ext>
                    </c:extLst>
                    <c:strCache>
                      <c:ptCount val="1"/>
                      <c:pt idx="0">
                        <c:v>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solidFill>
                      <a:schemeClr val="accent4">
                        <a:lumMod val="40000"/>
                        <a:lumOff val="60000"/>
                      </a:schemeClr>
                    </a:solidFill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'MEB Report'!$G$2:$G$8</c15:sqref>
                        </c15:formulaRef>
                      </c:ext>
                    </c:extLst>
                    <c:numCache>
                      <c:formatCode>0.00%</c:formatCode>
                      <c:ptCount val="7"/>
                      <c:pt idx="0">
                        <c:v>9.1443550253851071E-3</c:v>
                      </c:pt>
                      <c:pt idx="1">
                        <c:v>8.252645626030973E-3</c:v>
                      </c:pt>
                      <c:pt idx="2">
                        <c:v>4.2699197202560907E-2</c:v>
                      </c:pt>
                      <c:pt idx="3">
                        <c:v>2.6807664798421841E-2</c:v>
                      </c:pt>
                      <c:pt idx="4">
                        <c:v>9.5183208762949535E-3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8325-4F3E-990C-25A321E716A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2"/>
          <c:tx>
            <c:strRef>
              <c:f>'MEB Report'!$D$1</c:f>
              <c:strCache>
                <c:ptCount val="1"/>
                <c:pt idx="0">
                  <c:v>Target 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'MEB Report'!$D$2:$D$8</c:f>
              <c:numCache>
                <c:formatCode>0.00</c:formatCode>
                <c:ptCount val="7"/>
                <c:pt idx="0">
                  <c:v>123.98755000000001</c:v>
                </c:pt>
                <c:pt idx="1">
                  <c:v>123.98755000000001</c:v>
                </c:pt>
                <c:pt idx="2">
                  <c:v>123.98755000000001</c:v>
                </c:pt>
                <c:pt idx="3">
                  <c:v>123.98755000000001</c:v>
                </c:pt>
                <c:pt idx="4">
                  <c:v>123.98755000000001</c:v>
                </c:pt>
                <c:pt idx="5">
                  <c:v>123.98755000000001</c:v>
                </c:pt>
                <c:pt idx="6">
                  <c:v>123.98755000000001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25-4F3E-990C-25A321E71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347704"/>
        <c:axId val="525348688"/>
      </c:lineChart>
      <c:dateAx>
        <c:axId val="525347704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525348688"/>
        <c:crosses val="autoZero"/>
        <c:auto val="1"/>
        <c:lblOffset val="100"/>
        <c:baseTimeUnit val="days"/>
      </c:dateAx>
      <c:valAx>
        <c:axId val="52534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477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2"/>
          <c:order val="0"/>
          <c:tx>
            <c:strRef>
              <c:f>'Comed Report'!$E$1</c:f>
              <c:strCache>
                <c:ptCount val="1"/>
                <c:pt idx="0">
                  <c:v>On</c:v>
                </c:pt>
              </c:strCache>
            </c:strRef>
          </c:tx>
          <c:spPr>
            <a:solidFill>
              <a:srgbClr val="7AB8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'MEB Report'!$A$2:$A$8</c:f>
              <c:numCache>
                <c:formatCode>m/d;@</c:formatCode>
                <c:ptCount val="7"/>
                <c:pt idx="0">
                  <c:v>44592</c:v>
                </c:pt>
                <c:pt idx="1">
                  <c:v>44593</c:v>
                </c:pt>
                <c:pt idx="2">
                  <c:v>44594</c:v>
                </c:pt>
                <c:pt idx="3">
                  <c:v>44595</c:v>
                </c:pt>
                <c:pt idx="4">
                  <c:v>44596</c:v>
                </c:pt>
                <c:pt idx="5">
                  <c:v>44597</c:v>
                </c:pt>
                <c:pt idx="6">
                  <c:v>44598</c:v>
                </c:pt>
              </c:numCache>
            </c:numRef>
          </c:cat>
          <c:val>
            <c:numRef>
              <c:f>'Comed Report'!$E$2:$E$29</c:f>
              <c:numCache>
                <c:formatCode>0.00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638.18812500000001</c:v>
                </c:pt>
                <c:pt idx="3">
                  <c:v>597.55374999999981</c:v>
                </c:pt>
                <c:pt idx="4">
                  <c:v>6.1237499999999985</c:v>
                </c:pt>
                <c:pt idx="5">
                  <c:v>6.0791666666666657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F-4E15-B6CE-B28C6A51AC8F}"/>
            </c:ext>
          </c:extLst>
        </c:ser>
        <c:ser>
          <c:idx val="1"/>
          <c:order val="1"/>
          <c:tx>
            <c:strRef>
              <c:f>'Comed Report'!$F$1</c:f>
              <c:strCache>
                <c:ptCount val="1"/>
                <c:pt idx="0">
                  <c:v>Off</c:v>
                </c:pt>
              </c:strCache>
            </c:strRef>
          </c:tx>
          <c:spPr>
            <a:solidFill>
              <a:srgbClr val="406FC4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'MEB Report'!$A$2:$A$8</c:f>
              <c:numCache>
                <c:formatCode>m/d;@</c:formatCode>
                <c:ptCount val="7"/>
                <c:pt idx="0">
                  <c:v>44592</c:v>
                </c:pt>
                <c:pt idx="1">
                  <c:v>44593</c:v>
                </c:pt>
                <c:pt idx="2">
                  <c:v>44594</c:v>
                </c:pt>
                <c:pt idx="3">
                  <c:v>44595</c:v>
                </c:pt>
                <c:pt idx="4">
                  <c:v>44596</c:v>
                </c:pt>
                <c:pt idx="5">
                  <c:v>44597</c:v>
                </c:pt>
                <c:pt idx="6">
                  <c:v>44598</c:v>
                </c:pt>
              </c:numCache>
            </c:numRef>
          </c:cat>
          <c:val>
            <c:numRef>
              <c:f>'Comed Report'!$F$2:$F$29</c:f>
              <c:numCache>
                <c:formatCode>0.00</c:formatCode>
                <c:ptCount val="28"/>
                <c:pt idx="0">
                  <c:v>100.06961702127654</c:v>
                </c:pt>
                <c:pt idx="1">
                  <c:v>80.381645833333295</c:v>
                </c:pt>
                <c:pt idx="2">
                  <c:v>109.89966666666663</c:v>
                </c:pt>
                <c:pt idx="3">
                  <c:v>109.49925000000002</c:v>
                </c:pt>
                <c:pt idx="4">
                  <c:v>114.47504166666664</c:v>
                </c:pt>
                <c:pt idx="5">
                  <c:v>134.39366666666666</c:v>
                </c:pt>
                <c:pt idx="6">
                  <c:v>138.00483333333335</c:v>
                </c:pt>
                <c:pt idx="7">
                  <c:v>154.81964583333331</c:v>
                </c:pt>
                <c:pt idx="8">
                  <c:v>138.76293749999996</c:v>
                </c:pt>
                <c:pt idx="9">
                  <c:v>171.41125</c:v>
                </c:pt>
                <c:pt idx="10">
                  <c:v>169.01524999999998</c:v>
                </c:pt>
                <c:pt idx="11">
                  <c:v>161.37224999999995</c:v>
                </c:pt>
                <c:pt idx="12">
                  <c:v>145.37425000000002</c:v>
                </c:pt>
                <c:pt idx="13">
                  <c:v>142.92504166666669</c:v>
                </c:pt>
                <c:pt idx="14">
                  <c:v>153.81004166666668</c:v>
                </c:pt>
                <c:pt idx="15">
                  <c:v>158.96775000000008</c:v>
                </c:pt>
                <c:pt idx="16">
                  <c:v>192.56825000000003</c:v>
                </c:pt>
                <c:pt idx="17">
                  <c:v>183.52545833333323</c:v>
                </c:pt>
                <c:pt idx="18">
                  <c:v>194.24004166666668</c:v>
                </c:pt>
                <c:pt idx="19">
                  <c:v>211.11045833333333</c:v>
                </c:pt>
                <c:pt idx="20">
                  <c:v>194.70066666666662</c:v>
                </c:pt>
                <c:pt idx="21">
                  <c:v>169.53904166666672</c:v>
                </c:pt>
                <c:pt idx="22">
                  <c:v>147.34043750000001</c:v>
                </c:pt>
                <c:pt idx="23">
                  <c:v>207.06145833333341</c:v>
                </c:pt>
                <c:pt idx="24">
                  <c:v>213.34345833333333</c:v>
                </c:pt>
                <c:pt idx="25">
                  <c:v>224.90666666666669</c:v>
                </c:pt>
                <c:pt idx="26">
                  <c:v>183.03029166666664</c:v>
                </c:pt>
                <c:pt idx="27">
                  <c:v>176.40045833333335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5F-4E15-B6CE-B28C6A51A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47704"/>
        <c:axId val="525348688"/>
      </c:areaChart>
      <c:lineChart>
        <c:grouping val="standard"/>
        <c:varyColors val="0"/>
        <c:ser>
          <c:idx val="3"/>
          <c:order val="2"/>
          <c:tx>
            <c:strRef>
              <c:f>'Comed Report'!$D$1</c:f>
              <c:strCache>
                <c:ptCount val="1"/>
                <c:pt idx="0">
                  <c:v>Target 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'MEB Report'!$D$2:$D$8</c:f>
              <c:numCache>
                <c:formatCode>0.00</c:formatCode>
                <c:ptCount val="7"/>
                <c:pt idx="0">
                  <c:v>123.98755000000001</c:v>
                </c:pt>
                <c:pt idx="1">
                  <c:v>123.98755000000001</c:v>
                </c:pt>
                <c:pt idx="2">
                  <c:v>123.98755000000001</c:v>
                </c:pt>
                <c:pt idx="3">
                  <c:v>123.98755000000001</c:v>
                </c:pt>
                <c:pt idx="4">
                  <c:v>123.98755000000001</c:v>
                </c:pt>
                <c:pt idx="5">
                  <c:v>123.98755000000001</c:v>
                </c:pt>
                <c:pt idx="6">
                  <c:v>123.98755000000001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5F-4E15-B6CE-B28C6A51A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347704"/>
        <c:axId val="525348688"/>
        <c:extLst/>
      </c:lineChart>
      <c:dateAx>
        <c:axId val="525347704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525348688"/>
        <c:crosses val="autoZero"/>
        <c:auto val="1"/>
        <c:lblOffset val="100"/>
        <c:baseTimeUnit val="days"/>
      </c:dateAx>
      <c:valAx>
        <c:axId val="52534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477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0</xdr:rowOff>
    </xdr:from>
    <xdr:to>
      <xdr:col>32</xdr:col>
      <xdr:colOff>219074</xdr:colOff>
      <xdr:row>21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607847</xdr:colOff>
      <xdr:row>31</xdr:row>
      <xdr:rowOff>123071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019047" cy="60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152400</xdr:rowOff>
    </xdr:from>
    <xdr:to>
      <xdr:col>33</xdr:col>
      <xdr:colOff>116541</xdr:colOff>
      <xdr:row>28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tabSelected="1" zoomScale="85" zoomScaleNormal="85" workbookViewId="0">
      <selection activeCell="E16" sqref="E16"/>
    </sheetView>
  </sheetViews>
  <sheetFormatPr defaultRowHeight="15" x14ac:dyDescent="0.25"/>
  <cols>
    <col min="1" max="1" width="9.7109375" style="6" bestFit="1" customWidth="1"/>
    <col min="2" max="2" width="3" customWidth="1"/>
    <col min="3" max="3" width="2" customWidth="1"/>
    <col min="4" max="4" width="22" style="2" customWidth="1"/>
    <col min="5" max="5" width="6.5703125" style="3" bestFit="1" customWidth="1"/>
    <col min="6" max="6" width="9.5703125" style="3" bestFit="1" customWidth="1"/>
    <col min="7" max="7" width="8.42578125" bestFit="1" customWidth="1"/>
  </cols>
  <sheetData>
    <row r="1" spans="1:7" x14ac:dyDescent="0.25">
      <c r="D1" s="2" t="s">
        <v>9</v>
      </c>
      <c r="E1" s="3" t="s">
        <v>5</v>
      </c>
      <c r="F1" s="3" t="s">
        <v>4</v>
      </c>
      <c r="G1" t="s">
        <v>8</v>
      </c>
    </row>
    <row r="2" spans="1:7" x14ac:dyDescent="0.25">
      <c r="A2" s="6">
        <v>44592</v>
      </c>
      <c r="B2" s="2">
        <f>DAY(A2)</f>
        <v>31</v>
      </c>
      <c r="C2">
        <f>WEEKDAY(A2,2)</f>
        <v>1</v>
      </c>
      <c r="D2" s="13">
        <f t="shared" ref="D2:D8" si="0">$E$9*0.2</f>
        <v>123.98755000000001</v>
      </c>
      <c r="E2" s="4">
        <f>IF(C2&gt;=6,"",AVERAGEIFS('1'!B:B,'1'!AJ:AJ,B2,'1'!AM:AM,1))</f>
        <v>524.70895833333327</v>
      </c>
      <c r="F2" s="4">
        <f>IF(C2&gt;=6,AVERAGEIFS('1'!B:B,'1'!AJ:AJ,'MEB Report'!B2,'1'!AL:AL,0),AVERAGEIFS('1'!B:B,'1'!AJ:AJ,'MEB Report'!B2,'1'!AM:AM,0))</f>
        <v>4.7981250000000006</v>
      </c>
      <c r="G2" s="14">
        <f t="shared" ref="G2:G8" si="1">IFERROR(F2/E2,"")</f>
        <v>9.1443550253851071E-3</v>
      </c>
    </row>
    <row r="3" spans="1:7" x14ac:dyDescent="0.25">
      <c r="A3" s="6">
        <v>44593</v>
      </c>
      <c r="B3" s="2">
        <f t="shared" ref="B3:B8" si="2">DAY(A3)</f>
        <v>1</v>
      </c>
      <c r="C3">
        <f t="shared" ref="C3:C8" si="3">WEEKDAY(A3,2)</f>
        <v>2</v>
      </c>
      <c r="D3" s="13">
        <f t="shared" si="0"/>
        <v>123.98755000000001</v>
      </c>
      <c r="E3" s="4">
        <f>IF(C3&gt;=6,"",AVERAGEIFS('1'!B:B,'1'!AJ:AJ,B3,'1'!AM:AM,1))</f>
        <v>685.6639583333332</v>
      </c>
      <c r="F3" s="4">
        <f>IF(C3&gt;=6,AVERAGEIFS('1'!B:B,'1'!AJ:AJ,'MEB Report'!B3,'1'!AL:AL,0),AVERAGEIFS('1'!B:B,'1'!AJ:AJ,'MEB Report'!B3,'1'!AM:AM,0))</f>
        <v>5.6585416666666655</v>
      </c>
      <c r="G3" s="14">
        <f t="shared" si="1"/>
        <v>8.252645626030973E-3</v>
      </c>
    </row>
    <row r="4" spans="1:7" x14ac:dyDescent="0.25">
      <c r="A4" s="6">
        <v>44594</v>
      </c>
      <c r="B4" s="2">
        <f t="shared" si="2"/>
        <v>2</v>
      </c>
      <c r="C4">
        <f t="shared" si="3"/>
        <v>3</v>
      </c>
      <c r="D4" s="13">
        <f t="shared" si="0"/>
        <v>123.98755000000001</v>
      </c>
      <c r="E4" s="4">
        <f>IF(C4&gt;=6,"",AVERAGEIFS('1'!B:B,'1'!AJ:AJ,B4,'1'!AM:AM,1))</f>
        <v>653.57395833333351</v>
      </c>
      <c r="F4" s="4">
        <f>IF(C4&gt;=6,AVERAGEIFS('1'!B:B,'1'!AJ:AJ,'MEB Report'!B4,'1'!AL:AL,0),AVERAGEIFS('1'!B:B,'1'!AJ:AJ,'MEB Report'!B4,'1'!AM:AM,0))</f>
        <v>27.907083333333333</v>
      </c>
      <c r="G4" s="14">
        <f t="shared" si="1"/>
        <v>4.2699197202560907E-2</v>
      </c>
    </row>
    <row r="5" spans="1:7" x14ac:dyDescent="0.25">
      <c r="A5" s="6">
        <v>44595</v>
      </c>
      <c r="B5" s="2">
        <f t="shared" si="2"/>
        <v>3</v>
      </c>
      <c r="C5">
        <f t="shared" si="3"/>
        <v>4</v>
      </c>
      <c r="D5" s="13">
        <f t="shared" si="0"/>
        <v>123.98755000000001</v>
      </c>
      <c r="E5" s="4">
        <f>IF(C5&gt;=6,"",AVERAGEIFS('1'!B:B,'1'!AJ:AJ,B5,'1'!AM:AM,1))</f>
        <v>638.18812500000001</v>
      </c>
      <c r="F5" s="4">
        <f>IF(C5&gt;=6,AVERAGEIFS('1'!B:B,'1'!AJ:AJ,'MEB Report'!B5,'1'!AL:AL,0),AVERAGEIFS('1'!B:B,'1'!AJ:AJ,'MEB Report'!B5,'1'!AM:AM,0))</f>
        <v>17.108333333333338</v>
      </c>
      <c r="G5" s="14">
        <f t="shared" si="1"/>
        <v>2.6807664798421841E-2</v>
      </c>
    </row>
    <row r="6" spans="1:7" x14ac:dyDescent="0.25">
      <c r="A6" s="6">
        <v>44596</v>
      </c>
      <c r="B6" s="2">
        <f t="shared" si="2"/>
        <v>4</v>
      </c>
      <c r="C6">
        <f t="shared" si="3"/>
        <v>5</v>
      </c>
      <c r="D6" s="13">
        <f t="shared" si="0"/>
        <v>123.98755000000001</v>
      </c>
      <c r="E6" s="4">
        <f>IF(C6&gt;=6,"",AVERAGEIFS('1'!B:B,'1'!AJ:AJ,B6,'1'!AM:AM,1))</f>
        <v>597.55374999999981</v>
      </c>
      <c r="F6" s="4">
        <f>IF(C6&gt;=6,AVERAGEIFS('1'!B:B,'1'!AJ:AJ,'MEB Report'!B6,'1'!AL:AL,0),AVERAGEIFS('1'!B:B,'1'!AJ:AJ,'MEB Report'!B6,'1'!AM:AM,0))</f>
        <v>5.687708333333334</v>
      </c>
      <c r="G6" s="14">
        <f t="shared" si="1"/>
        <v>9.5183208762949535E-3</v>
      </c>
    </row>
    <row r="7" spans="1:7" x14ac:dyDescent="0.25">
      <c r="A7" s="6">
        <v>44597</v>
      </c>
      <c r="B7" s="2">
        <f t="shared" si="2"/>
        <v>5</v>
      </c>
      <c r="C7">
        <f t="shared" si="3"/>
        <v>6</v>
      </c>
      <c r="D7" s="13">
        <f t="shared" si="0"/>
        <v>123.98755000000001</v>
      </c>
      <c r="E7" s="4" t="str">
        <f>IF(C7&gt;=6,"",AVERAGEIFS('1'!B:B,'1'!AJ:AJ,B7,'1'!AM:AM,1))</f>
        <v/>
      </c>
      <c r="F7" s="4">
        <f>IF(C7&gt;=6,AVERAGEIFS('1'!B:B,'1'!AJ:AJ,'MEB Report'!B7,'1'!AL:AL,0),AVERAGEIFS('1'!B:B,'1'!AJ:AJ,'MEB Report'!B7,'1'!AM:AM,0))</f>
        <v>6.1184374999999998</v>
      </c>
      <c r="G7" s="14" t="str">
        <f t="shared" si="1"/>
        <v/>
      </c>
    </row>
    <row r="8" spans="1:7" x14ac:dyDescent="0.25">
      <c r="A8" s="6">
        <v>44598</v>
      </c>
      <c r="B8" s="2">
        <f t="shared" si="2"/>
        <v>6</v>
      </c>
      <c r="C8">
        <f t="shared" si="3"/>
        <v>7</v>
      </c>
      <c r="D8" s="13">
        <f t="shared" si="0"/>
        <v>123.98755000000001</v>
      </c>
      <c r="E8" s="4" t="str">
        <f>IF(C8&gt;=6,"",AVERAGEIFS('1'!B:B,'1'!AJ:AJ,B8,'1'!AM:AM,1))</f>
        <v/>
      </c>
      <c r="F8" s="4">
        <f>IF(C8&gt;=6,AVERAGEIFS('1'!B:B,'1'!AJ:AJ,'MEB Report'!B8,'1'!AL:AL,0),AVERAGEIFS('1'!B:B,'1'!AJ:AJ,'MEB Report'!B8,'1'!AM:AM,0))</f>
        <v>6.2487500000000002</v>
      </c>
      <c r="G8" s="14" t="str">
        <f t="shared" si="1"/>
        <v/>
      </c>
    </row>
    <row r="9" spans="1:7" x14ac:dyDescent="0.25">
      <c r="E9" s="4">
        <f>AVERAGE(E2:E8)</f>
        <v>619.93775000000005</v>
      </c>
      <c r="F9" s="4">
        <f>AVERAGE(F2:F8)</f>
        <v>10.503854166666667</v>
      </c>
      <c r="G9" s="5">
        <f>IFERROR(F9/E9,0.2)</f>
        <v>1.6943401440978011E-2</v>
      </c>
    </row>
    <row r="13" spans="1:7" x14ac:dyDescent="0.25">
      <c r="F13" s="3" t="s">
        <v>13</v>
      </c>
    </row>
    <row r="14" spans="1:7" ht="45" x14ac:dyDescent="0.25">
      <c r="D14" s="12" t="s">
        <v>10</v>
      </c>
      <c r="E14" s="8">
        <f>AVERAGE(E2:E9)</f>
        <v>619.93775000000005</v>
      </c>
      <c r="F14" s="7"/>
    </row>
    <row r="15" spans="1:7" ht="45" x14ac:dyDescent="0.25">
      <c r="D15" s="12" t="s">
        <v>11</v>
      </c>
      <c r="E15" s="8">
        <f>AVERAGE(F2:F9)</f>
        <v>10.503854166666667</v>
      </c>
      <c r="F15" s="7"/>
    </row>
    <row r="16" spans="1:7" ht="75" x14ac:dyDescent="0.25">
      <c r="D16" s="12" t="s">
        <v>12</v>
      </c>
      <c r="E16" s="9">
        <f>E15/E14</f>
        <v>1.6943401440978011E-2</v>
      </c>
      <c r="F16" s="7" t="s">
        <v>14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3"/>
  <sheetViews>
    <sheetView zoomScaleNormal="100" workbookViewId="0">
      <selection activeCell="A35" sqref="A35"/>
    </sheetView>
  </sheetViews>
  <sheetFormatPr defaultRowHeight="15" x14ac:dyDescent="0.25"/>
  <sheetData>
    <row r="33" spans="1:1" x14ac:dyDescent="0.25">
      <c r="A33" t="s">
        <v>51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5"/>
  <sheetViews>
    <sheetView workbookViewId="0">
      <selection activeCell="C4" sqref="C4"/>
    </sheetView>
  </sheetViews>
  <sheetFormatPr defaultRowHeight="15" x14ac:dyDescent="0.25"/>
  <cols>
    <col min="2" max="3" width="0" hidden="1" customWidth="1"/>
  </cols>
  <sheetData>
    <row r="1" spans="1:7" x14ac:dyDescent="0.25">
      <c r="A1" s="6"/>
      <c r="D1" s="2" t="s">
        <v>9</v>
      </c>
      <c r="E1" s="3" t="s">
        <v>5</v>
      </c>
      <c r="F1" s="3" t="s">
        <v>4</v>
      </c>
      <c r="G1" t="s">
        <v>8</v>
      </c>
    </row>
    <row r="2" spans="1:7" x14ac:dyDescent="0.25">
      <c r="A2" s="6">
        <v>44562</v>
      </c>
      <c r="B2" s="2">
        <v>1</v>
      </c>
      <c r="C2">
        <f>WEEKDAY(A2,2)</f>
        <v>6</v>
      </c>
      <c r="D2" s="13" t="e">
        <f>$E$30*0.2</f>
        <v>#DIV/0!</v>
      </c>
      <c r="E2" s="4" t="str">
        <f>IF(C2&gt;=6,"",AVERAGEIFS('1'!B:B,'1'!AJ:AJ,B2,'1'!AM:AM,1))</f>
        <v/>
      </c>
      <c r="F2" s="4">
        <f>IF(C2&gt;=6,AVERAGEIFS('2'!B:B,'2'!D:D,B2,'2'!F:F,0),AVERAGEIFS('2'!B:B,'2'!D:D,B2,'2'!G:G,0))-$E$35</f>
        <v>100.06961702127654</v>
      </c>
      <c r="G2" s="14" t="str">
        <f>IFERROR(F2/E2,"")</f>
        <v/>
      </c>
    </row>
    <row r="3" spans="1:7" x14ac:dyDescent="0.25">
      <c r="A3" s="6">
        <v>44563</v>
      </c>
      <c r="B3" s="2">
        <v>2</v>
      </c>
      <c r="C3">
        <f t="shared" ref="C3:C29" si="0">WEEKDAY(A3,2)</f>
        <v>7</v>
      </c>
      <c r="D3" s="13" t="e">
        <f t="shared" ref="D3:D29" si="1">$E$30*0.2</f>
        <v>#DIV/0!</v>
      </c>
      <c r="E3" s="4" t="str">
        <f>IF(C3&gt;=6,"",AVERAGEIFS('1'!B:B,'1'!AJ:AJ,B3,'1'!AM:AM,1))</f>
        <v/>
      </c>
      <c r="F3" s="4">
        <f>IF(C3&gt;=6,AVERAGEIFS('2'!B:B,'2'!D:D,B3,'2'!F:F,0),AVERAGEIFS('2'!B:B,'2'!D:D,B3,'2'!G:G,0))-$E$35</f>
        <v>80.381645833333295</v>
      </c>
      <c r="G3" s="14" t="str">
        <f t="shared" ref="G3:G29" si="2">IFERROR(F3/E3,"")</f>
        <v/>
      </c>
    </row>
    <row r="4" spans="1:7" x14ac:dyDescent="0.25">
      <c r="A4" s="6">
        <v>44564</v>
      </c>
      <c r="B4" s="2">
        <v>3</v>
      </c>
      <c r="C4">
        <f t="shared" si="0"/>
        <v>1</v>
      </c>
      <c r="D4" s="13" t="e">
        <f t="shared" si="1"/>
        <v>#DIV/0!</v>
      </c>
      <c r="E4" s="4">
        <f>IF(C4&gt;=6,"",AVERAGEIFS('1'!B:B,'1'!AJ:AJ,B4,'1'!AM:AM,1))</f>
        <v>638.18812500000001</v>
      </c>
      <c r="F4" s="4">
        <f>IF(C4&gt;=6,AVERAGEIFS('2'!B:B,'2'!D:D,B4,'2'!F:F,0),AVERAGEIFS('2'!B:B,'2'!D:D,B4,'2'!G:G,0))-$E$35</f>
        <v>109.89966666666663</v>
      </c>
      <c r="G4" s="14">
        <f t="shared" si="2"/>
        <v>0.17220575307111305</v>
      </c>
    </row>
    <row r="5" spans="1:7" x14ac:dyDescent="0.25">
      <c r="A5" s="6">
        <v>44565</v>
      </c>
      <c r="B5" s="2">
        <v>4</v>
      </c>
      <c r="C5">
        <f t="shared" si="0"/>
        <v>2</v>
      </c>
      <c r="D5" s="13" t="e">
        <f t="shared" si="1"/>
        <v>#DIV/0!</v>
      </c>
      <c r="E5" s="4">
        <f>IF(C5&gt;=6,"",AVERAGEIFS('1'!B:B,'1'!AJ:AJ,B5,'1'!AM:AM,1))</f>
        <v>597.55374999999981</v>
      </c>
      <c r="F5" s="4">
        <f>IF(C5&gt;=6,AVERAGEIFS('2'!B:B,'2'!D:D,B5,'2'!F:F,0),AVERAGEIFS('2'!B:B,'2'!D:D,B5,'2'!G:G,0))-$E$35</f>
        <v>109.49925000000002</v>
      </c>
      <c r="G5" s="14">
        <f t="shared" si="2"/>
        <v>0.1832458586361479</v>
      </c>
    </row>
    <row r="6" spans="1:7" x14ac:dyDescent="0.25">
      <c r="A6" s="6">
        <v>44566</v>
      </c>
      <c r="B6" s="2">
        <v>5</v>
      </c>
      <c r="C6">
        <f t="shared" si="0"/>
        <v>3</v>
      </c>
      <c r="D6" s="13" t="e">
        <f t="shared" si="1"/>
        <v>#DIV/0!</v>
      </c>
      <c r="E6" s="4">
        <f>IF(C6&gt;=6,"",AVERAGEIFS('1'!B:B,'1'!AJ:AJ,B6,'1'!AM:AM,1))</f>
        <v>6.1237499999999985</v>
      </c>
      <c r="F6" s="4">
        <f>IF(C6&gt;=6,AVERAGEIFS('2'!B:B,'2'!D:D,B6,'2'!F:F,0),AVERAGEIFS('2'!B:B,'2'!D:D,B6,'2'!G:G,0))-$E$35</f>
        <v>114.47504166666664</v>
      </c>
      <c r="G6" s="14">
        <f t="shared" si="2"/>
        <v>18.693617745118051</v>
      </c>
    </row>
    <row r="7" spans="1:7" x14ac:dyDescent="0.25">
      <c r="A7" s="6">
        <v>44567</v>
      </c>
      <c r="B7" s="2">
        <v>6</v>
      </c>
      <c r="C7">
        <f t="shared" si="0"/>
        <v>4</v>
      </c>
      <c r="D7" s="13" t="e">
        <f t="shared" si="1"/>
        <v>#DIV/0!</v>
      </c>
      <c r="E7" s="4">
        <f>IF(C7&gt;=6,"",AVERAGEIFS('1'!B:B,'1'!AJ:AJ,B7,'1'!AM:AM,1))</f>
        <v>6.0791666666666657</v>
      </c>
      <c r="F7" s="4">
        <f>IF(C7&gt;=6,AVERAGEIFS('2'!B:B,'2'!D:D,B7,'2'!F:F,0),AVERAGEIFS('2'!B:B,'2'!D:D,B7,'2'!G:G,0))-$E$35</f>
        <v>134.39366666666666</v>
      </c>
      <c r="G7" s="14">
        <f t="shared" si="2"/>
        <v>22.107251542152163</v>
      </c>
    </row>
    <row r="8" spans="1:7" x14ac:dyDescent="0.25">
      <c r="A8" s="6">
        <v>44568</v>
      </c>
      <c r="B8" s="2">
        <v>7</v>
      </c>
      <c r="C8">
        <f t="shared" si="0"/>
        <v>5</v>
      </c>
      <c r="D8" s="13" t="e">
        <f t="shared" si="1"/>
        <v>#DIV/0!</v>
      </c>
      <c r="E8" s="4" t="e">
        <f>IF(C8&gt;=6,"",AVERAGEIFS('1'!B:B,'1'!AJ:AJ,B8,'1'!AM:AM,1))</f>
        <v>#DIV/0!</v>
      </c>
      <c r="F8" s="4">
        <f>IF(C8&gt;=6,AVERAGEIFS('2'!B:B,'2'!D:D,B8,'2'!F:F,0),AVERAGEIFS('2'!B:B,'2'!D:D,B8,'2'!G:G,0))-$E$35</f>
        <v>138.00483333333335</v>
      </c>
      <c r="G8" s="14" t="str">
        <f t="shared" si="2"/>
        <v/>
      </c>
    </row>
    <row r="9" spans="1:7" x14ac:dyDescent="0.25">
      <c r="A9" s="6">
        <v>44569</v>
      </c>
      <c r="B9" s="2">
        <v>8</v>
      </c>
      <c r="C9">
        <f t="shared" si="0"/>
        <v>6</v>
      </c>
      <c r="D9" s="13" t="e">
        <f t="shared" si="1"/>
        <v>#DIV/0!</v>
      </c>
      <c r="E9" s="4" t="str">
        <f>IF(C9&gt;=6,"",AVERAGEIFS('1'!B:B,'1'!AJ:AJ,B9,'1'!AM:AM,1))</f>
        <v/>
      </c>
      <c r="F9" s="4">
        <f>IF(C9&gt;=6,AVERAGEIFS('2'!B:B,'2'!D:D,B9,'2'!F:F,0),AVERAGEIFS('2'!B:B,'2'!D:D,B9,'2'!G:G,0))-$E$35</f>
        <v>154.81964583333331</v>
      </c>
      <c r="G9" s="14" t="str">
        <f t="shared" si="2"/>
        <v/>
      </c>
    </row>
    <row r="10" spans="1:7" x14ac:dyDescent="0.25">
      <c r="A10" s="6">
        <v>44570</v>
      </c>
      <c r="B10" s="2">
        <v>9</v>
      </c>
      <c r="C10">
        <f t="shared" si="0"/>
        <v>7</v>
      </c>
      <c r="D10" s="13" t="e">
        <f t="shared" si="1"/>
        <v>#DIV/0!</v>
      </c>
      <c r="E10" s="4" t="str">
        <f>IF(C10&gt;=6,"",AVERAGEIFS('1'!B:B,'1'!AJ:AJ,B10,'1'!AM:AM,1))</f>
        <v/>
      </c>
      <c r="F10" s="4">
        <f>IF(C10&gt;=6,AVERAGEIFS('2'!B:B,'2'!D:D,B10,'2'!F:F,0),AVERAGEIFS('2'!B:B,'2'!D:D,B10,'2'!G:G,0))-$E$35</f>
        <v>138.76293749999996</v>
      </c>
      <c r="G10" s="14" t="str">
        <f t="shared" si="2"/>
        <v/>
      </c>
    </row>
    <row r="11" spans="1:7" x14ac:dyDescent="0.25">
      <c r="A11" s="6">
        <v>44571</v>
      </c>
      <c r="B11" s="2">
        <v>10</v>
      </c>
      <c r="C11">
        <f t="shared" si="0"/>
        <v>1</v>
      </c>
      <c r="D11" s="13" t="e">
        <f t="shared" si="1"/>
        <v>#DIV/0!</v>
      </c>
      <c r="E11" s="4" t="e">
        <f>IF(C11&gt;=6,"",AVERAGEIFS('1'!B:B,'1'!AJ:AJ,B11,'1'!AM:AM,1))</f>
        <v>#DIV/0!</v>
      </c>
      <c r="F11" s="4">
        <f>IF(C11&gt;=6,AVERAGEIFS('2'!B:B,'2'!D:D,B11,'2'!F:F,0),AVERAGEIFS('2'!B:B,'2'!D:D,B11,'2'!G:G,0))-$E$35</f>
        <v>171.41125</v>
      </c>
      <c r="G11" s="14" t="str">
        <f t="shared" si="2"/>
        <v/>
      </c>
    </row>
    <row r="12" spans="1:7" x14ac:dyDescent="0.25">
      <c r="A12" s="6">
        <v>44572</v>
      </c>
      <c r="B12" s="2">
        <v>11</v>
      </c>
      <c r="C12">
        <f t="shared" si="0"/>
        <v>2</v>
      </c>
      <c r="D12" s="13" t="e">
        <f t="shared" si="1"/>
        <v>#DIV/0!</v>
      </c>
      <c r="E12" s="4" t="e">
        <f>IF(C12&gt;=6,"",AVERAGEIFS('1'!B:B,'1'!AJ:AJ,B12,'1'!AM:AM,1))</f>
        <v>#DIV/0!</v>
      </c>
      <c r="F12" s="4">
        <f>IF(C12&gt;=6,AVERAGEIFS('2'!B:B,'2'!D:D,B12,'2'!F:F,0),AVERAGEIFS('2'!B:B,'2'!D:D,B12,'2'!G:G,0))-$E$35</f>
        <v>169.01524999999998</v>
      </c>
      <c r="G12" s="14" t="str">
        <f t="shared" si="2"/>
        <v/>
      </c>
    </row>
    <row r="13" spans="1:7" x14ac:dyDescent="0.25">
      <c r="A13" s="6">
        <v>44573</v>
      </c>
      <c r="B13" s="2">
        <v>12</v>
      </c>
      <c r="C13">
        <f t="shared" si="0"/>
        <v>3</v>
      </c>
      <c r="D13" s="13" t="e">
        <f t="shared" si="1"/>
        <v>#DIV/0!</v>
      </c>
      <c r="E13" s="4" t="e">
        <f>IF(C13&gt;=6,"",AVERAGEIFS('1'!B:B,'1'!AJ:AJ,B13,'1'!AM:AM,1))</f>
        <v>#DIV/0!</v>
      </c>
      <c r="F13" s="4">
        <f>IF(C13&gt;=6,AVERAGEIFS('2'!B:B,'2'!D:D,B13,'2'!F:F,0),AVERAGEIFS('2'!B:B,'2'!D:D,B13,'2'!G:G,0))-$E$35</f>
        <v>161.37224999999995</v>
      </c>
      <c r="G13" s="14" t="str">
        <f t="shared" si="2"/>
        <v/>
      </c>
    </row>
    <row r="14" spans="1:7" x14ac:dyDescent="0.25">
      <c r="A14" s="6">
        <v>44574</v>
      </c>
      <c r="B14" s="2">
        <v>13</v>
      </c>
      <c r="C14">
        <f t="shared" si="0"/>
        <v>4</v>
      </c>
      <c r="D14" s="13" t="e">
        <f t="shared" si="1"/>
        <v>#DIV/0!</v>
      </c>
      <c r="E14" s="4" t="e">
        <f>IF(C14&gt;=6,"",AVERAGEIFS('1'!B:B,'1'!AJ:AJ,B14,'1'!AM:AM,1))</f>
        <v>#DIV/0!</v>
      </c>
      <c r="F14" s="4">
        <f>IF(C14&gt;=6,AVERAGEIFS('2'!B:B,'2'!D:D,B14,'2'!F:F,0),AVERAGEIFS('2'!B:B,'2'!D:D,B14,'2'!G:G,0))-$E$35</f>
        <v>145.37425000000002</v>
      </c>
      <c r="G14" s="14" t="str">
        <f t="shared" si="2"/>
        <v/>
      </c>
    </row>
    <row r="15" spans="1:7" x14ac:dyDescent="0.25">
      <c r="A15" s="6">
        <v>44575</v>
      </c>
      <c r="B15" s="2">
        <v>14</v>
      </c>
      <c r="C15">
        <f t="shared" si="0"/>
        <v>5</v>
      </c>
      <c r="D15" s="13" t="e">
        <f t="shared" si="1"/>
        <v>#DIV/0!</v>
      </c>
      <c r="E15" s="4" t="e">
        <f>IF(C15&gt;=6,"",AVERAGEIFS('1'!B:B,'1'!AJ:AJ,B15,'1'!AM:AM,1))</f>
        <v>#DIV/0!</v>
      </c>
      <c r="F15" s="4">
        <f>IF(C15&gt;=6,AVERAGEIFS('2'!B:B,'2'!D:D,B15,'2'!F:F,0),AVERAGEIFS('2'!B:B,'2'!D:D,B15,'2'!G:G,0))-$E$35</f>
        <v>142.92504166666669</v>
      </c>
      <c r="G15" s="14" t="str">
        <f t="shared" si="2"/>
        <v/>
      </c>
    </row>
    <row r="16" spans="1:7" x14ac:dyDescent="0.25">
      <c r="A16" s="6">
        <v>44576</v>
      </c>
      <c r="B16" s="2">
        <v>15</v>
      </c>
      <c r="C16">
        <f t="shared" si="0"/>
        <v>6</v>
      </c>
      <c r="D16" s="13" t="e">
        <f t="shared" si="1"/>
        <v>#DIV/0!</v>
      </c>
      <c r="E16" s="4" t="str">
        <f>IF(C16&gt;=6,"",AVERAGEIFS('1'!B:B,'1'!AJ:AJ,B16,'1'!AM:AM,1))</f>
        <v/>
      </c>
      <c r="F16" s="4">
        <f>IF(C16&gt;=6,AVERAGEIFS('2'!B:B,'2'!D:D,B16,'2'!F:F,0),AVERAGEIFS('2'!B:B,'2'!D:D,B16,'2'!G:G,0))-$E$35</f>
        <v>153.81004166666668</v>
      </c>
      <c r="G16" s="14" t="str">
        <f t="shared" si="2"/>
        <v/>
      </c>
    </row>
    <row r="17" spans="1:7" x14ac:dyDescent="0.25">
      <c r="A17" s="6">
        <v>44577</v>
      </c>
      <c r="B17" s="2">
        <v>16</v>
      </c>
      <c r="C17">
        <f t="shared" si="0"/>
        <v>7</v>
      </c>
      <c r="D17" s="13" t="e">
        <f t="shared" si="1"/>
        <v>#DIV/0!</v>
      </c>
      <c r="E17" s="4" t="str">
        <f>IF(C17&gt;=6,"",AVERAGEIFS('1'!B:B,'1'!AJ:AJ,B17,'1'!AM:AM,1))</f>
        <v/>
      </c>
      <c r="F17" s="4">
        <f>IF(C17&gt;=6,AVERAGEIFS('2'!B:B,'2'!D:D,B17,'2'!F:F,0),AVERAGEIFS('2'!B:B,'2'!D:D,B17,'2'!G:G,0))-$E$35</f>
        <v>158.96775000000008</v>
      </c>
      <c r="G17" s="14" t="str">
        <f t="shared" si="2"/>
        <v/>
      </c>
    </row>
    <row r="18" spans="1:7" x14ac:dyDescent="0.25">
      <c r="A18" s="6">
        <v>44578</v>
      </c>
      <c r="B18" s="2">
        <v>17</v>
      </c>
      <c r="C18">
        <f t="shared" si="0"/>
        <v>1</v>
      </c>
      <c r="D18" s="13" t="e">
        <f t="shared" si="1"/>
        <v>#DIV/0!</v>
      </c>
      <c r="E18" s="4" t="e">
        <f>IF(C18&gt;=6,"",AVERAGEIFS('1'!B:B,'1'!AJ:AJ,B18,'1'!AM:AM,1))</f>
        <v>#DIV/0!</v>
      </c>
      <c r="F18" s="4">
        <f>IF(C18&gt;=6,AVERAGEIFS('2'!B:B,'2'!D:D,B18,'2'!F:F,0),AVERAGEIFS('2'!B:B,'2'!D:D,B18,'2'!G:G,0))-$E$35</f>
        <v>192.56825000000003</v>
      </c>
      <c r="G18" s="14" t="str">
        <f t="shared" si="2"/>
        <v/>
      </c>
    </row>
    <row r="19" spans="1:7" x14ac:dyDescent="0.25">
      <c r="A19" s="6">
        <v>44579</v>
      </c>
      <c r="B19" s="2">
        <v>18</v>
      </c>
      <c r="C19">
        <f t="shared" si="0"/>
        <v>2</v>
      </c>
      <c r="D19" s="13" t="e">
        <f t="shared" si="1"/>
        <v>#DIV/0!</v>
      </c>
      <c r="E19" s="4" t="e">
        <f>IF(C19&gt;=6,"",AVERAGEIFS('1'!B:B,'1'!AJ:AJ,B19,'1'!AM:AM,1))</f>
        <v>#DIV/0!</v>
      </c>
      <c r="F19" s="4">
        <f>IF(C19&gt;=6,AVERAGEIFS('2'!B:B,'2'!D:D,B19,'2'!F:F,0),AVERAGEIFS('2'!B:B,'2'!D:D,B19,'2'!G:G,0))-$E$35</f>
        <v>183.52545833333323</v>
      </c>
      <c r="G19" s="14" t="str">
        <f t="shared" si="2"/>
        <v/>
      </c>
    </row>
    <row r="20" spans="1:7" x14ac:dyDescent="0.25">
      <c r="A20" s="6">
        <v>44580</v>
      </c>
      <c r="B20" s="2">
        <v>19</v>
      </c>
      <c r="C20">
        <f t="shared" si="0"/>
        <v>3</v>
      </c>
      <c r="D20" s="13" t="e">
        <f t="shared" si="1"/>
        <v>#DIV/0!</v>
      </c>
      <c r="E20" s="4" t="e">
        <f>IF(C20&gt;=6,"",AVERAGEIFS('1'!B:B,'1'!AJ:AJ,B20,'1'!AM:AM,1))</f>
        <v>#DIV/0!</v>
      </c>
      <c r="F20" s="4">
        <f>IF(C20&gt;=6,AVERAGEIFS('2'!B:B,'2'!D:D,B20,'2'!F:F,0),AVERAGEIFS('2'!B:B,'2'!D:D,B20,'2'!G:G,0))-$E$35</f>
        <v>194.24004166666668</v>
      </c>
      <c r="G20" s="14" t="str">
        <f t="shared" si="2"/>
        <v/>
      </c>
    </row>
    <row r="21" spans="1:7" x14ac:dyDescent="0.25">
      <c r="A21" s="6">
        <v>44581</v>
      </c>
      <c r="B21" s="2">
        <v>20</v>
      </c>
      <c r="C21">
        <f t="shared" si="0"/>
        <v>4</v>
      </c>
      <c r="D21" s="13" t="e">
        <f t="shared" si="1"/>
        <v>#DIV/0!</v>
      </c>
      <c r="E21" s="4" t="e">
        <f>IF(C21&gt;=6,"",AVERAGEIFS('1'!B:B,'1'!AJ:AJ,B21,'1'!AM:AM,1))</f>
        <v>#DIV/0!</v>
      </c>
      <c r="F21" s="4">
        <f>IF(C21&gt;=6,AVERAGEIFS('2'!B:B,'2'!D:D,B21,'2'!F:F,0),AVERAGEIFS('2'!B:B,'2'!D:D,B21,'2'!G:G,0))-$E$35</f>
        <v>211.11045833333333</v>
      </c>
      <c r="G21" s="14" t="str">
        <f t="shared" si="2"/>
        <v/>
      </c>
    </row>
    <row r="22" spans="1:7" x14ac:dyDescent="0.25">
      <c r="A22" s="6">
        <v>44582</v>
      </c>
      <c r="B22" s="2">
        <v>21</v>
      </c>
      <c r="C22">
        <f t="shared" si="0"/>
        <v>5</v>
      </c>
      <c r="D22" s="13" t="e">
        <f t="shared" si="1"/>
        <v>#DIV/0!</v>
      </c>
      <c r="E22" s="4" t="e">
        <f>IF(C22&gt;=6,"",AVERAGEIFS('1'!B:B,'1'!AJ:AJ,B22,'1'!AM:AM,1))</f>
        <v>#DIV/0!</v>
      </c>
      <c r="F22" s="4">
        <f>IF(C22&gt;=6,AVERAGEIFS('2'!B:B,'2'!D:D,B22,'2'!F:F,0),AVERAGEIFS('2'!B:B,'2'!D:D,B22,'2'!G:G,0))-$E$35</f>
        <v>194.70066666666662</v>
      </c>
      <c r="G22" s="14" t="str">
        <f t="shared" si="2"/>
        <v/>
      </c>
    </row>
    <row r="23" spans="1:7" x14ac:dyDescent="0.25">
      <c r="A23" s="6">
        <v>44583</v>
      </c>
      <c r="B23" s="2">
        <v>22</v>
      </c>
      <c r="C23">
        <f t="shared" si="0"/>
        <v>6</v>
      </c>
      <c r="D23" s="13" t="e">
        <f t="shared" si="1"/>
        <v>#DIV/0!</v>
      </c>
      <c r="E23" s="4" t="str">
        <f>IF(C23&gt;=6,"",AVERAGEIFS('1'!B:B,'1'!AJ:AJ,B23,'1'!AM:AM,1))</f>
        <v/>
      </c>
      <c r="F23" s="4">
        <f>IF(C23&gt;=6,AVERAGEIFS('2'!B:B,'2'!D:D,B23,'2'!F:F,0),AVERAGEIFS('2'!B:B,'2'!D:D,B23,'2'!G:G,0))-$E$35</f>
        <v>169.53904166666672</v>
      </c>
      <c r="G23" s="14" t="str">
        <f t="shared" si="2"/>
        <v/>
      </c>
    </row>
    <row r="24" spans="1:7" x14ac:dyDescent="0.25">
      <c r="A24" s="6">
        <v>44584</v>
      </c>
      <c r="B24" s="2">
        <v>23</v>
      </c>
      <c r="C24">
        <f t="shared" si="0"/>
        <v>7</v>
      </c>
      <c r="D24" s="13" t="e">
        <f t="shared" si="1"/>
        <v>#DIV/0!</v>
      </c>
      <c r="E24" s="4" t="str">
        <f>IF(C24&gt;=6,"",AVERAGEIFS('1'!B:B,'1'!AJ:AJ,B24,'1'!AM:AM,1))</f>
        <v/>
      </c>
      <c r="F24" s="4">
        <f>IF(C24&gt;=6,AVERAGEIFS('2'!B:B,'2'!D:D,B24,'2'!F:F,0),AVERAGEIFS('2'!B:B,'2'!D:D,B24,'2'!G:G,0))-$E$35</f>
        <v>147.34043750000001</v>
      </c>
      <c r="G24" s="14" t="str">
        <f t="shared" si="2"/>
        <v/>
      </c>
    </row>
    <row r="25" spans="1:7" x14ac:dyDescent="0.25">
      <c r="A25" s="6">
        <v>44585</v>
      </c>
      <c r="B25" s="2">
        <v>24</v>
      </c>
      <c r="C25">
        <f t="shared" si="0"/>
        <v>1</v>
      </c>
      <c r="D25" s="13" t="e">
        <f t="shared" si="1"/>
        <v>#DIV/0!</v>
      </c>
      <c r="E25" s="4" t="e">
        <f>IF(C25&gt;=6,"",AVERAGEIFS('1'!B:B,'1'!AJ:AJ,B25,'1'!AM:AM,1))</f>
        <v>#DIV/0!</v>
      </c>
      <c r="F25" s="4">
        <f>IF(C25&gt;=6,AVERAGEIFS('2'!B:B,'2'!D:D,B25,'2'!F:F,0),AVERAGEIFS('2'!B:B,'2'!D:D,B25,'2'!G:G,0))-$E$35</f>
        <v>207.06145833333341</v>
      </c>
      <c r="G25" s="14" t="str">
        <f t="shared" si="2"/>
        <v/>
      </c>
    </row>
    <row r="26" spans="1:7" x14ac:dyDescent="0.25">
      <c r="A26" s="6">
        <v>44586</v>
      </c>
      <c r="B26" s="2">
        <v>25</v>
      </c>
      <c r="C26">
        <f t="shared" si="0"/>
        <v>2</v>
      </c>
      <c r="D26" s="13" t="e">
        <f t="shared" si="1"/>
        <v>#DIV/0!</v>
      </c>
      <c r="E26" s="4" t="e">
        <f>IF(C26&gt;=6,"",AVERAGEIFS('1'!B:B,'1'!AJ:AJ,B26,'1'!AM:AM,1))</f>
        <v>#DIV/0!</v>
      </c>
      <c r="F26" s="4">
        <f>IF(C26&gt;=6,AVERAGEIFS('2'!B:B,'2'!D:D,B26,'2'!F:F,0),AVERAGEIFS('2'!B:B,'2'!D:D,B26,'2'!G:G,0))-$E$35</f>
        <v>213.34345833333333</v>
      </c>
      <c r="G26" s="14" t="str">
        <f t="shared" si="2"/>
        <v/>
      </c>
    </row>
    <row r="27" spans="1:7" x14ac:dyDescent="0.25">
      <c r="A27" s="6">
        <v>44587</v>
      </c>
      <c r="B27" s="2">
        <v>26</v>
      </c>
      <c r="C27">
        <f t="shared" si="0"/>
        <v>3</v>
      </c>
      <c r="D27" s="13" t="e">
        <f t="shared" si="1"/>
        <v>#DIV/0!</v>
      </c>
      <c r="E27" s="4" t="e">
        <f>IF(C27&gt;=6,"",AVERAGEIFS('1'!B:B,'1'!AJ:AJ,B27,'1'!AM:AM,1))</f>
        <v>#DIV/0!</v>
      </c>
      <c r="F27" s="4">
        <f>IF(C27&gt;=6,AVERAGEIFS('2'!B:B,'2'!D:D,B27,'2'!F:F,0),AVERAGEIFS('2'!B:B,'2'!D:D,B27,'2'!G:G,0))-$E$35</f>
        <v>224.90666666666669</v>
      </c>
      <c r="G27" s="14" t="str">
        <f t="shared" si="2"/>
        <v/>
      </c>
    </row>
    <row r="28" spans="1:7" x14ac:dyDescent="0.25">
      <c r="A28" s="6">
        <v>44588</v>
      </c>
      <c r="B28" s="2">
        <v>27</v>
      </c>
      <c r="C28">
        <f t="shared" si="0"/>
        <v>4</v>
      </c>
      <c r="D28" s="13" t="e">
        <f t="shared" si="1"/>
        <v>#DIV/0!</v>
      </c>
      <c r="E28" s="4" t="e">
        <f>IF(C28&gt;=6,"",AVERAGEIFS('1'!B:B,'1'!AJ:AJ,B28,'1'!AM:AM,1))</f>
        <v>#DIV/0!</v>
      </c>
      <c r="F28" s="4">
        <f>IF(C28&gt;=6,AVERAGEIFS('2'!B:B,'2'!D:D,B28,'2'!F:F,0),AVERAGEIFS('2'!B:B,'2'!D:D,B28,'2'!G:G,0))-$E$35</f>
        <v>183.03029166666664</v>
      </c>
      <c r="G28" s="14" t="str">
        <f t="shared" si="2"/>
        <v/>
      </c>
    </row>
    <row r="29" spans="1:7" x14ac:dyDescent="0.25">
      <c r="A29" s="6">
        <v>44589</v>
      </c>
      <c r="B29" s="2">
        <v>28</v>
      </c>
      <c r="C29">
        <f t="shared" si="0"/>
        <v>5</v>
      </c>
      <c r="D29" s="13" t="e">
        <f t="shared" si="1"/>
        <v>#DIV/0!</v>
      </c>
      <c r="E29" s="4" t="e">
        <f>IF(C29&gt;=6,"",AVERAGEIFS('1'!B:B,'1'!AJ:AJ,B29,'1'!AM:AM,1))</f>
        <v>#DIV/0!</v>
      </c>
      <c r="F29" s="4">
        <f>IF(C29&gt;=6,AVERAGEIFS('2'!B:B,'2'!D:D,B29,'2'!F:F,0),AVERAGEIFS('2'!B:B,'2'!D:D,B29,'2'!G:G,0))-$E$35</f>
        <v>176.40045833333335</v>
      </c>
      <c r="G29" s="14" t="str">
        <f t="shared" si="2"/>
        <v/>
      </c>
    </row>
    <row r="30" spans="1:7" x14ac:dyDescent="0.25">
      <c r="E30" s="4" t="e">
        <f>AVERAGE(E2:E29)</f>
        <v>#DIV/0!</v>
      </c>
      <c r="F30" s="4">
        <f>AVERAGE(F2:F29)</f>
        <v>160.03388661980753</v>
      </c>
    </row>
    <row r="35" spans="5:5" x14ac:dyDescent="0.25">
      <c r="E35">
        <v>150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8"/>
  <sheetViews>
    <sheetView workbookViewId="0">
      <selection activeCell="C34" sqref="C34"/>
    </sheetView>
  </sheetViews>
  <sheetFormatPr defaultRowHeight="15" x14ac:dyDescent="0.25"/>
  <cols>
    <col min="1" max="1" width="14.85546875" bestFit="1" customWidth="1"/>
  </cols>
  <sheetData>
    <row r="1" spans="1:34" s="17" customFormat="1" ht="90" x14ac:dyDescent="0.25">
      <c r="A1" s="18" t="s">
        <v>0</v>
      </c>
      <c r="B1" s="24" t="s">
        <v>18</v>
      </c>
      <c r="C1" s="24" t="s">
        <v>36</v>
      </c>
      <c r="D1" s="24" t="s">
        <v>37</v>
      </c>
      <c r="E1" s="24" t="s">
        <v>30</v>
      </c>
      <c r="F1" s="24" t="s">
        <v>32</v>
      </c>
      <c r="G1" s="24" t="s">
        <v>38</v>
      </c>
      <c r="H1" s="18" t="s">
        <v>31</v>
      </c>
      <c r="I1" s="18" t="s">
        <v>35</v>
      </c>
      <c r="J1" s="18" t="s">
        <v>29</v>
      </c>
      <c r="K1" s="18" t="s">
        <v>34</v>
      </c>
      <c r="L1" s="18" t="s">
        <v>42</v>
      </c>
      <c r="M1" s="18" t="s">
        <v>43</v>
      </c>
      <c r="N1" s="18" t="s">
        <v>22</v>
      </c>
      <c r="O1" s="18" t="s">
        <v>19</v>
      </c>
      <c r="P1" s="18" t="s">
        <v>50</v>
      </c>
      <c r="Q1" s="18" t="s">
        <v>20</v>
      </c>
      <c r="R1" s="18" t="s">
        <v>33</v>
      </c>
      <c r="S1" s="18" t="s">
        <v>28</v>
      </c>
      <c r="T1" s="18" t="s">
        <v>44</v>
      </c>
      <c r="U1" s="18" t="s">
        <v>39</v>
      </c>
      <c r="V1" s="18" t="s">
        <v>27</v>
      </c>
      <c r="W1" s="18" t="s">
        <v>40</v>
      </c>
      <c r="X1" s="18" t="s">
        <v>26</v>
      </c>
      <c r="Y1" s="18" t="s">
        <v>45</v>
      </c>
      <c r="Z1" s="18" t="s">
        <v>46</v>
      </c>
      <c r="AA1" s="18" t="s">
        <v>48</v>
      </c>
      <c r="AB1" s="18" t="s">
        <v>47</v>
      </c>
      <c r="AC1" s="18" t="s">
        <v>21</v>
      </c>
      <c r="AD1" s="18" t="s">
        <v>49</v>
      </c>
      <c r="AE1" s="18" t="s">
        <v>41</v>
      </c>
      <c r="AF1" s="18" t="s">
        <v>25</v>
      </c>
      <c r="AG1" s="18" t="s">
        <v>23</v>
      </c>
      <c r="AH1" s="18" t="s">
        <v>24</v>
      </c>
    </row>
    <row r="2" spans="1:34" s="17" customFormat="1" x14ac:dyDescent="0.25">
      <c r="A2" s="21">
        <v>44592.333333333336</v>
      </c>
      <c r="B2" s="25">
        <v>873.34</v>
      </c>
      <c r="C2" s="17">
        <v>278.89</v>
      </c>
      <c r="D2" s="17">
        <v>296.52999999999997</v>
      </c>
      <c r="E2" s="17">
        <v>187.08</v>
      </c>
      <c r="F2" s="17">
        <v>210.73</v>
      </c>
      <c r="G2" s="17">
        <v>149.63999999999999</v>
      </c>
      <c r="H2" s="17">
        <v>84.57</v>
      </c>
      <c r="I2" s="17">
        <v>78.28</v>
      </c>
      <c r="J2" s="17">
        <v>62.85</v>
      </c>
      <c r="K2" s="17">
        <v>66.34</v>
      </c>
      <c r="L2" s="17">
        <v>61.74</v>
      </c>
      <c r="M2" s="17">
        <v>40.47</v>
      </c>
      <c r="N2" s="17">
        <v>22.66</v>
      </c>
      <c r="O2" s="17">
        <v>23.93</v>
      </c>
      <c r="P2" s="17">
        <v>20.61</v>
      </c>
      <c r="Q2" s="17">
        <v>14.74</v>
      </c>
      <c r="R2" s="17">
        <v>13.72</v>
      </c>
      <c r="S2" s="17">
        <v>9.7799999999999994</v>
      </c>
      <c r="T2" s="17">
        <v>12.52</v>
      </c>
      <c r="U2" s="17">
        <v>4.75</v>
      </c>
      <c r="V2" s="17">
        <v>8.52</v>
      </c>
      <c r="W2" s="17">
        <v>5.78</v>
      </c>
      <c r="X2" s="17">
        <v>3.32</v>
      </c>
      <c r="Y2" s="17">
        <v>6.84</v>
      </c>
      <c r="Z2" s="17">
        <v>7.87</v>
      </c>
      <c r="AA2" s="17">
        <v>9.08</v>
      </c>
      <c r="AB2" s="17">
        <v>2.2799999999999998</v>
      </c>
      <c r="AC2" s="17">
        <v>1.7</v>
      </c>
      <c r="AD2" s="17">
        <v>0</v>
      </c>
      <c r="AE2" s="17">
        <v>2.59</v>
      </c>
      <c r="AF2" s="17">
        <v>0</v>
      </c>
      <c r="AG2" s="17">
        <v>0</v>
      </c>
      <c r="AH2" s="17">
        <v>0</v>
      </c>
    </row>
    <row r="3" spans="1:34" s="17" customFormat="1" x14ac:dyDescent="0.25">
      <c r="A3" s="21">
        <v>44593.270833333336</v>
      </c>
      <c r="B3" s="25">
        <v>903.99</v>
      </c>
      <c r="C3" s="17">
        <v>296.77</v>
      </c>
      <c r="D3" s="17">
        <v>269.20999999999998</v>
      </c>
      <c r="E3" s="17">
        <v>195.72</v>
      </c>
      <c r="F3" s="17">
        <v>196.83</v>
      </c>
      <c r="G3" s="17">
        <v>166.23</v>
      </c>
      <c r="H3" s="17">
        <v>78.06</v>
      </c>
      <c r="I3" s="17">
        <v>69.489999999999995</v>
      </c>
      <c r="J3" s="17">
        <v>80.459999999999994</v>
      </c>
      <c r="K3" s="17">
        <v>69.34</v>
      </c>
      <c r="L3" s="17">
        <v>38.53</v>
      </c>
      <c r="M3" s="17">
        <v>31.36</v>
      </c>
      <c r="N3" s="17">
        <v>31.89</v>
      </c>
      <c r="O3" s="17">
        <v>26.57</v>
      </c>
      <c r="P3" s="17">
        <v>23.26</v>
      </c>
      <c r="Q3" s="17">
        <v>14.85</v>
      </c>
      <c r="R3" s="17">
        <v>19.75</v>
      </c>
      <c r="S3" s="17">
        <v>18.43</v>
      </c>
      <c r="T3" s="17">
        <v>16.25</v>
      </c>
      <c r="U3" s="17">
        <v>6.71</v>
      </c>
      <c r="V3" s="17">
        <v>7.06</v>
      </c>
      <c r="W3" s="17">
        <v>4.5999999999999996</v>
      </c>
      <c r="X3" s="17">
        <v>13.28</v>
      </c>
      <c r="Y3" s="17">
        <v>7.98</v>
      </c>
      <c r="Z3" s="17">
        <v>8.34</v>
      </c>
      <c r="AA3" s="17">
        <v>10.72</v>
      </c>
      <c r="AB3" s="17">
        <v>10.93</v>
      </c>
      <c r="AC3" s="17">
        <v>0</v>
      </c>
      <c r="AD3" s="17">
        <v>2.29</v>
      </c>
      <c r="AE3" s="17">
        <v>3.32</v>
      </c>
      <c r="AF3" s="17">
        <v>0</v>
      </c>
      <c r="AG3" s="17">
        <v>0</v>
      </c>
      <c r="AH3" s="17">
        <v>0</v>
      </c>
    </row>
    <row r="4" spans="1:34" s="17" customFormat="1" x14ac:dyDescent="0.25">
      <c r="A4" s="21">
        <v>44594.1875</v>
      </c>
      <c r="B4" s="17">
        <v>880.05</v>
      </c>
      <c r="C4" s="17">
        <v>313.48</v>
      </c>
      <c r="D4" s="17">
        <v>306.52</v>
      </c>
      <c r="E4" s="17">
        <v>168.19</v>
      </c>
      <c r="F4" s="17">
        <v>168.72</v>
      </c>
      <c r="G4" s="17">
        <v>147.27000000000001</v>
      </c>
      <c r="H4" s="17">
        <v>154.03</v>
      </c>
      <c r="I4" s="17">
        <v>55.33</v>
      </c>
      <c r="J4" s="17">
        <v>151.57</v>
      </c>
      <c r="K4" s="17">
        <v>60.49</v>
      </c>
      <c r="L4" s="17">
        <v>51.05</v>
      </c>
      <c r="M4" s="17">
        <v>54.22</v>
      </c>
      <c r="N4" s="17">
        <v>22.76</v>
      </c>
      <c r="O4" s="17">
        <v>27.51</v>
      </c>
      <c r="P4" s="17">
        <v>17.18</v>
      </c>
      <c r="Q4" s="17">
        <v>65.069999999999993</v>
      </c>
      <c r="R4" s="17">
        <v>16.2</v>
      </c>
      <c r="S4" s="17">
        <v>16.29</v>
      </c>
      <c r="T4" s="17">
        <v>24.31</v>
      </c>
      <c r="U4" s="17">
        <v>1.57</v>
      </c>
      <c r="V4" s="17">
        <v>5.74</v>
      </c>
      <c r="W4" s="17">
        <v>0.93079999999999996</v>
      </c>
      <c r="X4" s="17">
        <v>3.59</v>
      </c>
      <c r="Y4" s="17">
        <v>4.7699999999999996</v>
      </c>
      <c r="Z4" s="17">
        <v>0</v>
      </c>
      <c r="AA4" s="17">
        <v>0</v>
      </c>
      <c r="AB4" s="17">
        <v>9.8699999999999992</v>
      </c>
      <c r="AC4" s="17">
        <v>0</v>
      </c>
      <c r="AD4" s="17">
        <v>0</v>
      </c>
      <c r="AE4" s="17">
        <v>0</v>
      </c>
      <c r="AF4" s="17">
        <v>1.51</v>
      </c>
      <c r="AG4" s="17">
        <v>0</v>
      </c>
      <c r="AH4" s="17">
        <v>0</v>
      </c>
    </row>
    <row r="5" spans="1:34" s="17" customFormat="1" x14ac:dyDescent="0.25">
      <c r="A5" s="21">
        <v>44595.177083333336</v>
      </c>
      <c r="B5" s="25">
        <v>916.69</v>
      </c>
      <c r="C5" s="17">
        <v>363.63</v>
      </c>
      <c r="D5" s="17">
        <v>238.85</v>
      </c>
      <c r="E5" s="17">
        <v>168.62</v>
      </c>
      <c r="F5" s="17">
        <v>168.26</v>
      </c>
      <c r="G5" s="17">
        <v>212.65</v>
      </c>
      <c r="H5" s="17">
        <v>83.53</v>
      </c>
      <c r="I5" s="17">
        <v>56.17</v>
      </c>
      <c r="J5" s="17">
        <v>174.04</v>
      </c>
      <c r="K5" s="17">
        <v>60.2</v>
      </c>
      <c r="L5" s="17">
        <v>81.91</v>
      </c>
      <c r="M5" s="17">
        <v>39.17</v>
      </c>
      <c r="N5" s="17">
        <v>24.66</v>
      </c>
      <c r="O5" s="17">
        <v>68.680000000000007</v>
      </c>
      <c r="P5" s="17">
        <v>20.77</v>
      </c>
      <c r="Q5" s="17">
        <v>69.58</v>
      </c>
      <c r="R5" s="17">
        <v>54.02</v>
      </c>
      <c r="S5" s="17">
        <v>14.61</v>
      </c>
      <c r="T5" s="17">
        <v>37.22</v>
      </c>
      <c r="U5" s="17">
        <v>1.45</v>
      </c>
      <c r="V5" s="17">
        <v>5.72</v>
      </c>
      <c r="W5" s="17">
        <v>0.93389999999999995</v>
      </c>
      <c r="X5" s="17">
        <v>2.23</v>
      </c>
      <c r="Y5" s="17">
        <v>2.0699999999999998</v>
      </c>
      <c r="Z5" s="17">
        <v>0</v>
      </c>
      <c r="AA5" s="17">
        <v>0</v>
      </c>
      <c r="AB5" s="17">
        <v>0</v>
      </c>
      <c r="AC5" s="17">
        <v>0</v>
      </c>
      <c r="AD5" s="17">
        <v>0</v>
      </c>
      <c r="AE5" s="17">
        <v>0</v>
      </c>
      <c r="AF5" s="17">
        <v>0</v>
      </c>
      <c r="AG5" s="17">
        <v>0</v>
      </c>
      <c r="AH5" s="17">
        <v>0</v>
      </c>
    </row>
    <row r="6" spans="1:34" s="17" customFormat="1" x14ac:dyDescent="0.25">
      <c r="A6" s="21">
        <v>44596.333333333336</v>
      </c>
      <c r="B6" s="17">
        <v>824.99</v>
      </c>
      <c r="C6" s="17">
        <v>269.51</v>
      </c>
      <c r="D6" s="17">
        <v>257.52</v>
      </c>
      <c r="E6" s="17">
        <v>193.04</v>
      </c>
      <c r="F6" s="17">
        <v>191.3</v>
      </c>
      <c r="G6" s="17">
        <v>156.94</v>
      </c>
      <c r="H6" s="17">
        <v>75.27</v>
      </c>
      <c r="I6" s="17">
        <v>58.3</v>
      </c>
      <c r="J6" s="17">
        <v>58.99</v>
      </c>
      <c r="K6" s="17">
        <v>68.02</v>
      </c>
      <c r="L6" s="17">
        <v>40.65</v>
      </c>
      <c r="M6" s="17">
        <v>27.4</v>
      </c>
      <c r="N6" s="17">
        <v>20.49</v>
      </c>
      <c r="O6" s="17">
        <v>21.98</v>
      </c>
      <c r="P6" s="17">
        <v>22.34</v>
      </c>
      <c r="Q6" s="17">
        <v>12.67</v>
      </c>
      <c r="R6" s="17">
        <v>15.83</v>
      </c>
      <c r="S6" s="17">
        <v>7.57</v>
      </c>
      <c r="T6" s="17">
        <v>12.24</v>
      </c>
      <c r="U6" s="17">
        <v>6.65</v>
      </c>
      <c r="V6" s="17">
        <v>6.29</v>
      </c>
      <c r="W6" s="17">
        <v>5.1100000000000003</v>
      </c>
      <c r="X6" s="17">
        <v>6.88</v>
      </c>
      <c r="Y6" s="17">
        <v>7.81</v>
      </c>
      <c r="Z6" s="17">
        <v>8.34</v>
      </c>
      <c r="AA6" s="17">
        <v>7.01</v>
      </c>
      <c r="AB6" s="17">
        <v>11.22</v>
      </c>
      <c r="AC6" s="17">
        <v>0</v>
      </c>
      <c r="AD6" s="17">
        <v>5.26</v>
      </c>
      <c r="AE6" s="17">
        <v>2.76</v>
      </c>
      <c r="AF6" s="17">
        <v>1.1499999999999999</v>
      </c>
      <c r="AG6" s="17">
        <v>0</v>
      </c>
      <c r="AH6" s="17">
        <v>0</v>
      </c>
    </row>
    <row r="7" spans="1:34" s="17" customFormat="1" x14ac:dyDescent="0.25">
      <c r="A7" s="21">
        <v>44597.5625</v>
      </c>
      <c r="B7" s="17">
        <v>8.5500000000000007</v>
      </c>
      <c r="C7" s="17">
        <v>2.74</v>
      </c>
      <c r="D7" s="17">
        <v>4.13</v>
      </c>
      <c r="E7" s="17">
        <v>0</v>
      </c>
      <c r="F7" s="17">
        <v>0</v>
      </c>
      <c r="G7" s="17">
        <v>0</v>
      </c>
      <c r="H7" s="17">
        <v>1.86</v>
      </c>
      <c r="I7" s="17">
        <v>0</v>
      </c>
      <c r="J7" s="17">
        <v>1.84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0.47599999999999998</v>
      </c>
      <c r="S7" s="17">
        <v>0</v>
      </c>
      <c r="T7" s="17">
        <v>0</v>
      </c>
      <c r="U7" s="17">
        <v>2.06</v>
      </c>
      <c r="V7" s="17">
        <v>0</v>
      </c>
      <c r="W7" s="17">
        <v>1.1100000000000001</v>
      </c>
      <c r="X7" s="17">
        <v>0</v>
      </c>
      <c r="Y7" s="17">
        <v>0</v>
      </c>
      <c r="Z7" s="17">
        <v>0</v>
      </c>
      <c r="AA7" s="17">
        <v>0</v>
      </c>
      <c r="AB7" s="17">
        <v>0</v>
      </c>
      <c r="AC7" s="17">
        <v>1.67</v>
      </c>
      <c r="AD7" s="17">
        <v>0</v>
      </c>
      <c r="AE7" s="17">
        <v>0</v>
      </c>
      <c r="AF7" s="17">
        <v>0</v>
      </c>
      <c r="AG7" s="17">
        <v>0</v>
      </c>
      <c r="AH7" s="17">
        <v>0</v>
      </c>
    </row>
    <row r="8" spans="1:34" s="17" customFormat="1" x14ac:dyDescent="0.25">
      <c r="A8" s="21">
        <v>44598.989583333336</v>
      </c>
      <c r="B8" s="17">
        <v>8.07</v>
      </c>
      <c r="C8" s="17">
        <v>3.73</v>
      </c>
      <c r="D8" s="17">
        <v>4.34</v>
      </c>
      <c r="E8" s="17">
        <v>0</v>
      </c>
      <c r="F8" s="17">
        <v>0</v>
      </c>
      <c r="G8" s="17">
        <v>0</v>
      </c>
      <c r="H8" s="17">
        <v>2.29</v>
      </c>
      <c r="I8" s="17">
        <v>0</v>
      </c>
      <c r="J8" s="17">
        <v>2.25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0.38290000000000002</v>
      </c>
      <c r="S8" s="17">
        <v>0</v>
      </c>
      <c r="T8" s="17">
        <v>0</v>
      </c>
      <c r="U8" s="17">
        <v>2.16</v>
      </c>
      <c r="V8" s="17">
        <v>0</v>
      </c>
      <c r="W8" s="17">
        <v>1.18</v>
      </c>
      <c r="X8" s="17">
        <v>0</v>
      </c>
      <c r="Y8" s="17">
        <v>0</v>
      </c>
      <c r="Z8" s="17">
        <v>0</v>
      </c>
      <c r="AA8" s="17">
        <v>0</v>
      </c>
      <c r="AB8" s="17">
        <v>0</v>
      </c>
      <c r="AC8" s="17">
        <v>0</v>
      </c>
      <c r="AD8" s="17">
        <v>0</v>
      </c>
      <c r="AE8" s="17">
        <v>0</v>
      </c>
      <c r="AF8" s="17">
        <v>0</v>
      </c>
      <c r="AG8" s="17">
        <v>0</v>
      </c>
      <c r="AH8" s="17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82"/>
  <sheetViews>
    <sheetView topLeftCell="A180" workbookViewId="0">
      <selection activeCell="A217" sqref="A217:XFD217"/>
    </sheetView>
  </sheetViews>
  <sheetFormatPr defaultRowHeight="15" x14ac:dyDescent="0.25"/>
  <cols>
    <col min="1" max="1" width="15.85546875" bestFit="1" customWidth="1"/>
    <col min="2" max="2" width="10.7109375" customWidth="1"/>
    <col min="3" max="3" width="9.140625" customWidth="1"/>
    <col min="5" max="5" width="9.140625" customWidth="1"/>
    <col min="7" max="7" width="9.140625" customWidth="1"/>
    <col min="9" max="12" width="9.140625" customWidth="1"/>
    <col min="14" max="22" width="9.140625" customWidth="1"/>
    <col min="24" max="33" width="9.140625" customWidth="1"/>
    <col min="35" max="39" width="10.7109375" customWidth="1"/>
  </cols>
  <sheetData>
    <row r="1" spans="1:39" s="16" customFormat="1" x14ac:dyDescent="0.25">
      <c r="B1" s="16">
        <f>MAX(B5:B682)</f>
        <v>916.69</v>
      </c>
      <c r="C1" s="16">
        <v>1</v>
      </c>
      <c r="D1" s="16">
        <v>2</v>
      </c>
      <c r="E1" s="16">
        <v>3</v>
      </c>
      <c r="F1" s="16">
        <v>4</v>
      </c>
      <c r="G1" s="16">
        <v>5</v>
      </c>
      <c r="H1" s="16">
        <v>6</v>
      </c>
      <c r="I1" s="16">
        <v>7</v>
      </c>
      <c r="J1" s="16">
        <v>8</v>
      </c>
      <c r="K1" s="16">
        <v>9</v>
      </c>
      <c r="L1" s="16">
        <v>10</v>
      </c>
      <c r="M1" s="16">
        <v>11</v>
      </c>
      <c r="N1" s="16">
        <v>12</v>
      </c>
      <c r="O1" s="16">
        <v>13</v>
      </c>
      <c r="P1" s="16">
        <v>14</v>
      </c>
      <c r="Q1" s="16">
        <v>15</v>
      </c>
      <c r="R1" s="16">
        <v>16</v>
      </c>
      <c r="S1" s="16">
        <v>17</v>
      </c>
      <c r="T1" s="16">
        <v>18</v>
      </c>
      <c r="U1" s="16">
        <v>19</v>
      </c>
      <c r="V1" s="16">
        <v>20</v>
      </c>
      <c r="W1" s="16">
        <v>21</v>
      </c>
      <c r="X1" s="16">
        <v>22</v>
      </c>
      <c r="Y1" s="16">
        <v>23</v>
      </c>
      <c r="Z1" s="16">
        <v>24</v>
      </c>
      <c r="AA1" s="16">
        <v>25</v>
      </c>
      <c r="AB1" s="16">
        <v>26</v>
      </c>
      <c r="AC1" s="16">
        <v>27</v>
      </c>
      <c r="AD1" s="16">
        <v>28</v>
      </c>
      <c r="AE1" s="16">
        <v>29</v>
      </c>
      <c r="AF1" s="16">
        <v>30</v>
      </c>
      <c r="AG1" s="16">
        <v>31</v>
      </c>
      <c r="AH1" s="16">
        <v>32</v>
      </c>
    </row>
    <row r="2" spans="1:39" s="17" customFormat="1" hidden="1" x14ac:dyDescent="0.25">
      <c r="C2" s="17">
        <f t="shared" ref="C2:P2" si="0">AVERAGE(C5:C682)</f>
        <v>77.256681994047582</v>
      </c>
      <c r="D2" s="17">
        <f t="shared" si="0"/>
        <v>72.173511904761909</v>
      </c>
      <c r="E2" s="17">
        <f t="shared" si="0"/>
        <v>53.606726190476223</v>
      </c>
      <c r="F2" s="17">
        <f t="shared" si="0"/>
        <v>52.549077380952376</v>
      </c>
      <c r="G2" s="17">
        <f t="shared" si="0"/>
        <v>39.976830357142823</v>
      </c>
      <c r="H2" s="17">
        <f t="shared" si="0"/>
        <v>19.699491815476204</v>
      </c>
      <c r="I2" s="17">
        <f t="shared" si="0"/>
        <v>18.63467261904762</v>
      </c>
      <c r="J2" s="17">
        <f t="shared" si="0"/>
        <v>17.900291666666664</v>
      </c>
      <c r="K2" s="17">
        <f t="shared" si="0"/>
        <v>17.375863095238092</v>
      </c>
      <c r="L2" s="17">
        <f t="shared" si="0"/>
        <v>14.841473214285713</v>
      </c>
      <c r="M2" s="17">
        <f t="shared" si="0"/>
        <v>8.2006696428571431</v>
      </c>
      <c r="N2" s="17">
        <f t="shared" si="0"/>
        <v>6.8118565476190467</v>
      </c>
      <c r="O2" s="17">
        <f t="shared" si="0"/>
        <v>5.95</v>
      </c>
      <c r="P2" s="17">
        <f t="shared" si="0"/>
        <v>5.9454910714285711</v>
      </c>
      <c r="Q2" s="17">
        <f t="shared" ref="Q2:AH2" si="1">AVERAGE(Q5:Q682)</f>
        <v>4.3480208333333312</v>
      </c>
      <c r="R2" s="17">
        <f t="shared" ref="R2:AB2" si="2">AVERAGE(R5:R682)</f>
        <v>4.3336766369047668</v>
      </c>
      <c r="S2" s="17">
        <f t="shared" si="2"/>
        <v>3.3389912202380936</v>
      </c>
      <c r="T2" s="17">
        <f t="shared" si="2"/>
        <v>3.1195684523809537</v>
      </c>
      <c r="U2" s="17">
        <f t="shared" si="2"/>
        <v>2.5932142857142759</v>
      </c>
      <c r="V2" s="17">
        <f t="shared" si="2"/>
        <v>2.0270380952380944</v>
      </c>
      <c r="W2" s="17">
        <f t="shared" si="2"/>
        <v>1.6765641369047646</v>
      </c>
      <c r="X2" s="17">
        <f t="shared" si="2"/>
        <v>1.6528191964285699</v>
      </c>
      <c r="Y2" s="17">
        <f t="shared" si="2"/>
        <v>1.6057749999999995</v>
      </c>
      <c r="Z2" s="17">
        <f t="shared" si="2"/>
        <v>1.5391397321428584</v>
      </c>
      <c r="AA2" s="17">
        <f t="shared" si="2"/>
        <v>1.313290476190476</v>
      </c>
      <c r="AB2" s="17">
        <f t="shared" si="2"/>
        <v>1.2524947916666667</v>
      </c>
      <c r="AC2" s="17">
        <f t="shared" si="1"/>
        <v>0.46221800595238088</v>
      </c>
      <c r="AD2" s="17">
        <f>AVERAGE(AD5:AD682)</f>
        <v>0.36286800595238089</v>
      </c>
      <c r="AE2" s="17">
        <f>AVERAGE(AE5:AE682)</f>
        <v>0.2992226190476191</v>
      </c>
      <c r="AF2" s="17">
        <f>AVERAGE(AF5:AF682)</f>
        <v>0.12534196428571429</v>
      </c>
      <c r="AG2" s="17">
        <f t="shared" si="1"/>
        <v>2.6096874999999999E-2</v>
      </c>
      <c r="AH2" s="17">
        <f t="shared" si="1"/>
        <v>0</v>
      </c>
    </row>
    <row r="3" spans="1:39" s="17" customFormat="1" ht="90" x14ac:dyDescent="0.25">
      <c r="A3" s="18" t="s">
        <v>0</v>
      </c>
      <c r="B3" s="22" t="s">
        <v>18</v>
      </c>
      <c r="C3" s="22" t="s">
        <v>36</v>
      </c>
      <c r="D3" s="22" t="s">
        <v>37</v>
      </c>
      <c r="E3" s="18" t="s">
        <v>30</v>
      </c>
      <c r="F3" s="18" t="s">
        <v>32</v>
      </c>
      <c r="G3" s="22" t="s">
        <v>38</v>
      </c>
      <c r="H3" s="18" t="s">
        <v>31</v>
      </c>
      <c r="I3" s="18" t="s">
        <v>35</v>
      </c>
      <c r="J3" s="18" t="s">
        <v>29</v>
      </c>
      <c r="K3" s="18" t="s">
        <v>34</v>
      </c>
      <c r="L3" s="18" t="s">
        <v>42</v>
      </c>
      <c r="M3" s="18" t="s">
        <v>43</v>
      </c>
      <c r="N3" s="18" t="s">
        <v>22</v>
      </c>
      <c r="O3" s="18" t="s">
        <v>19</v>
      </c>
      <c r="P3" s="18" t="s">
        <v>50</v>
      </c>
      <c r="Q3" s="18" t="s">
        <v>20</v>
      </c>
      <c r="R3" s="18" t="s">
        <v>33</v>
      </c>
      <c r="S3" s="18" t="s">
        <v>28</v>
      </c>
      <c r="T3" s="18" t="s">
        <v>44</v>
      </c>
      <c r="U3" s="18" t="s">
        <v>39</v>
      </c>
      <c r="V3" s="18" t="s">
        <v>27</v>
      </c>
      <c r="W3" s="18" t="s">
        <v>40</v>
      </c>
      <c r="X3" s="18" t="s">
        <v>26</v>
      </c>
      <c r="Y3" s="18" t="s">
        <v>45</v>
      </c>
      <c r="Z3" s="18" t="s">
        <v>46</v>
      </c>
      <c r="AA3" s="18" t="s">
        <v>48</v>
      </c>
      <c r="AB3" s="18" t="s">
        <v>47</v>
      </c>
      <c r="AC3" s="18" t="s">
        <v>21</v>
      </c>
      <c r="AD3" s="18" t="s">
        <v>49</v>
      </c>
      <c r="AE3" s="18" t="s">
        <v>41</v>
      </c>
      <c r="AF3" s="18" t="s">
        <v>25</v>
      </c>
      <c r="AG3" s="18" t="s">
        <v>23</v>
      </c>
      <c r="AH3" s="18" t="s">
        <v>24</v>
      </c>
      <c r="AI3" s="18" t="s">
        <v>3</v>
      </c>
      <c r="AJ3" s="18" t="s">
        <v>2</v>
      </c>
      <c r="AK3" s="18" t="s">
        <v>1</v>
      </c>
      <c r="AL3" s="18" t="s">
        <v>7</v>
      </c>
      <c r="AM3" s="18" t="s">
        <v>6</v>
      </c>
    </row>
    <row r="4" spans="1:39" s="17" customFormat="1" x14ac:dyDescent="0.25">
      <c r="A4" s="18">
        <f>MAX(B5:B100)</f>
        <v>873.34</v>
      </c>
      <c r="B4" s="22"/>
      <c r="C4" s="22"/>
      <c r="D4" s="22"/>
      <c r="E4" s="18"/>
      <c r="F4" s="18"/>
      <c r="G4" s="22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</row>
    <row r="5" spans="1:39" s="17" customFormat="1" x14ac:dyDescent="0.25">
      <c r="A5" s="19">
        <v>44592</v>
      </c>
      <c r="B5" s="17">
        <v>4.04</v>
      </c>
      <c r="C5" s="17">
        <v>0</v>
      </c>
      <c r="D5" s="17">
        <v>4.04</v>
      </c>
      <c r="E5" s="17">
        <v>0</v>
      </c>
      <c r="F5" s="17">
        <v>0</v>
      </c>
      <c r="G5" s="17">
        <v>0</v>
      </c>
      <c r="H5" s="17">
        <v>0.85580000000000001</v>
      </c>
      <c r="I5" s="17">
        <v>0</v>
      </c>
      <c r="J5" s="17">
        <v>1.73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7">
        <v>0</v>
      </c>
      <c r="Q5" s="17">
        <v>0</v>
      </c>
      <c r="R5" s="17">
        <v>4.1099999999999998E-2</v>
      </c>
      <c r="S5" s="17">
        <v>0</v>
      </c>
      <c r="T5" s="17">
        <v>0</v>
      </c>
      <c r="U5" s="17">
        <v>1.72</v>
      </c>
      <c r="V5" s="17">
        <v>0</v>
      </c>
      <c r="W5" s="17">
        <v>1.0900000000000001</v>
      </c>
      <c r="X5" s="17">
        <v>0</v>
      </c>
      <c r="Y5" s="17">
        <v>0</v>
      </c>
      <c r="Z5" s="17">
        <v>0</v>
      </c>
      <c r="AA5" s="17">
        <v>0</v>
      </c>
      <c r="AB5" s="17">
        <v>0</v>
      </c>
      <c r="AC5" s="17">
        <v>0</v>
      </c>
      <c r="AD5" s="17">
        <v>0</v>
      </c>
      <c r="AE5" s="17">
        <v>0</v>
      </c>
      <c r="AF5" s="17">
        <v>0</v>
      </c>
      <c r="AG5" s="17">
        <v>0</v>
      </c>
      <c r="AH5" s="17">
        <v>0</v>
      </c>
      <c r="AI5" s="20">
        <f t="shared" ref="AI5:AI68" si="3">WEEKDAY(A5,2)</f>
        <v>1</v>
      </c>
      <c r="AJ5" s="20">
        <f t="shared" ref="AJ5:AJ68" si="4">DAY(A5)</f>
        <v>31</v>
      </c>
      <c r="AK5" s="20">
        <f t="shared" ref="AK5:AK68" si="5">HOUR(A5)</f>
        <v>0</v>
      </c>
      <c r="AL5" s="20">
        <f t="shared" ref="AL5:AL68" si="6">IF(AI5&gt;=6,0,1)</f>
        <v>1</v>
      </c>
      <c r="AM5" s="20">
        <f>VLOOKUP(AK5,Sheet1!$A$2:$B$25,2,FALSE)</f>
        <v>0</v>
      </c>
    </row>
    <row r="6" spans="1:39" s="17" customFormat="1" x14ac:dyDescent="0.25">
      <c r="A6" s="21">
        <v>44592.010416666664</v>
      </c>
      <c r="B6" s="17">
        <v>3.85</v>
      </c>
      <c r="C6" s="17">
        <v>0</v>
      </c>
      <c r="D6" s="17">
        <v>3.85</v>
      </c>
      <c r="E6" s="17">
        <v>0</v>
      </c>
      <c r="F6" s="17">
        <v>0</v>
      </c>
      <c r="G6" s="17">
        <v>0</v>
      </c>
      <c r="H6" s="17">
        <v>1.08</v>
      </c>
      <c r="I6" s="17">
        <v>0</v>
      </c>
      <c r="J6" s="17">
        <v>0.89290000000000003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3.7900000000000003E-2</v>
      </c>
      <c r="S6" s="17">
        <v>0</v>
      </c>
      <c r="T6" s="17">
        <v>0</v>
      </c>
      <c r="U6" s="17">
        <v>1.71</v>
      </c>
      <c r="V6" s="17">
        <v>0</v>
      </c>
      <c r="W6" s="17">
        <v>1.08</v>
      </c>
      <c r="X6" s="17">
        <v>0</v>
      </c>
      <c r="Y6" s="17">
        <v>0</v>
      </c>
      <c r="Z6" s="17">
        <v>0</v>
      </c>
      <c r="AA6" s="17">
        <v>0</v>
      </c>
      <c r="AB6" s="17">
        <v>0</v>
      </c>
      <c r="AC6" s="17">
        <v>0</v>
      </c>
      <c r="AD6" s="17">
        <v>0</v>
      </c>
      <c r="AE6" s="17">
        <v>0</v>
      </c>
      <c r="AF6" s="17">
        <v>0</v>
      </c>
      <c r="AG6" s="17">
        <v>0</v>
      </c>
      <c r="AH6" s="17">
        <v>0</v>
      </c>
      <c r="AI6" s="17">
        <f t="shared" si="3"/>
        <v>1</v>
      </c>
      <c r="AJ6" s="17">
        <f t="shared" si="4"/>
        <v>31</v>
      </c>
      <c r="AK6" s="17">
        <f t="shared" si="5"/>
        <v>0</v>
      </c>
      <c r="AL6" s="17">
        <f t="shared" si="6"/>
        <v>1</v>
      </c>
      <c r="AM6" s="17">
        <f>VLOOKUP(AK6,Sheet1!$A$2:$B$25,2,FALSE)</f>
        <v>0</v>
      </c>
    </row>
    <row r="7" spans="1:39" s="17" customFormat="1" x14ac:dyDescent="0.25">
      <c r="A7" s="21">
        <v>44592.020833333336</v>
      </c>
      <c r="B7" s="17">
        <v>3.96</v>
      </c>
      <c r="C7" s="17">
        <v>0</v>
      </c>
      <c r="D7" s="17">
        <v>3.96</v>
      </c>
      <c r="E7" s="17">
        <v>0</v>
      </c>
      <c r="F7" s="17">
        <v>0</v>
      </c>
      <c r="G7" s="17">
        <v>0</v>
      </c>
      <c r="H7" s="17">
        <v>1.4</v>
      </c>
      <c r="I7" s="17">
        <v>0</v>
      </c>
      <c r="J7" s="17">
        <v>1.23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3.7900000000000003E-2</v>
      </c>
      <c r="S7" s="17">
        <v>0</v>
      </c>
      <c r="T7" s="17">
        <v>0</v>
      </c>
      <c r="U7" s="17">
        <v>1.75</v>
      </c>
      <c r="V7" s="17">
        <v>0</v>
      </c>
      <c r="W7" s="17">
        <v>1.1200000000000001</v>
      </c>
      <c r="X7" s="17">
        <v>0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D7" s="17">
        <v>0</v>
      </c>
      <c r="AE7" s="17">
        <v>0</v>
      </c>
      <c r="AF7" s="17">
        <v>0</v>
      </c>
      <c r="AG7" s="17">
        <v>0</v>
      </c>
      <c r="AH7" s="17">
        <v>0</v>
      </c>
      <c r="AI7" s="17">
        <f t="shared" si="3"/>
        <v>1</v>
      </c>
      <c r="AJ7" s="17">
        <f t="shared" si="4"/>
        <v>31</v>
      </c>
      <c r="AK7" s="17">
        <f t="shared" si="5"/>
        <v>0</v>
      </c>
      <c r="AL7" s="17">
        <f t="shared" si="6"/>
        <v>1</v>
      </c>
      <c r="AM7" s="17">
        <f>VLOOKUP(AK7,Sheet1!$A$2:$B$25,2,FALSE)</f>
        <v>0</v>
      </c>
    </row>
    <row r="8" spans="1:39" s="17" customFormat="1" x14ac:dyDescent="0.25">
      <c r="A8" s="21">
        <v>44592.03125</v>
      </c>
      <c r="B8" s="17">
        <v>3.85</v>
      </c>
      <c r="C8" s="17">
        <v>0</v>
      </c>
      <c r="D8" s="17">
        <v>3.85</v>
      </c>
      <c r="E8" s="17">
        <v>0</v>
      </c>
      <c r="F8" s="17">
        <v>0</v>
      </c>
      <c r="G8" s="17">
        <v>0</v>
      </c>
      <c r="H8" s="17">
        <v>1.1599999999999999</v>
      </c>
      <c r="I8" s="17">
        <v>0</v>
      </c>
      <c r="J8" s="17">
        <v>1.56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7.8899999999999998E-2</v>
      </c>
      <c r="S8" s="17">
        <v>0</v>
      </c>
      <c r="T8" s="17">
        <v>0</v>
      </c>
      <c r="U8" s="17">
        <v>1.72</v>
      </c>
      <c r="V8" s="17">
        <v>0</v>
      </c>
      <c r="W8" s="17">
        <v>1.1000000000000001</v>
      </c>
      <c r="X8" s="17">
        <v>0</v>
      </c>
      <c r="Y8" s="17">
        <v>0</v>
      </c>
      <c r="Z8" s="17">
        <v>0</v>
      </c>
      <c r="AA8" s="17">
        <v>0</v>
      </c>
      <c r="AB8" s="17">
        <v>0</v>
      </c>
      <c r="AC8" s="17">
        <v>0</v>
      </c>
      <c r="AD8" s="17">
        <v>0</v>
      </c>
      <c r="AE8" s="17">
        <v>0</v>
      </c>
      <c r="AF8" s="17">
        <v>0</v>
      </c>
      <c r="AG8" s="17">
        <v>0</v>
      </c>
      <c r="AH8" s="17">
        <v>0</v>
      </c>
      <c r="AI8" s="17">
        <f t="shared" si="3"/>
        <v>1</v>
      </c>
      <c r="AJ8" s="17">
        <f t="shared" si="4"/>
        <v>31</v>
      </c>
      <c r="AK8" s="17">
        <f t="shared" si="5"/>
        <v>0</v>
      </c>
      <c r="AL8" s="17">
        <f t="shared" si="6"/>
        <v>1</v>
      </c>
      <c r="AM8" s="17">
        <f>VLOOKUP(AK8,Sheet1!$A$2:$B$25,2,FALSE)</f>
        <v>0</v>
      </c>
    </row>
    <row r="9" spans="1:39" s="17" customFormat="1" x14ac:dyDescent="0.25">
      <c r="A9" s="21">
        <v>44592.041666666664</v>
      </c>
      <c r="B9" s="17">
        <v>4.18</v>
      </c>
      <c r="C9" s="17">
        <v>0.2021</v>
      </c>
      <c r="D9" s="17">
        <v>3.98</v>
      </c>
      <c r="E9" s="17">
        <v>0</v>
      </c>
      <c r="F9" s="17">
        <v>0</v>
      </c>
      <c r="G9" s="17">
        <v>0</v>
      </c>
      <c r="H9" s="17">
        <v>1.03</v>
      </c>
      <c r="I9" s="17">
        <v>0</v>
      </c>
      <c r="J9" s="17">
        <v>1.25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3.7900000000000003E-2</v>
      </c>
      <c r="S9" s="17">
        <v>0</v>
      </c>
      <c r="T9" s="17">
        <v>0</v>
      </c>
      <c r="U9" s="17">
        <v>1.75</v>
      </c>
      <c r="V9" s="17">
        <v>0</v>
      </c>
      <c r="W9" s="17">
        <v>1.1200000000000001</v>
      </c>
      <c r="X9" s="17">
        <v>0</v>
      </c>
      <c r="Y9" s="17">
        <v>0</v>
      </c>
      <c r="Z9" s="17">
        <v>0</v>
      </c>
      <c r="AA9" s="17">
        <v>0</v>
      </c>
      <c r="AB9" s="17">
        <v>0</v>
      </c>
      <c r="AC9" s="17">
        <v>0</v>
      </c>
      <c r="AD9" s="17">
        <v>0</v>
      </c>
      <c r="AE9" s="17">
        <v>0</v>
      </c>
      <c r="AF9" s="17">
        <v>0</v>
      </c>
      <c r="AG9" s="17">
        <v>0</v>
      </c>
      <c r="AH9" s="17">
        <v>0</v>
      </c>
      <c r="AI9" s="17">
        <f t="shared" si="3"/>
        <v>1</v>
      </c>
      <c r="AJ9" s="17">
        <f t="shared" si="4"/>
        <v>31</v>
      </c>
      <c r="AK9" s="17">
        <f t="shared" si="5"/>
        <v>1</v>
      </c>
      <c r="AL9" s="17">
        <f t="shared" si="6"/>
        <v>1</v>
      </c>
      <c r="AM9" s="17">
        <f>VLOOKUP(AK9,Sheet1!$A$2:$B$25,2,FALSE)</f>
        <v>0</v>
      </c>
    </row>
    <row r="10" spans="1:39" s="17" customFormat="1" x14ac:dyDescent="0.25">
      <c r="A10" s="21">
        <v>44592.052083333336</v>
      </c>
      <c r="B10" s="17">
        <v>3.97</v>
      </c>
      <c r="C10" s="17">
        <v>0</v>
      </c>
      <c r="D10" s="17">
        <v>3.97</v>
      </c>
      <c r="E10" s="17">
        <v>0</v>
      </c>
      <c r="F10" s="17">
        <v>0</v>
      </c>
      <c r="G10" s="17">
        <v>0</v>
      </c>
      <c r="H10" s="17">
        <v>1.01</v>
      </c>
      <c r="I10" s="17">
        <v>0</v>
      </c>
      <c r="J10" s="17">
        <v>1.72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7">
        <v>4.4200000000000003E-2</v>
      </c>
      <c r="S10" s="17">
        <v>0</v>
      </c>
      <c r="T10" s="17">
        <v>0</v>
      </c>
      <c r="U10" s="17">
        <v>1.73</v>
      </c>
      <c r="V10" s="17">
        <v>0</v>
      </c>
      <c r="W10" s="17">
        <v>1.1100000000000001</v>
      </c>
      <c r="X10" s="17">
        <v>0</v>
      </c>
      <c r="Y10" s="17">
        <v>0</v>
      </c>
      <c r="Z10" s="17">
        <v>0</v>
      </c>
      <c r="AA10" s="17">
        <v>0</v>
      </c>
      <c r="AB10" s="17">
        <v>0</v>
      </c>
      <c r="AC10" s="17">
        <v>0</v>
      </c>
      <c r="AD10" s="17">
        <v>0</v>
      </c>
      <c r="AE10" s="17">
        <v>0</v>
      </c>
      <c r="AF10" s="17">
        <v>0</v>
      </c>
      <c r="AG10" s="17">
        <v>0</v>
      </c>
      <c r="AH10" s="17">
        <v>0</v>
      </c>
      <c r="AI10" s="17">
        <f t="shared" si="3"/>
        <v>1</v>
      </c>
      <c r="AJ10" s="17">
        <f t="shared" si="4"/>
        <v>31</v>
      </c>
      <c r="AK10" s="17">
        <f t="shared" si="5"/>
        <v>1</v>
      </c>
      <c r="AL10" s="17">
        <f t="shared" si="6"/>
        <v>1</v>
      </c>
      <c r="AM10" s="17">
        <f>VLOOKUP(AK10,Sheet1!$A$2:$B$25,2,FALSE)</f>
        <v>0</v>
      </c>
    </row>
    <row r="11" spans="1:39" s="17" customFormat="1" x14ac:dyDescent="0.25">
      <c r="A11" s="21">
        <v>44592.0625</v>
      </c>
      <c r="B11" s="17">
        <v>4.21</v>
      </c>
      <c r="C11" s="17">
        <v>0.2021</v>
      </c>
      <c r="D11" s="17">
        <v>4.01</v>
      </c>
      <c r="E11" s="17">
        <v>0</v>
      </c>
      <c r="F11" s="17">
        <v>0</v>
      </c>
      <c r="G11" s="17">
        <v>0</v>
      </c>
      <c r="H11" s="17">
        <v>1.38</v>
      </c>
      <c r="I11" s="17">
        <v>0</v>
      </c>
      <c r="J11" s="17">
        <v>1.71</v>
      </c>
      <c r="K11" s="17">
        <v>0</v>
      </c>
      <c r="L11" s="17">
        <v>0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7">
        <v>8.8400000000000006E-2</v>
      </c>
      <c r="S11" s="17">
        <v>0</v>
      </c>
      <c r="T11" s="17">
        <v>0</v>
      </c>
      <c r="U11" s="17">
        <v>1.72</v>
      </c>
      <c r="V11" s="17">
        <v>0</v>
      </c>
      <c r="W11" s="17">
        <v>1.1100000000000001</v>
      </c>
      <c r="X11" s="17">
        <v>0</v>
      </c>
      <c r="Y11" s="17">
        <v>0</v>
      </c>
      <c r="Z11" s="17">
        <v>0</v>
      </c>
      <c r="AA11" s="17">
        <v>0</v>
      </c>
      <c r="AB11" s="17">
        <v>0</v>
      </c>
      <c r="AC11" s="17">
        <v>0</v>
      </c>
      <c r="AD11" s="17">
        <v>0</v>
      </c>
      <c r="AE11" s="17">
        <v>0</v>
      </c>
      <c r="AF11" s="17">
        <v>0</v>
      </c>
      <c r="AG11" s="17">
        <v>0</v>
      </c>
      <c r="AH11" s="17">
        <v>0</v>
      </c>
      <c r="AI11" s="17">
        <f t="shared" si="3"/>
        <v>1</v>
      </c>
      <c r="AJ11" s="17">
        <f t="shared" si="4"/>
        <v>31</v>
      </c>
      <c r="AK11" s="17">
        <f t="shared" si="5"/>
        <v>1</v>
      </c>
      <c r="AL11" s="17">
        <f t="shared" si="6"/>
        <v>1</v>
      </c>
      <c r="AM11" s="17">
        <f>VLOOKUP(AK11,Sheet1!$A$2:$B$25,2,FALSE)</f>
        <v>0</v>
      </c>
    </row>
    <row r="12" spans="1:39" s="17" customFormat="1" x14ac:dyDescent="0.25">
      <c r="A12" s="21">
        <v>44592.072916666664</v>
      </c>
      <c r="B12" s="17">
        <v>3.99</v>
      </c>
      <c r="C12" s="17">
        <v>0</v>
      </c>
      <c r="D12" s="17">
        <v>3.99</v>
      </c>
      <c r="E12" s="17">
        <v>0</v>
      </c>
      <c r="F12" s="17">
        <v>0</v>
      </c>
      <c r="G12" s="17">
        <v>0</v>
      </c>
      <c r="H12" s="17">
        <v>0.74839999999999995</v>
      </c>
      <c r="I12" s="17">
        <v>0</v>
      </c>
      <c r="J12" s="17">
        <v>1.63</v>
      </c>
      <c r="K12" s="17">
        <v>0</v>
      </c>
      <c r="L12" s="17">
        <v>0</v>
      </c>
      <c r="M12" s="17">
        <v>0</v>
      </c>
      <c r="N12" s="17">
        <v>0</v>
      </c>
      <c r="O12" s="17">
        <v>0</v>
      </c>
      <c r="P12" s="17">
        <v>0</v>
      </c>
      <c r="Q12" s="17">
        <v>0</v>
      </c>
      <c r="R12" s="17">
        <v>4.7399999999999998E-2</v>
      </c>
      <c r="S12" s="17">
        <v>0</v>
      </c>
      <c r="T12" s="17">
        <v>0</v>
      </c>
      <c r="U12" s="17">
        <v>1.74</v>
      </c>
      <c r="V12" s="17">
        <v>0</v>
      </c>
      <c r="W12" s="17">
        <v>1.1100000000000001</v>
      </c>
      <c r="X12" s="17">
        <v>0</v>
      </c>
      <c r="Y12" s="17">
        <v>0</v>
      </c>
      <c r="Z12" s="17">
        <v>0</v>
      </c>
      <c r="AA12" s="17">
        <v>0</v>
      </c>
      <c r="AB12" s="17">
        <v>0</v>
      </c>
      <c r="AC12" s="17">
        <v>0</v>
      </c>
      <c r="AD12" s="17">
        <v>0</v>
      </c>
      <c r="AE12" s="17">
        <v>0</v>
      </c>
      <c r="AF12" s="17">
        <v>0</v>
      </c>
      <c r="AG12" s="17">
        <v>0</v>
      </c>
      <c r="AH12" s="17">
        <v>0</v>
      </c>
      <c r="AI12" s="17">
        <f t="shared" si="3"/>
        <v>1</v>
      </c>
      <c r="AJ12" s="17">
        <f t="shared" si="4"/>
        <v>31</v>
      </c>
      <c r="AK12" s="17">
        <f t="shared" si="5"/>
        <v>1</v>
      </c>
      <c r="AL12" s="17">
        <f t="shared" si="6"/>
        <v>1</v>
      </c>
      <c r="AM12" s="17">
        <f>VLOOKUP(AK12,Sheet1!$A$2:$B$25,2,FALSE)</f>
        <v>0</v>
      </c>
    </row>
    <row r="13" spans="1:39" s="17" customFormat="1" x14ac:dyDescent="0.25">
      <c r="A13" s="21">
        <v>44592.083333333336</v>
      </c>
      <c r="B13" s="17">
        <v>3.72</v>
      </c>
      <c r="C13" s="17">
        <v>0</v>
      </c>
      <c r="D13" s="17">
        <v>3.72</v>
      </c>
      <c r="E13" s="17">
        <v>0</v>
      </c>
      <c r="F13" s="17">
        <v>0</v>
      </c>
      <c r="G13" s="17">
        <v>0</v>
      </c>
      <c r="H13" s="17">
        <v>0.64890000000000003</v>
      </c>
      <c r="I13" s="17">
        <v>0</v>
      </c>
      <c r="J13" s="17">
        <v>0.86839999999999995</v>
      </c>
      <c r="K13" s="17">
        <v>0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0</v>
      </c>
      <c r="R13" s="17">
        <v>7.2599999999999998E-2</v>
      </c>
      <c r="S13" s="17">
        <v>0</v>
      </c>
      <c r="T13" s="17">
        <v>0</v>
      </c>
      <c r="U13" s="17">
        <v>1.74</v>
      </c>
      <c r="V13" s="17">
        <v>0</v>
      </c>
      <c r="W13" s="17">
        <v>1.1100000000000001</v>
      </c>
      <c r="X13" s="17">
        <v>0</v>
      </c>
      <c r="Y13" s="17">
        <v>0</v>
      </c>
      <c r="Z13" s="17">
        <v>0</v>
      </c>
      <c r="AA13" s="17">
        <v>0</v>
      </c>
      <c r="AB13" s="17">
        <v>0</v>
      </c>
      <c r="AC13" s="17">
        <v>0</v>
      </c>
      <c r="AD13" s="17">
        <v>0</v>
      </c>
      <c r="AE13" s="17">
        <v>0</v>
      </c>
      <c r="AF13" s="17">
        <v>0</v>
      </c>
      <c r="AG13" s="17">
        <v>0</v>
      </c>
      <c r="AH13" s="17">
        <v>0</v>
      </c>
      <c r="AI13" s="17">
        <f t="shared" si="3"/>
        <v>1</v>
      </c>
      <c r="AJ13" s="17">
        <f t="shared" si="4"/>
        <v>31</v>
      </c>
      <c r="AK13" s="17">
        <f t="shared" si="5"/>
        <v>2</v>
      </c>
      <c r="AL13" s="17">
        <f t="shared" si="6"/>
        <v>1</v>
      </c>
      <c r="AM13" s="17">
        <f>VLOOKUP(AK13,Sheet1!$A$2:$B$25,2,FALSE)</f>
        <v>0</v>
      </c>
    </row>
    <row r="14" spans="1:39" s="17" customFormat="1" x14ac:dyDescent="0.25">
      <c r="A14" s="21">
        <v>44592.09375</v>
      </c>
      <c r="B14" s="17">
        <v>3.86</v>
      </c>
      <c r="C14" s="17">
        <v>0</v>
      </c>
      <c r="D14" s="17">
        <v>3.86</v>
      </c>
      <c r="E14" s="17">
        <v>0</v>
      </c>
      <c r="F14" s="17">
        <v>0</v>
      </c>
      <c r="G14" s="17">
        <v>0</v>
      </c>
      <c r="H14" s="17">
        <v>1.17</v>
      </c>
      <c r="I14" s="17">
        <v>0</v>
      </c>
      <c r="J14" s="17">
        <v>1.63</v>
      </c>
      <c r="K14" s="17">
        <v>0</v>
      </c>
      <c r="L14" s="17">
        <v>0</v>
      </c>
      <c r="M14" s="17">
        <v>0</v>
      </c>
      <c r="N14" s="17">
        <v>0</v>
      </c>
      <c r="O14" s="17">
        <v>0</v>
      </c>
      <c r="P14" s="17">
        <v>0</v>
      </c>
      <c r="Q14" s="17">
        <v>0</v>
      </c>
      <c r="R14" s="17">
        <v>8.2100000000000006E-2</v>
      </c>
      <c r="S14" s="17">
        <v>0</v>
      </c>
      <c r="T14" s="17">
        <v>0</v>
      </c>
      <c r="U14" s="17">
        <v>1.73</v>
      </c>
      <c r="V14" s="17">
        <v>0</v>
      </c>
      <c r="W14" s="17">
        <v>1.1100000000000001</v>
      </c>
      <c r="X14" s="17">
        <v>0</v>
      </c>
      <c r="Y14" s="17">
        <v>0</v>
      </c>
      <c r="Z14" s="17">
        <v>0</v>
      </c>
      <c r="AA14" s="17">
        <v>0</v>
      </c>
      <c r="AB14" s="17">
        <v>0</v>
      </c>
      <c r="AC14" s="17">
        <v>0</v>
      </c>
      <c r="AD14" s="17">
        <v>0</v>
      </c>
      <c r="AE14" s="17">
        <v>0</v>
      </c>
      <c r="AF14" s="17">
        <v>0</v>
      </c>
      <c r="AG14" s="17">
        <v>0</v>
      </c>
      <c r="AH14" s="17">
        <v>0</v>
      </c>
      <c r="AI14" s="17">
        <f t="shared" si="3"/>
        <v>1</v>
      </c>
      <c r="AJ14" s="17">
        <f t="shared" si="4"/>
        <v>31</v>
      </c>
      <c r="AK14" s="17">
        <f t="shared" si="5"/>
        <v>2</v>
      </c>
      <c r="AL14" s="17">
        <f t="shared" si="6"/>
        <v>1</v>
      </c>
      <c r="AM14" s="17">
        <f>VLOOKUP(AK14,Sheet1!$A$2:$B$25,2,FALSE)</f>
        <v>0</v>
      </c>
    </row>
    <row r="15" spans="1:39" s="17" customFormat="1" x14ac:dyDescent="0.25">
      <c r="A15" s="21">
        <v>44592.104166666664</v>
      </c>
      <c r="B15" s="17">
        <v>4.0199999999999996</v>
      </c>
      <c r="C15" s="17">
        <v>0</v>
      </c>
      <c r="D15" s="17">
        <v>4.0199999999999996</v>
      </c>
      <c r="E15" s="17">
        <v>0</v>
      </c>
      <c r="F15" s="17">
        <v>0</v>
      </c>
      <c r="G15" s="17">
        <v>0</v>
      </c>
      <c r="H15" s="17">
        <v>1.54</v>
      </c>
      <c r="I15" s="17">
        <v>0</v>
      </c>
      <c r="J15" s="17">
        <v>1.34</v>
      </c>
      <c r="K15" s="17">
        <v>0</v>
      </c>
      <c r="L15" s="17">
        <v>0</v>
      </c>
      <c r="M15" s="17">
        <v>0</v>
      </c>
      <c r="N15" s="17">
        <v>0</v>
      </c>
      <c r="O15" s="17">
        <v>0</v>
      </c>
      <c r="P15" s="17">
        <v>0</v>
      </c>
      <c r="Q15" s="17">
        <v>0</v>
      </c>
      <c r="R15" s="17">
        <v>0</v>
      </c>
      <c r="S15" s="17">
        <v>0</v>
      </c>
      <c r="T15" s="17">
        <v>0</v>
      </c>
      <c r="U15" s="17">
        <v>1.72</v>
      </c>
      <c r="V15" s="17">
        <v>0</v>
      </c>
      <c r="W15" s="17">
        <v>1.1000000000000001</v>
      </c>
      <c r="X15" s="17">
        <v>0</v>
      </c>
      <c r="Y15" s="17">
        <v>0</v>
      </c>
      <c r="Z15" s="17">
        <v>0</v>
      </c>
      <c r="AA15" s="17">
        <v>0</v>
      </c>
      <c r="AB15" s="17">
        <v>0</v>
      </c>
      <c r="AC15" s="17">
        <v>0</v>
      </c>
      <c r="AD15" s="17">
        <v>0</v>
      </c>
      <c r="AE15" s="17">
        <v>0</v>
      </c>
      <c r="AF15" s="17">
        <v>0</v>
      </c>
      <c r="AG15" s="17">
        <v>0</v>
      </c>
      <c r="AH15" s="17">
        <v>0</v>
      </c>
      <c r="AI15" s="17">
        <f t="shared" si="3"/>
        <v>1</v>
      </c>
      <c r="AJ15" s="17">
        <f t="shared" si="4"/>
        <v>31</v>
      </c>
      <c r="AK15" s="17">
        <f t="shared" si="5"/>
        <v>2</v>
      </c>
      <c r="AL15" s="17">
        <f t="shared" si="6"/>
        <v>1</v>
      </c>
      <c r="AM15" s="17">
        <f>VLOOKUP(AK15,Sheet1!$A$2:$B$25,2,FALSE)</f>
        <v>0</v>
      </c>
    </row>
    <row r="16" spans="1:39" s="17" customFormat="1" x14ac:dyDescent="0.25">
      <c r="A16" s="21">
        <v>44592.114583333336</v>
      </c>
      <c r="B16" s="17">
        <v>4.17</v>
      </c>
      <c r="C16" s="17">
        <v>0.21870000000000001</v>
      </c>
      <c r="D16" s="17">
        <v>3.95</v>
      </c>
      <c r="E16" s="17">
        <v>0</v>
      </c>
      <c r="F16" s="17">
        <v>0</v>
      </c>
      <c r="G16" s="17">
        <v>0</v>
      </c>
      <c r="H16" s="17">
        <v>0.58179999999999998</v>
      </c>
      <c r="I16" s="17">
        <v>0</v>
      </c>
      <c r="J16" s="17">
        <v>1.61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17">
        <v>0</v>
      </c>
      <c r="Q16" s="17">
        <v>0</v>
      </c>
      <c r="R16" s="17">
        <v>7.8899999999999998E-2</v>
      </c>
      <c r="S16" s="17">
        <v>0</v>
      </c>
      <c r="T16" s="17">
        <v>0</v>
      </c>
      <c r="U16" s="17">
        <v>1.72</v>
      </c>
      <c r="V16" s="17">
        <v>0</v>
      </c>
      <c r="W16" s="17">
        <v>1.1000000000000001</v>
      </c>
      <c r="X16" s="17">
        <v>0</v>
      </c>
      <c r="Y16" s="17">
        <v>0</v>
      </c>
      <c r="Z16" s="17">
        <v>0</v>
      </c>
      <c r="AA16" s="17">
        <v>0</v>
      </c>
      <c r="AB16" s="17">
        <v>0</v>
      </c>
      <c r="AC16" s="17">
        <v>0</v>
      </c>
      <c r="AD16" s="17">
        <v>0</v>
      </c>
      <c r="AE16" s="17">
        <v>0</v>
      </c>
      <c r="AF16" s="17">
        <v>0</v>
      </c>
      <c r="AG16" s="17">
        <v>0</v>
      </c>
      <c r="AH16" s="17">
        <v>0</v>
      </c>
      <c r="AI16" s="17">
        <f t="shared" si="3"/>
        <v>1</v>
      </c>
      <c r="AJ16" s="17">
        <f t="shared" si="4"/>
        <v>31</v>
      </c>
      <c r="AK16" s="17">
        <f t="shared" si="5"/>
        <v>2</v>
      </c>
      <c r="AL16" s="17">
        <f t="shared" si="6"/>
        <v>1</v>
      </c>
      <c r="AM16" s="17">
        <f>VLOOKUP(AK16,Sheet1!$A$2:$B$25,2,FALSE)</f>
        <v>0</v>
      </c>
    </row>
    <row r="17" spans="1:39" s="17" customFormat="1" x14ac:dyDescent="0.25">
      <c r="A17" s="21">
        <v>44592.125</v>
      </c>
      <c r="B17" s="17">
        <v>4.21</v>
      </c>
      <c r="C17" s="17">
        <v>0.21870000000000001</v>
      </c>
      <c r="D17" s="17">
        <v>3.99</v>
      </c>
      <c r="E17" s="17">
        <v>0</v>
      </c>
      <c r="F17" s="17">
        <v>0</v>
      </c>
      <c r="G17" s="17">
        <v>0</v>
      </c>
      <c r="H17" s="17">
        <v>1.32</v>
      </c>
      <c r="I17" s="17">
        <v>0</v>
      </c>
      <c r="J17" s="17">
        <v>1.1499999999999999</v>
      </c>
      <c r="K17" s="17">
        <v>0</v>
      </c>
      <c r="L17" s="17">
        <v>0</v>
      </c>
      <c r="M17" s="17">
        <v>0</v>
      </c>
      <c r="N17" s="17">
        <v>0</v>
      </c>
      <c r="O17" s="17">
        <v>0</v>
      </c>
      <c r="P17" s="17">
        <v>0</v>
      </c>
      <c r="Q17" s="17">
        <v>0</v>
      </c>
      <c r="R17" s="17">
        <v>4.4200000000000003E-2</v>
      </c>
      <c r="S17" s="17">
        <v>0</v>
      </c>
      <c r="T17" s="17">
        <v>0</v>
      </c>
      <c r="U17" s="17">
        <v>1.71</v>
      </c>
      <c r="V17" s="17">
        <v>0</v>
      </c>
      <c r="W17" s="17">
        <v>1.0900000000000001</v>
      </c>
      <c r="X17" s="17">
        <v>0</v>
      </c>
      <c r="Y17" s="17">
        <v>0</v>
      </c>
      <c r="Z17" s="17">
        <v>0</v>
      </c>
      <c r="AA17" s="17">
        <v>0</v>
      </c>
      <c r="AB17" s="17">
        <v>0</v>
      </c>
      <c r="AC17" s="17">
        <v>0</v>
      </c>
      <c r="AD17" s="17">
        <v>0</v>
      </c>
      <c r="AE17" s="17">
        <v>0</v>
      </c>
      <c r="AF17" s="17">
        <v>0</v>
      </c>
      <c r="AG17" s="17">
        <v>0</v>
      </c>
      <c r="AH17" s="17">
        <v>0</v>
      </c>
      <c r="AI17" s="17">
        <f t="shared" si="3"/>
        <v>1</v>
      </c>
      <c r="AJ17" s="17">
        <f t="shared" si="4"/>
        <v>31</v>
      </c>
      <c r="AK17" s="17">
        <f t="shared" si="5"/>
        <v>3</v>
      </c>
      <c r="AL17" s="17">
        <f t="shared" si="6"/>
        <v>1</v>
      </c>
      <c r="AM17" s="17">
        <f>VLOOKUP(AK17,Sheet1!$A$2:$B$25,2,FALSE)</f>
        <v>0</v>
      </c>
    </row>
    <row r="18" spans="1:39" s="17" customFormat="1" x14ac:dyDescent="0.25">
      <c r="A18" s="21">
        <v>44592.135416666664</v>
      </c>
      <c r="B18" s="17">
        <v>4.03</v>
      </c>
      <c r="C18" s="17">
        <v>0</v>
      </c>
      <c r="D18" s="17">
        <v>4.03</v>
      </c>
      <c r="E18" s="17">
        <v>0</v>
      </c>
      <c r="F18" s="17">
        <v>0</v>
      </c>
      <c r="G18" s="17">
        <v>0</v>
      </c>
      <c r="H18" s="17">
        <v>1.1599999999999999</v>
      </c>
      <c r="I18" s="17">
        <v>0</v>
      </c>
      <c r="J18" s="17">
        <v>1.44</v>
      </c>
      <c r="K18" s="17">
        <v>0</v>
      </c>
      <c r="L18" s="17">
        <v>0</v>
      </c>
      <c r="M18" s="17">
        <v>0</v>
      </c>
      <c r="N18" s="17">
        <v>0</v>
      </c>
      <c r="O18" s="17">
        <v>0</v>
      </c>
      <c r="P18" s="17">
        <v>0</v>
      </c>
      <c r="Q18" s="17">
        <v>0</v>
      </c>
      <c r="R18" s="17">
        <v>8.5300000000000001E-2</v>
      </c>
      <c r="S18" s="17">
        <v>0</v>
      </c>
      <c r="T18" s="17">
        <v>0</v>
      </c>
      <c r="U18" s="17">
        <v>1.73</v>
      </c>
      <c r="V18" s="17">
        <v>0</v>
      </c>
      <c r="W18" s="17">
        <v>1.1100000000000001</v>
      </c>
      <c r="X18" s="17">
        <v>0</v>
      </c>
      <c r="Y18" s="17">
        <v>0</v>
      </c>
      <c r="Z18" s="17">
        <v>0</v>
      </c>
      <c r="AA18" s="17">
        <v>0</v>
      </c>
      <c r="AB18" s="17">
        <v>0</v>
      </c>
      <c r="AC18" s="17">
        <v>0</v>
      </c>
      <c r="AD18" s="17">
        <v>0</v>
      </c>
      <c r="AE18" s="17">
        <v>0</v>
      </c>
      <c r="AF18" s="17">
        <v>0</v>
      </c>
      <c r="AG18" s="17">
        <v>0</v>
      </c>
      <c r="AH18" s="17">
        <v>0</v>
      </c>
      <c r="AI18" s="17">
        <f t="shared" si="3"/>
        <v>1</v>
      </c>
      <c r="AJ18" s="17">
        <f t="shared" si="4"/>
        <v>31</v>
      </c>
      <c r="AK18" s="17">
        <f t="shared" si="5"/>
        <v>3</v>
      </c>
      <c r="AL18" s="17">
        <f t="shared" si="6"/>
        <v>1</v>
      </c>
      <c r="AM18" s="17">
        <f>VLOOKUP(AK18,Sheet1!$A$2:$B$25,2,FALSE)</f>
        <v>0</v>
      </c>
    </row>
    <row r="19" spans="1:39" s="17" customFormat="1" x14ac:dyDescent="0.25">
      <c r="A19" s="21">
        <v>44592.145833333336</v>
      </c>
      <c r="B19" s="17">
        <v>3.8</v>
      </c>
      <c r="C19" s="17">
        <v>0</v>
      </c>
      <c r="D19" s="17">
        <v>3.8</v>
      </c>
      <c r="E19" s="17">
        <v>0</v>
      </c>
      <c r="F19" s="17">
        <v>0</v>
      </c>
      <c r="G19" s="17">
        <v>0</v>
      </c>
      <c r="H19" s="17">
        <v>1.03</v>
      </c>
      <c r="I19" s="17">
        <v>0</v>
      </c>
      <c r="J19" s="17">
        <v>1.71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4.7399999999999998E-2</v>
      </c>
      <c r="S19" s="17">
        <v>0</v>
      </c>
      <c r="T19" s="17">
        <v>0</v>
      </c>
      <c r="U19" s="17">
        <v>1.71</v>
      </c>
      <c r="V19" s="17">
        <v>0</v>
      </c>
      <c r="W19" s="17">
        <v>1.0900000000000001</v>
      </c>
      <c r="X19" s="17">
        <v>0</v>
      </c>
      <c r="Y19" s="17">
        <v>0</v>
      </c>
      <c r="Z19" s="17">
        <v>0</v>
      </c>
      <c r="AA19" s="17">
        <v>0</v>
      </c>
      <c r="AB19" s="17">
        <v>0</v>
      </c>
      <c r="AC19" s="17">
        <v>0</v>
      </c>
      <c r="AD19" s="17">
        <v>0</v>
      </c>
      <c r="AE19" s="17">
        <v>0</v>
      </c>
      <c r="AF19" s="17">
        <v>0</v>
      </c>
      <c r="AG19" s="17">
        <v>0</v>
      </c>
      <c r="AH19" s="17">
        <v>0</v>
      </c>
      <c r="AI19" s="17">
        <f t="shared" si="3"/>
        <v>1</v>
      </c>
      <c r="AJ19" s="17">
        <f t="shared" si="4"/>
        <v>31</v>
      </c>
      <c r="AK19" s="17">
        <f t="shared" si="5"/>
        <v>3</v>
      </c>
      <c r="AL19" s="17">
        <f t="shared" si="6"/>
        <v>1</v>
      </c>
      <c r="AM19" s="17">
        <f>VLOOKUP(AK19,Sheet1!$A$2:$B$25,2,FALSE)</f>
        <v>0</v>
      </c>
    </row>
    <row r="20" spans="1:39" s="17" customFormat="1" x14ac:dyDescent="0.25">
      <c r="A20" s="21">
        <v>44592.15625</v>
      </c>
      <c r="B20" s="17">
        <v>35.26</v>
      </c>
      <c r="C20" s="17">
        <v>0</v>
      </c>
      <c r="D20" s="17">
        <v>4.0599999999999996</v>
      </c>
      <c r="E20" s="17">
        <v>0</v>
      </c>
      <c r="F20" s="17">
        <v>0</v>
      </c>
      <c r="G20" s="17">
        <v>0</v>
      </c>
      <c r="H20" s="17">
        <v>1.01</v>
      </c>
      <c r="I20" s="17">
        <v>31.2</v>
      </c>
      <c r="J20" s="17">
        <v>1.7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7.8899999999999998E-2</v>
      </c>
      <c r="S20" s="17">
        <v>0</v>
      </c>
      <c r="T20" s="17">
        <v>0</v>
      </c>
      <c r="U20" s="17">
        <v>1.71</v>
      </c>
      <c r="V20" s="17">
        <v>0</v>
      </c>
      <c r="W20" s="17">
        <v>1.0900000000000001</v>
      </c>
      <c r="X20" s="17">
        <v>0</v>
      </c>
      <c r="Y20" s="17">
        <v>0</v>
      </c>
      <c r="Z20" s="17">
        <v>0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7">
        <v>0</v>
      </c>
      <c r="AG20" s="17">
        <v>0</v>
      </c>
      <c r="AH20" s="17">
        <v>0</v>
      </c>
      <c r="AI20" s="17">
        <f t="shared" si="3"/>
        <v>1</v>
      </c>
      <c r="AJ20" s="17">
        <f t="shared" si="4"/>
        <v>31</v>
      </c>
      <c r="AK20" s="17">
        <f t="shared" si="5"/>
        <v>3</v>
      </c>
      <c r="AL20" s="17">
        <f t="shared" si="6"/>
        <v>1</v>
      </c>
      <c r="AM20" s="17">
        <f>VLOOKUP(AK20,Sheet1!$A$2:$B$25,2,FALSE)</f>
        <v>0</v>
      </c>
    </row>
    <row r="21" spans="1:39" s="17" customFormat="1" x14ac:dyDescent="0.25">
      <c r="A21" s="21">
        <v>44592.166666666664</v>
      </c>
      <c r="B21" s="17">
        <v>269.18</v>
      </c>
      <c r="C21" s="17">
        <v>17.55</v>
      </c>
      <c r="D21" s="17">
        <v>127.73</v>
      </c>
      <c r="E21" s="17">
        <v>0</v>
      </c>
      <c r="F21" s="17">
        <v>79.510000000000005</v>
      </c>
      <c r="G21" s="17">
        <v>0</v>
      </c>
      <c r="H21" s="17">
        <v>87.02</v>
      </c>
      <c r="I21" s="17">
        <v>75.66</v>
      </c>
      <c r="J21" s="17">
        <v>1.63</v>
      </c>
      <c r="K21" s="17">
        <v>0</v>
      </c>
      <c r="L21" s="17">
        <v>0</v>
      </c>
      <c r="M21" s="17">
        <v>12.18</v>
      </c>
      <c r="N21" s="17">
        <v>16.260000000000002</v>
      </c>
      <c r="O21" s="17">
        <v>0</v>
      </c>
      <c r="P21" s="17">
        <v>15.42</v>
      </c>
      <c r="Q21" s="17">
        <v>0</v>
      </c>
      <c r="R21" s="17">
        <v>4.4200000000000003E-2</v>
      </c>
      <c r="S21" s="17">
        <v>10.31</v>
      </c>
      <c r="T21" s="17">
        <v>0</v>
      </c>
      <c r="U21" s="17">
        <v>1.63</v>
      </c>
      <c r="V21" s="17">
        <v>7.88</v>
      </c>
      <c r="W21" s="17">
        <v>1.03</v>
      </c>
      <c r="X21" s="17">
        <v>3.22</v>
      </c>
      <c r="Y21" s="17">
        <v>4.01</v>
      </c>
      <c r="Z21" s="17">
        <v>4.71</v>
      </c>
      <c r="AA21" s="17">
        <v>0</v>
      </c>
      <c r="AB21" s="17">
        <v>2.7</v>
      </c>
      <c r="AC21" s="17">
        <v>0</v>
      </c>
      <c r="AD21" s="17">
        <v>0</v>
      </c>
      <c r="AE21" s="17">
        <v>0</v>
      </c>
      <c r="AF21" s="17">
        <v>0</v>
      </c>
      <c r="AG21" s="17">
        <v>0</v>
      </c>
      <c r="AH21" s="17">
        <v>0</v>
      </c>
      <c r="AI21" s="17">
        <f t="shared" si="3"/>
        <v>1</v>
      </c>
      <c r="AJ21" s="17">
        <f t="shared" si="4"/>
        <v>31</v>
      </c>
      <c r="AK21" s="17">
        <f t="shared" si="5"/>
        <v>4</v>
      </c>
      <c r="AL21" s="17">
        <f t="shared" si="6"/>
        <v>1</v>
      </c>
      <c r="AM21" s="17">
        <f>VLOOKUP(AK21,Sheet1!$A$2:$B$25,2,FALSE)</f>
        <v>1</v>
      </c>
    </row>
    <row r="22" spans="1:39" s="17" customFormat="1" x14ac:dyDescent="0.25">
      <c r="A22" s="21">
        <v>44592.177083333336</v>
      </c>
      <c r="B22" s="17">
        <v>693.66</v>
      </c>
      <c r="C22" s="17">
        <v>278.29000000000002</v>
      </c>
      <c r="D22" s="17">
        <v>265.44</v>
      </c>
      <c r="E22" s="17">
        <v>138.99</v>
      </c>
      <c r="F22" s="17">
        <v>174.18</v>
      </c>
      <c r="G22" s="17">
        <v>22.78</v>
      </c>
      <c r="H22" s="17">
        <v>160.86000000000001</v>
      </c>
      <c r="I22" s="17">
        <v>55.12</v>
      </c>
      <c r="J22" s="17">
        <v>125.07</v>
      </c>
      <c r="K22" s="17">
        <v>8.0500000000000007</v>
      </c>
      <c r="L22" s="17">
        <v>62.36</v>
      </c>
      <c r="M22" s="17">
        <v>0</v>
      </c>
      <c r="N22" s="17">
        <v>22.68</v>
      </c>
      <c r="O22" s="17">
        <v>55.52</v>
      </c>
      <c r="P22" s="17">
        <v>18.39</v>
      </c>
      <c r="Q22" s="17">
        <v>57.38</v>
      </c>
      <c r="R22" s="17">
        <v>5.97</v>
      </c>
      <c r="S22" s="17">
        <v>15.95</v>
      </c>
      <c r="T22" s="17">
        <v>0</v>
      </c>
      <c r="U22" s="17">
        <v>1.54</v>
      </c>
      <c r="V22" s="17">
        <v>11.03</v>
      </c>
      <c r="W22" s="17">
        <v>0.97099999999999997</v>
      </c>
      <c r="X22" s="17">
        <v>8.0299999999999994</v>
      </c>
      <c r="Y22" s="17">
        <v>2.62</v>
      </c>
      <c r="Z22" s="17">
        <v>0</v>
      </c>
      <c r="AA22" s="17">
        <v>0</v>
      </c>
      <c r="AB22" s="17">
        <v>12.51</v>
      </c>
      <c r="AC22" s="17">
        <v>3.5</v>
      </c>
      <c r="AD22" s="17">
        <v>0</v>
      </c>
      <c r="AE22" s="17">
        <v>0</v>
      </c>
      <c r="AF22" s="17">
        <v>0</v>
      </c>
      <c r="AG22" s="17">
        <v>0</v>
      </c>
      <c r="AH22" s="17">
        <v>0</v>
      </c>
      <c r="AI22" s="17">
        <f t="shared" si="3"/>
        <v>1</v>
      </c>
      <c r="AJ22" s="17">
        <f t="shared" si="4"/>
        <v>31</v>
      </c>
      <c r="AK22" s="17">
        <f t="shared" si="5"/>
        <v>4</v>
      </c>
      <c r="AL22" s="17">
        <f t="shared" si="6"/>
        <v>1</v>
      </c>
      <c r="AM22" s="17">
        <f>VLOOKUP(AK22,Sheet1!$A$2:$B$25,2,FALSE)</f>
        <v>1</v>
      </c>
    </row>
    <row r="23" spans="1:39" s="17" customFormat="1" x14ac:dyDescent="0.25">
      <c r="A23" s="21">
        <v>44592.1875</v>
      </c>
      <c r="B23" s="17">
        <v>867.72</v>
      </c>
      <c r="C23" s="17">
        <v>334.45</v>
      </c>
      <c r="D23" s="17">
        <v>236.32</v>
      </c>
      <c r="E23" s="17">
        <v>170.02</v>
      </c>
      <c r="F23" s="17">
        <v>170.98</v>
      </c>
      <c r="G23" s="17">
        <v>192.05</v>
      </c>
      <c r="H23" s="17">
        <v>119.99</v>
      </c>
      <c r="I23" s="17">
        <v>55.83</v>
      </c>
      <c r="J23" s="17">
        <v>145.96</v>
      </c>
      <c r="K23" s="17">
        <v>66.599999999999994</v>
      </c>
      <c r="L23" s="17">
        <v>75.27</v>
      </c>
      <c r="M23" s="17">
        <v>0</v>
      </c>
      <c r="N23" s="17">
        <v>27.35</v>
      </c>
      <c r="O23" s="17">
        <v>68.959999999999994</v>
      </c>
      <c r="P23" s="17">
        <v>20.73</v>
      </c>
      <c r="Q23" s="17">
        <v>68.33</v>
      </c>
      <c r="R23" s="17">
        <v>48.67</v>
      </c>
      <c r="S23" s="17">
        <v>12.61</v>
      </c>
      <c r="T23" s="17">
        <v>5.84</v>
      </c>
      <c r="U23" s="17">
        <v>1.48</v>
      </c>
      <c r="V23" s="17">
        <v>0.61660000000000004</v>
      </c>
      <c r="W23" s="17">
        <v>0.93630000000000002</v>
      </c>
      <c r="X23" s="17">
        <v>2.7</v>
      </c>
      <c r="Y23" s="17">
        <v>0</v>
      </c>
      <c r="Z23" s="17">
        <v>1.91</v>
      </c>
      <c r="AA23" s="17">
        <v>0</v>
      </c>
      <c r="AB23" s="17">
        <v>7.78</v>
      </c>
      <c r="AC23" s="17">
        <v>2.73</v>
      </c>
      <c r="AD23" s="17">
        <v>0</v>
      </c>
      <c r="AE23" s="17">
        <v>0</v>
      </c>
      <c r="AF23" s="17">
        <v>0</v>
      </c>
      <c r="AG23" s="17">
        <v>0</v>
      </c>
      <c r="AH23" s="17">
        <v>0</v>
      </c>
      <c r="AI23" s="17">
        <f t="shared" si="3"/>
        <v>1</v>
      </c>
      <c r="AJ23" s="17">
        <f t="shared" si="4"/>
        <v>31</v>
      </c>
      <c r="AK23" s="17">
        <f t="shared" si="5"/>
        <v>4</v>
      </c>
      <c r="AL23" s="17">
        <f t="shared" si="6"/>
        <v>1</v>
      </c>
      <c r="AM23" s="17">
        <f>VLOOKUP(AK23,Sheet1!$A$2:$B$25,2,FALSE)</f>
        <v>1</v>
      </c>
    </row>
    <row r="24" spans="1:39" s="17" customFormat="1" x14ac:dyDescent="0.25">
      <c r="A24" s="21">
        <v>44592.197916666664</v>
      </c>
      <c r="B24" s="17">
        <v>735.17</v>
      </c>
      <c r="C24" s="17">
        <v>307.42</v>
      </c>
      <c r="D24" s="17">
        <v>155.47999999999999</v>
      </c>
      <c r="E24" s="17">
        <v>174.51</v>
      </c>
      <c r="F24" s="17">
        <v>91.69</v>
      </c>
      <c r="G24" s="17">
        <v>166.27</v>
      </c>
      <c r="H24" s="17">
        <v>55.12</v>
      </c>
      <c r="I24" s="17">
        <v>55.74</v>
      </c>
      <c r="J24" s="17">
        <v>109.53</v>
      </c>
      <c r="K24" s="17">
        <v>63.09</v>
      </c>
      <c r="L24" s="17">
        <v>69.83</v>
      </c>
      <c r="M24" s="17">
        <v>46.2</v>
      </c>
      <c r="N24" s="17">
        <v>30.02</v>
      </c>
      <c r="O24" s="17">
        <v>48.71</v>
      </c>
      <c r="P24" s="17">
        <v>25.69</v>
      </c>
      <c r="Q24" s="17">
        <v>53.67</v>
      </c>
      <c r="R24" s="17">
        <v>33.270000000000003</v>
      </c>
      <c r="S24" s="17">
        <v>13.35</v>
      </c>
      <c r="T24" s="17">
        <v>13.79</v>
      </c>
      <c r="U24" s="17">
        <v>1.55</v>
      </c>
      <c r="V24" s="17">
        <v>2.25</v>
      </c>
      <c r="W24" s="17">
        <v>0.98599999999999999</v>
      </c>
      <c r="X24" s="17">
        <v>2.89</v>
      </c>
      <c r="Y24" s="17">
        <v>0</v>
      </c>
      <c r="Z24" s="17">
        <v>2.21</v>
      </c>
      <c r="AA24" s="17">
        <v>0</v>
      </c>
      <c r="AB24" s="17">
        <v>3.87</v>
      </c>
      <c r="AC24" s="17">
        <v>0</v>
      </c>
      <c r="AD24" s="17">
        <v>0</v>
      </c>
      <c r="AE24" s="17">
        <v>0</v>
      </c>
      <c r="AF24" s="17">
        <v>1.08</v>
      </c>
      <c r="AG24" s="17">
        <v>0</v>
      </c>
      <c r="AH24" s="17">
        <v>0</v>
      </c>
      <c r="AI24" s="17">
        <f t="shared" si="3"/>
        <v>1</v>
      </c>
      <c r="AJ24" s="17">
        <f t="shared" si="4"/>
        <v>31</v>
      </c>
      <c r="AK24" s="17">
        <f t="shared" si="5"/>
        <v>4</v>
      </c>
      <c r="AL24" s="17">
        <f t="shared" si="6"/>
        <v>1</v>
      </c>
      <c r="AM24" s="17">
        <f>VLOOKUP(AK24,Sheet1!$A$2:$B$25,2,FALSE)</f>
        <v>1</v>
      </c>
    </row>
    <row r="25" spans="1:39" s="17" customFormat="1" x14ac:dyDescent="0.25">
      <c r="A25" s="21">
        <v>44592.208333333336</v>
      </c>
      <c r="B25" s="17">
        <v>734.17</v>
      </c>
      <c r="C25" s="17">
        <v>253.94</v>
      </c>
      <c r="D25" s="17">
        <v>219.71</v>
      </c>
      <c r="E25" s="17">
        <v>169.8</v>
      </c>
      <c r="F25" s="17">
        <v>172.13</v>
      </c>
      <c r="G25" s="17">
        <v>136.83000000000001</v>
      </c>
      <c r="H25" s="17">
        <v>44.04</v>
      </c>
      <c r="I25" s="17">
        <v>56.33</v>
      </c>
      <c r="J25" s="17">
        <v>47.76</v>
      </c>
      <c r="K25" s="17">
        <v>62.77</v>
      </c>
      <c r="L25" s="17">
        <v>68.88</v>
      </c>
      <c r="M25" s="17">
        <v>51.09</v>
      </c>
      <c r="N25" s="17">
        <v>32.89</v>
      </c>
      <c r="O25" s="17">
        <v>20.12</v>
      </c>
      <c r="P25" s="17">
        <v>25.46</v>
      </c>
      <c r="Q25" s="17">
        <v>25.73</v>
      </c>
      <c r="R25" s="17">
        <v>11.13</v>
      </c>
      <c r="S25" s="17">
        <v>17.63</v>
      </c>
      <c r="T25" s="17">
        <v>15.02</v>
      </c>
      <c r="U25" s="17">
        <v>1.5</v>
      </c>
      <c r="V25" s="17">
        <v>1.52</v>
      </c>
      <c r="W25" s="17">
        <v>0.94730000000000003</v>
      </c>
      <c r="X25" s="17">
        <v>3.24</v>
      </c>
      <c r="Y25" s="17">
        <v>3.29</v>
      </c>
      <c r="Z25" s="17">
        <v>0</v>
      </c>
      <c r="AA25" s="17">
        <v>0</v>
      </c>
      <c r="AB25" s="17">
        <v>11.69</v>
      </c>
      <c r="AC25" s="17">
        <v>4.54</v>
      </c>
      <c r="AD25" s="17">
        <v>0</v>
      </c>
      <c r="AE25" s="17">
        <v>0</v>
      </c>
      <c r="AF25" s="17">
        <v>1.77</v>
      </c>
      <c r="AG25" s="17">
        <v>0</v>
      </c>
      <c r="AH25" s="17">
        <v>0</v>
      </c>
      <c r="AI25" s="17">
        <f t="shared" si="3"/>
        <v>1</v>
      </c>
      <c r="AJ25" s="17">
        <f t="shared" si="4"/>
        <v>31</v>
      </c>
      <c r="AK25" s="17">
        <f t="shared" si="5"/>
        <v>5</v>
      </c>
      <c r="AL25" s="17">
        <f t="shared" si="6"/>
        <v>1</v>
      </c>
      <c r="AM25" s="17">
        <f>VLOOKUP(AK25,Sheet1!$A$2:$B$25,2,FALSE)</f>
        <v>1</v>
      </c>
    </row>
    <row r="26" spans="1:39" s="17" customFormat="1" x14ac:dyDescent="0.25">
      <c r="A26" s="21">
        <v>44592.21875</v>
      </c>
      <c r="B26" s="17">
        <v>708.84</v>
      </c>
      <c r="C26" s="17">
        <v>243.22</v>
      </c>
      <c r="D26" s="17">
        <v>211.82</v>
      </c>
      <c r="E26" s="17">
        <v>168.37</v>
      </c>
      <c r="F26" s="17">
        <v>169.65</v>
      </c>
      <c r="G26" s="17">
        <v>133.47</v>
      </c>
      <c r="H26" s="17">
        <v>40.340000000000003</v>
      </c>
      <c r="I26" s="17">
        <v>56.43</v>
      </c>
      <c r="J26" s="17">
        <v>35.26</v>
      </c>
      <c r="K26" s="17">
        <v>61.81</v>
      </c>
      <c r="L26" s="17">
        <v>66.84</v>
      </c>
      <c r="M26" s="17">
        <v>42.63</v>
      </c>
      <c r="N26" s="17">
        <v>30.6</v>
      </c>
      <c r="O26" s="17">
        <v>18.440000000000001</v>
      </c>
      <c r="P26" s="17">
        <v>26.92</v>
      </c>
      <c r="Q26" s="17">
        <v>18.97</v>
      </c>
      <c r="R26" s="17">
        <v>9.52</v>
      </c>
      <c r="S26" s="17">
        <v>14.59</v>
      </c>
      <c r="T26" s="17">
        <v>13.64</v>
      </c>
      <c r="U26" s="17">
        <v>1.83</v>
      </c>
      <c r="V26" s="17">
        <v>0.3987</v>
      </c>
      <c r="W26" s="17">
        <v>1.18</v>
      </c>
      <c r="X26" s="17">
        <v>6.25</v>
      </c>
      <c r="Y26" s="17">
        <v>0</v>
      </c>
      <c r="Z26" s="17">
        <v>0.77600000000000002</v>
      </c>
      <c r="AA26" s="17">
        <v>1.5</v>
      </c>
      <c r="AB26" s="17">
        <v>11.98</v>
      </c>
      <c r="AC26" s="17">
        <v>0</v>
      </c>
      <c r="AD26" s="17">
        <v>1.48</v>
      </c>
      <c r="AE26" s="17">
        <v>0</v>
      </c>
      <c r="AF26" s="17">
        <v>1.74</v>
      </c>
      <c r="AG26" s="17">
        <v>0</v>
      </c>
      <c r="AH26" s="17">
        <v>0</v>
      </c>
      <c r="AI26" s="17">
        <f t="shared" si="3"/>
        <v>1</v>
      </c>
      <c r="AJ26" s="17">
        <f t="shared" si="4"/>
        <v>31</v>
      </c>
      <c r="AK26" s="17">
        <f t="shared" si="5"/>
        <v>5</v>
      </c>
      <c r="AL26" s="17">
        <f t="shared" si="6"/>
        <v>1</v>
      </c>
      <c r="AM26" s="17">
        <f>VLOOKUP(AK26,Sheet1!$A$2:$B$25,2,FALSE)</f>
        <v>1</v>
      </c>
    </row>
    <row r="27" spans="1:39" s="17" customFormat="1" x14ac:dyDescent="0.25">
      <c r="A27" s="21">
        <v>44592.229166666664</v>
      </c>
      <c r="B27" s="17">
        <v>735.42</v>
      </c>
      <c r="C27" s="17">
        <v>239.34</v>
      </c>
      <c r="D27" s="17">
        <v>204.84</v>
      </c>
      <c r="E27" s="17">
        <v>167.39</v>
      </c>
      <c r="F27" s="17">
        <v>169.01</v>
      </c>
      <c r="G27" s="17">
        <v>146.66</v>
      </c>
      <c r="H27" s="17">
        <v>37.520000000000003</v>
      </c>
      <c r="I27" s="17">
        <v>56.82</v>
      </c>
      <c r="J27" s="17">
        <v>32.909999999999997</v>
      </c>
      <c r="K27" s="17">
        <v>64.260000000000005</v>
      </c>
      <c r="L27" s="17">
        <v>67.069999999999993</v>
      </c>
      <c r="M27" s="17">
        <v>33.380000000000003</v>
      </c>
      <c r="N27" s="17">
        <v>31.04</v>
      </c>
      <c r="O27" s="17">
        <v>19.850000000000001</v>
      </c>
      <c r="P27" s="17">
        <v>26.17</v>
      </c>
      <c r="Q27" s="17">
        <v>15.06</v>
      </c>
      <c r="R27" s="17">
        <v>14.1</v>
      </c>
      <c r="S27" s="17">
        <v>11.52</v>
      </c>
      <c r="T27" s="17">
        <v>13.18</v>
      </c>
      <c r="U27" s="17">
        <v>1.87</v>
      </c>
      <c r="V27" s="17">
        <v>8.43</v>
      </c>
      <c r="W27" s="17">
        <v>1.2</v>
      </c>
      <c r="X27" s="17">
        <v>6.71</v>
      </c>
      <c r="Y27" s="17">
        <v>1.1499999999999999</v>
      </c>
      <c r="Z27" s="17">
        <v>8.31</v>
      </c>
      <c r="AA27" s="17">
        <v>4.04</v>
      </c>
      <c r="AB27" s="17">
        <v>11.82</v>
      </c>
      <c r="AC27" s="17">
        <v>0</v>
      </c>
      <c r="AD27" s="17">
        <v>9.6199999999999992</v>
      </c>
      <c r="AE27" s="17">
        <v>1.04</v>
      </c>
      <c r="AF27" s="17">
        <v>1.69</v>
      </c>
      <c r="AG27" s="17">
        <v>0</v>
      </c>
      <c r="AH27" s="17">
        <v>0</v>
      </c>
      <c r="AI27" s="17">
        <f t="shared" si="3"/>
        <v>1</v>
      </c>
      <c r="AJ27" s="17">
        <f t="shared" si="4"/>
        <v>31</v>
      </c>
      <c r="AK27" s="17">
        <f t="shared" si="5"/>
        <v>5</v>
      </c>
      <c r="AL27" s="17">
        <f t="shared" si="6"/>
        <v>1</v>
      </c>
      <c r="AM27" s="17">
        <f>VLOOKUP(AK27,Sheet1!$A$2:$B$25,2,FALSE)</f>
        <v>1</v>
      </c>
    </row>
    <row r="28" spans="1:39" s="17" customFormat="1" x14ac:dyDescent="0.25">
      <c r="A28" s="21">
        <v>44592.239583333336</v>
      </c>
      <c r="B28" s="17">
        <v>748.54</v>
      </c>
      <c r="C28" s="17">
        <v>234.95</v>
      </c>
      <c r="D28" s="17">
        <v>224.75</v>
      </c>
      <c r="E28" s="17">
        <v>165.5</v>
      </c>
      <c r="F28" s="17">
        <v>175.82</v>
      </c>
      <c r="G28" s="17">
        <v>155.79</v>
      </c>
      <c r="H28" s="17">
        <v>59.38</v>
      </c>
      <c r="I28" s="17">
        <v>57.23</v>
      </c>
      <c r="J28" s="17">
        <v>30.89</v>
      </c>
      <c r="K28" s="17">
        <v>68.69</v>
      </c>
      <c r="L28" s="17">
        <v>64.88</v>
      </c>
      <c r="M28" s="17">
        <v>25.33</v>
      </c>
      <c r="N28" s="17">
        <v>30.25</v>
      </c>
      <c r="O28" s="17">
        <v>15.78</v>
      </c>
      <c r="P28" s="17">
        <v>25.68</v>
      </c>
      <c r="Q28" s="17">
        <v>13.81</v>
      </c>
      <c r="R28" s="17">
        <v>15.81</v>
      </c>
      <c r="S28" s="17">
        <v>6.96</v>
      </c>
      <c r="T28" s="17">
        <v>10.39</v>
      </c>
      <c r="U28" s="17">
        <v>1.85</v>
      </c>
      <c r="V28" s="17">
        <v>7.58</v>
      </c>
      <c r="W28" s="17">
        <v>1.66</v>
      </c>
      <c r="X28" s="17">
        <v>5.63</v>
      </c>
      <c r="Y28" s="17">
        <v>5.22</v>
      </c>
      <c r="Z28" s="17">
        <v>9.33</v>
      </c>
      <c r="AA28" s="17">
        <v>0</v>
      </c>
      <c r="AB28" s="17">
        <v>10.92</v>
      </c>
      <c r="AC28" s="17">
        <v>0</v>
      </c>
      <c r="AD28" s="17">
        <v>4.5</v>
      </c>
      <c r="AE28" s="17">
        <v>3.01</v>
      </c>
      <c r="AF28" s="17">
        <v>1.66</v>
      </c>
      <c r="AG28" s="17">
        <v>0</v>
      </c>
      <c r="AH28" s="17">
        <v>0</v>
      </c>
      <c r="AI28" s="17">
        <f t="shared" si="3"/>
        <v>1</v>
      </c>
      <c r="AJ28" s="17">
        <f t="shared" si="4"/>
        <v>31</v>
      </c>
      <c r="AK28" s="17">
        <f t="shared" si="5"/>
        <v>5</v>
      </c>
      <c r="AL28" s="17">
        <f t="shared" si="6"/>
        <v>1</v>
      </c>
      <c r="AM28" s="17">
        <f>VLOOKUP(AK28,Sheet1!$A$2:$B$25,2,FALSE)</f>
        <v>1</v>
      </c>
    </row>
    <row r="29" spans="1:39" s="17" customFormat="1" x14ac:dyDescent="0.25">
      <c r="A29" s="21">
        <v>44592.25</v>
      </c>
      <c r="B29" s="17">
        <v>680.73</v>
      </c>
      <c r="C29" s="17">
        <v>242.23</v>
      </c>
      <c r="D29" s="17">
        <v>140.41</v>
      </c>
      <c r="E29" s="17">
        <v>166.03</v>
      </c>
      <c r="F29" s="17">
        <v>93.37</v>
      </c>
      <c r="G29" s="17">
        <v>153.41</v>
      </c>
      <c r="H29" s="17">
        <v>35.99</v>
      </c>
      <c r="I29" s="17">
        <v>67.260000000000005</v>
      </c>
      <c r="J29" s="17">
        <v>40.25</v>
      </c>
      <c r="K29" s="17">
        <v>69.760000000000005</v>
      </c>
      <c r="L29" s="17">
        <v>63.32</v>
      </c>
      <c r="M29" s="17">
        <v>28.17</v>
      </c>
      <c r="N29" s="17">
        <v>28.92</v>
      </c>
      <c r="O29" s="17">
        <v>17.899999999999999</v>
      </c>
      <c r="P29" s="17">
        <v>24.27</v>
      </c>
      <c r="Q29" s="17">
        <v>14.48</v>
      </c>
      <c r="R29" s="17">
        <v>16.02</v>
      </c>
      <c r="S29" s="17">
        <v>12.81</v>
      </c>
      <c r="T29" s="17">
        <v>7.12</v>
      </c>
      <c r="U29" s="17">
        <v>2.12</v>
      </c>
      <c r="V29" s="17">
        <v>5.72</v>
      </c>
      <c r="W29" s="17">
        <v>1.24</v>
      </c>
      <c r="X29" s="17">
        <v>15.99</v>
      </c>
      <c r="Y29" s="17">
        <v>5.82</v>
      </c>
      <c r="Z29" s="17">
        <v>9.01</v>
      </c>
      <c r="AA29" s="17">
        <v>1.9</v>
      </c>
      <c r="AB29" s="17">
        <v>1.22</v>
      </c>
      <c r="AC29" s="17">
        <v>0</v>
      </c>
      <c r="AD29" s="17">
        <v>0.69079999999999997</v>
      </c>
      <c r="AE29" s="17">
        <v>3.03</v>
      </c>
      <c r="AF29" s="17">
        <v>0.59209999999999996</v>
      </c>
      <c r="AG29" s="17">
        <v>0</v>
      </c>
      <c r="AH29" s="17">
        <v>0</v>
      </c>
      <c r="AI29" s="17">
        <f t="shared" si="3"/>
        <v>1</v>
      </c>
      <c r="AJ29" s="17">
        <f t="shared" si="4"/>
        <v>31</v>
      </c>
      <c r="AK29" s="17">
        <f t="shared" si="5"/>
        <v>6</v>
      </c>
      <c r="AL29" s="17">
        <f t="shared" si="6"/>
        <v>1</v>
      </c>
      <c r="AM29" s="17">
        <f>VLOOKUP(AK29,Sheet1!$A$2:$B$25,2,FALSE)</f>
        <v>1</v>
      </c>
    </row>
    <row r="30" spans="1:39" s="17" customFormat="1" x14ac:dyDescent="0.25">
      <c r="A30" s="21">
        <v>44592.260416666664</v>
      </c>
      <c r="B30" s="17">
        <v>607.88</v>
      </c>
      <c r="C30" s="17">
        <v>264.26</v>
      </c>
      <c r="D30" s="17">
        <v>59.01</v>
      </c>
      <c r="E30" s="17">
        <v>181.37</v>
      </c>
      <c r="F30" s="17">
        <v>0</v>
      </c>
      <c r="G30" s="17">
        <v>156.5</v>
      </c>
      <c r="H30" s="17">
        <v>32.01</v>
      </c>
      <c r="I30" s="17">
        <v>59.69</v>
      </c>
      <c r="J30" s="17">
        <v>47.7</v>
      </c>
      <c r="K30" s="17">
        <v>70.41</v>
      </c>
      <c r="L30" s="17">
        <v>63.22</v>
      </c>
      <c r="M30" s="17">
        <v>30.19</v>
      </c>
      <c r="N30" s="17">
        <v>28.92</v>
      </c>
      <c r="O30" s="17">
        <v>21.04</v>
      </c>
      <c r="P30" s="17">
        <v>23.73</v>
      </c>
      <c r="Q30" s="17">
        <v>13.73</v>
      </c>
      <c r="R30" s="17">
        <v>15.95</v>
      </c>
      <c r="S30" s="17">
        <v>11.7</v>
      </c>
      <c r="T30" s="17">
        <v>7.71</v>
      </c>
      <c r="U30" s="17">
        <v>3.29</v>
      </c>
      <c r="V30" s="17">
        <v>3.7</v>
      </c>
      <c r="W30" s="17">
        <v>1.25</v>
      </c>
      <c r="X30" s="17">
        <v>10.44</v>
      </c>
      <c r="Y30" s="17">
        <v>0</v>
      </c>
      <c r="Z30" s="17">
        <v>9.0299999999999994</v>
      </c>
      <c r="AA30" s="17">
        <v>6.52</v>
      </c>
      <c r="AB30" s="17">
        <v>3.29</v>
      </c>
      <c r="AC30" s="17">
        <v>0</v>
      </c>
      <c r="AD30" s="17">
        <v>0</v>
      </c>
      <c r="AE30" s="17">
        <v>2.91</v>
      </c>
      <c r="AF30" s="17">
        <v>0</v>
      </c>
      <c r="AG30" s="17">
        <v>0</v>
      </c>
      <c r="AH30" s="17">
        <v>0</v>
      </c>
      <c r="AI30" s="17">
        <f t="shared" si="3"/>
        <v>1</v>
      </c>
      <c r="AJ30" s="17">
        <f t="shared" si="4"/>
        <v>31</v>
      </c>
      <c r="AK30" s="17">
        <f t="shared" si="5"/>
        <v>6</v>
      </c>
      <c r="AL30" s="17">
        <f t="shared" si="6"/>
        <v>1</v>
      </c>
      <c r="AM30" s="17">
        <f>VLOOKUP(AK30,Sheet1!$A$2:$B$25,2,FALSE)</f>
        <v>1</v>
      </c>
    </row>
    <row r="31" spans="1:39" s="17" customFormat="1" x14ac:dyDescent="0.25">
      <c r="A31" s="21">
        <v>44592.270833333336</v>
      </c>
      <c r="B31" s="17">
        <v>751.55</v>
      </c>
      <c r="C31" s="17">
        <v>286.98</v>
      </c>
      <c r="D31" s="17">
        <v>167.57</v>
      </c>
      <c r="E31" s="17">
        <v>190.44</v>
      </c>
      <c r="F31" s="17">
        <v>135.72</v>
      </c>
      <c r="G31" s="17">
        <v>157.41</v>
      </c>
      <c r="H31" s="17">
        <v>30.57</v>
      </c>
      <c r="I31" s="17">
        <v>57.06</v>
      </c>
      <c r="J31" s="17">
        <v>62.91</v>
      </c>
      <c r="K31" s="17">
        <v>70.48</v>
      </c>
      <c r="L31" s="17">
        <v>60.01</v>
      </c>
      <c r="M31" s="17">
        <v>24.93</v>
      </c>
      <c r="N31" s="17">
        <v>26.44</v>
      </c>
      <c r="O31" s="17">
        <v>23.76</v>
      </c>
      <c r="P31" s="17">
        <v>25</v>
      </c>
      <c r="Q31" s="17">
        <v>14.3</v>
      </c>
      <c r="R31" s="17">
        <v>15.58</v>
      </c>
      <c r="S31" s="17">
        <v>13.82</v>
      </c>
      <c r="T31" s="17">
        <v>10.47</v>
      </c>
      <c r="U31" s="17">
        <v>5.23</v>
      </c>
      <c r="V31" s="17">
        <v>9.08</v>
      </c>
      <c r="W31" s="17">
        <v>1.25</v>
      </c>
      <c r="X31" s="17">
        <v>8.52</v>
      </c>
      <c r="Y31" s="17">
        <v>3.12</v>
      </c>
      <c r="Z31" s="17">
        <v>8.98</v>
      </c>
      <c r="AA31" s="17">
        <v>7.52</v>
      </c>
      <c r="AB31" s="17">
        <v>6.49</v>
      </c>
      <c r="AC31" s="17">
        <v>0</v>
      </c>
      <c r="AD31" s="17">
        <v>0</v>
      </c>
      <c r="AE31" s="17">
        <v>2.97</v>
      </c>
      <c r="AF31" s="17">
        <v>0</v>
      </c>
      <c r="AG31" s="17">
        <v>0</v>
      </c>
      <c r="AH31" s="17">
        <v>0</v>
      </c>
      <c r="AI31" s="17">
        <f t="shared" si="3"/>
        <v>1</v>
      </c>
      <c r="AJ31" s="17">
        <f t="shared" si="4"/>
        <v>31</v>
      </c>
      <c r="AK31" s="17">
        <f t="shared" si="5"/>
        <v>6</v>
      </c>
      <c r="AL31" s="17">
        <f t="shared" si="6"/>
        <v>1</v>
      </c>
      <c r="AM31" s="17">
        <f>VLOOKUP(AK31,Sheet1!$A$2:$B$25,2,FALSE)</f>
        <v>1</v>
      </c>
    </row>
    <row r="32" spans="1:39" s="17" customFormat="1" x14ac:dyDescent="0.25">
      <c r="A32" s="21">
        <v>44592.28125</v>
      </c>
      <c r="B32" s="17">
        <v>766.82</v>
      </c>
      <c r="C32" s="17">
        <v>278.2</v>
      </c>
      <c r="D32" s="17">
        <v>201.35</v>
      </c>
      <c r="E32" s="17">
        <v>186.96</v>
      </c>
      <c r="F32" s="17">
        <v>170.98</v>
      </c>
      <c r="G32" s="17">
        <v>153.94999999999999</v>
      </c>
      <c r="H32" s="17">
        <v>32.94</v>
      </c>
      <c r="I32" s="17">
        <v>57.64</v>
      </c>
      <c r="J32" s="17">
        <v>65.33</v>
      </c>
      <c r="K32" s="17">
        <v>70.11</v>
      </c>
      <c r="L32" s="17">
        <v>58.58</v>
      </c>
      <c r="M32" s="17">
        <v>22.73</v>
      </c>
      <c r="N32" s="17">
        <v>25.64</v>
      </c>
      <c r="O32" s="17">
        <v>25.12</v>
      </c>
      <c r="P32" s="17">
        <v>23.33</v>
      </c>
      <c r="Q32" s="17">
        <v>14.15</v>
      </c>
      <c r="R32" s="17">
        <v>16.260000000000002</v>
      </c>
      <c r="S32" s="17">
        <v>10.85</v>
      </c>
      <c r="T32" s="17">
        <v>7.41</v>
      </c>
      <c r="U32" s="17">
        <v>5.03</v>
      </c>
      <c r="V32" s="17">
        <v>7.23</v>
      </c>
      <c r="W32" s="17">
        <v>1.23</v>
      </c>
      <c r="X32" s="17">
        <v>11.07</v>
      </c>
      <c r="Y32" s="17">
        <v>0</v>
      </c>
      <c r="Z32" s="17">
        <v>9</v>
      </c>
      <c r="AA32" s="17">
        <v>7.6</v>
      </c>
      <c r="AB32" s="17">
        <v>6.62</v>
      </c>
      <c r="AC32" s="17">
        <v>0</v>
      </c>
      <c r="AD32" s="17">
        <v>0</v>
      </c>
      <c r="AE32" s="17">
        <v>2.85</v>
      </c>
      <c r="AF32" s="17">
        <v>0</v>
      </c>
      <c r="AG32" s="17">
        <v>0</v>
      </c>
      <c r="AH32" s="17">
        <v>0</v>
      </c>
      <c r="AI32" s="17">
        <f t="shared" si="3"/>
        <v>1</v>
      </c>
      <c r="AJ32" s="17">
        <f t="shared" si="4"/>
        <v>31</v>
      </c>
      <c r="AK32" s="17">
        <f t="shared" si="5"/>
        <v>6</v>
      </c>
      <c r="AL32" s="17">
        <f t="shared" si="6"/>
        <v>1</v>
      </c>
      <c r="AM32" s="17">
        <f>VLOOKUP(AK32,Sheet1!$A$2:$B$25,2,FALSE)</f>
        <v>1</v>
      </c>
    </row>
    <row r="33" spans="1:39" s="17" customFormat="1" x14ac:dyDescent="0.25">
      <c r="A33" s="21">
        <v>44592.291666666664</v>
      </c>
      <c r="B33" s="17">
        <v>793.65</v>
      </c>
      <c r="C33" s="17">
        <v>282.85000000000002</v>
      </c>
      <c r="D33" s="17">
        <v>222.57</v>
      </c>
      <c r="E33" s="17">
        <v>189</v>
      </c>
      <c r="F33" s="17">
        <v>186.43</v>
      </c>
      <c r="G33" s="17">
        <v>152.18</v>
      </c>
      <c r="H33" s="17">
        <v>37.89</v>
      </c>
      <c r="I33" s="17">
        <v>57.47</v>
      </c>
      <c r="J33" s="17">
        <v>66.290000000000006</v>
      </c>
      <c r="K33" s="17">
        <v>69.61</v>
      </c>
      <c r="L33" s="17">
        <v>59.92</v>
      </c>
      <c r="M33" s="17">
        <v>30.39</v>
      </c>
      <c r="N33" s="17">
        <v>24.96</v>
      </c>
      <c r="O33" s="17">
        <v>26.64</v>
      </c>
      <c r="P33" s="17">
        <v>20.79</v>
      </c>
      <c r="Q33" s="17">
        <v>14.11</v>
      </c>
      <c r="R33" s="17">
        <v>15.25</v>
      </c>
      <c r="S33" s="17">
        <v>14.21</v>
      </c>
      <c r="T33" s="17">
        <v>6.56</v>
      </c>
      <c r="U33" s="17">
        <v>4.84</v>
      </c>
      <c r="V33" s="17">
        <v>5.9</v>
      </c>
      <c r="W33" s="17">
        <v>1.23</v>
      </c>
      <c r="X33" s="17">
        <v>8.51</v>
      </c>
      <c r="Y33" s="17">
        <v>1.63</v>
      </c>
      <c r="Z33" s="17">
        <v>9.09</v>
      </c>
      <c r="AA33" s="17">
        <v>7.56</v>
      </c>
      <c r="AB33" s="17">
        <v>10.89</v>
      </c>
      <c r="AC33" s="17">
        <v>0</v>
      </c>
      <c r="AD33" s="17">
        <v>0</v>
      </c>
      <c r="AE33" s="17">
        <v>2.71</v>
      </c>
      <c r="AF33" s="17">
        <v>0</v>
      </c>
      <c r="AG33" s="17">
        <v>0</v>
      </c>
      <c r="AH33" s="17">
        <v>0</v>
      </c>
      <c r="AI33" s="17">
        <f t="shared" si="3"/>
        <v>1</v>
      </c>
      <c r="AJ33" s="17">
        <f t="shared" si="4"/>
        <v>31</v>
      </c>
      <c r="AK33" s="17">
        <f t="shared" si="5"/>
        <v>7</v>
      </c>
      <c r="AL33" s="17">
        <f t="shared" si="6"/>
        <v>1</v>
      </c>
      <c r="AM33" s="17">
        <f>VLOOKUP(AK33,Sheet1!$A$2:$B$25,2,FALSE)</f>
        <v>1</v>
      </c>
    </row>
    <row r="34" spans="1:39" s="17" customFormat="1" x14ac:dyDescent="0.25">
      <c r="A34" s="21">
        <v>44592.302083333336</v>
      </c>
      <c r="B34" s="17">
        <v>815.72</v>
      </c>
      <c r="C34" s="17">
        <v>285.18</v>
      </c>
      <c r="D34" s="17">
        <v>230.01</v>
      </c>
      <c r="E34" s="17">
        <v>188.4</v>
      </c>
      <c r="F34" s="17">
        <v>180.72</v>
      </c>
      <c r="G34" s="17">
        <v>154.6</v>
      </c>
      <c r="H34" s="17">
        <v>45.14</v>
      </c>
      <c r="I34" s="17">
        <v>61.68</v>
      </c>
      <c r="J34" s="17">
        <v>64.14</v>
      </c>
      <c r="K34" s="17">
        <v>69.77</v>
      </c>
      <c r="L34" s="17">
        <v>63.49</v>
      </c>
      <c r="M34" s="17">
        <v>40.450000000000003</v>
      </c>
      <c r="N34" s="17">
        <v>23.43</v>
      </c>
      <c r="O34" s="17">
        <v>24.93</v>
      </c>
      <c r="P34" s="17">
        <v>21.92</v>
      </c>
      <c r="Q34" s="17">
        <v>14</v>
      </c>
      <c r="R34" s="17">
        <v>15.69</v>
      </c>
      <c r="S34" s="17">
        <v>19.100000000000001</v>
      </c>
      <c r="T34" s="17">
        <v>8.89</v>
      </c>
      <c r="U34" s="17">
        <v>4.9400000000000004</v>
      </c>
      <c r="V34" s="17">
        <v>6.73</v>
      </c>
      <c r="W34" s="17">
        <v>2.9</v>
      </c>
      <c r="X34" s="17">
        <v>5.08</v>
      </c>
      <c r="Y34" s="17">
        <v>1.53</v>
      </c>
      <c r="Z34" s="17">
        <v>9.41</v>
      </c>
      <c r="AA34" s="17">
        <v>8.4700000000000006</v>
      </c>
      <c r="AB34" s="17">
        <v>12.03</v>
      </c>
      <c r="AC34" s="17">
        <v>0</v>
      </c>
      <c r="AD34" s="17">
        <v>0</v>
      </c>
      <c r="AE34" s="17">
        <v>2.85</v>
      </c>
      <c r="AF34" s="17">
        <v>0</v>
      </c>
      <c r="AG34" s="17">
        <v>0</v>
      </c>
      <c r="AH34" s="17">
        <v>0</v>
      </c>
      <c r="AI34" s="17">
        <f t="shared" si="3"/>
        <v>1</v>
      </c>
      <c r="AJ34" s="17">
        <f t="shared" si="4"/>
        <v>31</v>
      </c>
      <c r="AK34" s="17">
        <f t="shared" si="5"/>
        <v>7</v>
      </c>
      <c r="AL34" s="17">
        <f t="shared" si="6"/>
        <v>1</v>
      </c>
      <c r="AM34" s="17">
        <f>VLOOKUP(AK34,Sheet1!$A$2:$B$25,2,FALSE)</f>
        <v>1</v>
      </c>
    </row>
    <row r="35" spans="1:39" s="17" customFormat="1" x14ac:dyDescent="0.25">
      <c r="A35" s="21">
        <v>44592.3125</v>
      </c>
      <c r="B35" s="17">
        <v>799</v>
      </c>
      <c r="C35" s="17">
        <v>284.17</v>
      </c>
      <c r="D35" s="17">
        <v>209.79</v>
      </c>
      <c r="E35" s="17">
        <v>189.52</v>
      </c>
      <c r="F35" s="17">
        <v>172.89</v>
      </c>
      <c r="G35" s="17">
        <v>158.97</v>
      </c>
      <c r="H35" s="17">
        <v>33.51</v>
      </c>
      <c r="I35" s="17">
        <v>70.59</v>
      </c>
      <c r="J35" s="17">
        <v>63.41</v>
      </c>
      <c r="K35" s="17">
        <v>69.48</v>
      </c>
      <c r="L35" s="17">
        <v>63.72</v>
      </c>
      <c r="M35" s="17">
        <v>39.130000000000003</v>
      </c>
      <c r="N35" s="17">
        <v>23.58</v>
      </c>
      <c r="O35" s="17">
        <v>22.3</v>
      </c>
      <c r="P35" s="17">
        <v>20.05</v>
      </c>
      <c r="Q35" s="17">
        <v>14.05</v>
      </c>
      <c r="R35" s="17">
        <v>15.93</v>
      </c>
      <c r="S35" s="17">
        <v>15</v>
      </c>
      <c r="T35" s="17">
        <v>14.52</v>
      </c>
      <c r="U35" s="17">
        <v>5</v>
      </c>
      <c r="V35" s="17">
        <v>8.91</v>
      </c>
      <c r="W35" s="17">
        <v>1.91</v>
      </c>
      <c r="X35" s="17">
        <v>4.42</v>
      </c>
      <c r="Y35" s="17">
        <v>2.67</v>
      </c>
      <c r="Z35" s="17">
        <v>3.97</v>
      </c>
      <c r="AA35" s="17">
        <v>8.74</v>
      </c>
      <c r="AB35" s="17">
        <v>11.72</v>
      </c>
      <c r="AC35" s="17">
        <v>0</v>
      </c>
      <c r="AD35" s="17">
        <v>0</v>
      </c>
      <c r="AE35" s="17">
        <v>2.67</v>
      </c>
      <c r="AF35" s="17">
        <v>0</v>
      </c>
      <c r="AG35" s="17">
        <v>0</v>
      </c>
      <c r="AH35" s="17">
        <v>0</v>
      </c>
      <c r="AI35" s="17">
        <f t="shared" si="3"/>
        <v>1</v>
      </c>
      <c r="AJ35" s="17">
        <f t="shared" si="4"/>
        <v>31</v>
      </c>
      <c r="AK35" s="17">
        <f t="shared" si="5"/>
        <v>7</v>
      </c>
      <c r="AL35" s="17">
        <f t="shared" si="6"/>
        <v>1</v>
      </c>
      <c r="AM35" s="17">
        <f>VLOOKUP(AK35,Sheet1!$A$2:$B$25,2,FALSE)</f>
        <v>1</v>
      </c>
    </row>
    <row r="36" spans="1:39" s="17" customFormat="1" x14ac:dyDescent="0.25">
      <c r="A36" s="21">
        <v>44592.322916666664</v>
      </c>
      <c r="B36" s="17">
        <v>835.47</v>
      </c>
      <c r="C36" s="17">
        <v>284.60000000000002</v>
      </c>
      <c r="D36" s="17">
        <v>267.82</v>
      </c>
      <c r="E36" s="17">
        <v>186.47</v>
      </c>
      <c r="F36" s="17">
        <v>200.81</v>
      </c>
      <c r="G36" s="17">
        <v>156.58000000000001</v>
      </c>
      <c r="H36" s="17">
        <v>68.760000000000005</v>
      </c>
      <c r="I36" s="17">
        <v>58.52</v>
      </c>
      <c r="J36" s="17">
        <v>65.709999999999994</v>
      </c>
      <c r="K36" s="17">
        <v>69.209999999999994</v>
      </c>
      <c r="L36" s="17">
        <v>63.45</v>
      </c>
      <c r="M36" s="17">
        <v>35.93</v>
      </c>
      <c r="N36" s="17">
        <v>23.05</v>
      </c>
      <c r="O36" s="17">
        <v>25.73</v>
      </c>
      <c r="P36" s="17">
        <v>19.04</v>
      </c>
      <c r="Q36" s="17">
        <v>14.99</v>
      </c>
      <c r="R36" s="17">
        <v>15.65</v>
      </c>
      <c r="S36" s="17">
        <v>11.49</v>
      </c>
      <c r="T36" s="17">
        <v>13.31</v>
      </c>
      <c r="U36" s="17">
        <v>4.76</v>
      </c>
      <c r="V36" s="17">
        <v>6.93</v>
      </c>
      <c r="W36" s="17">
        <v>4.5999999999999996</v>
      </c>
      <c r="X36" s="17">
        <v>3.1</v>
      </c>
      <c r="Y36" s="17">
        <v>3.65</v>
      </c>
      <c r="Z36" s="17">
        <v>4.42</v>
      </c>
      <c r="AA36" s="17">
        <v>8.3699999999999992</v>
      </c>
      <c r="AB36" s="17">
        <v>10.97</v>
      </c>
      <c r="AC36" s="17">
        <v>0</v>
      </c>
      <c r="AD36" s="17">
        <v>0</v>
      </c>
      <c r="AE36" s="17">
        <v>2.86</v>
      </c>
      <c r="AF36" s="17">
        <v>0</v>
      </c>
      <c r="AG36" s="17">
        <v>0</v>
      </c>
      <c r="AH36" s="17">
        <v>0</v>
      </c>
      <c r="AI36" s="17">
        <f t="shared" si="3"/>
        <v>1</v>
      </c>
      <c r="AJ36" s="17">
        <f t="shared" si="4"/>
        <v>31</v>
      </c>
      <c r="AK36" s="17">
        <f t="shared" si="5"/>
        <v>7</v>
      </c>
      <c r="AL36" s="17">
        <f t="shared" si="6"/>
        <v>1</v>
      </c>
      <c r="AM36" s="17">
        <f>VLOOKUP(AK36,Sheet1!$A$2:$B$25,2,FALSE)</f>
        <v>1</v>
      </c>
    </row>
    <row r="37" spans="1:39" s="17" customFormat="1" x14ac:dyDescent="0.25">
      <c r="A37" s="21">
        <v>44592.333333333336</v>
      </c>
      <c r="B37" s="17">
        <v>873.34</v>
      </c>
      <c r="C37" s="17">
        <v>278.89</v>
      </c>
      <c r="D37" s="17">
        <v>296.52999999999997</v>
      </c>
      <c r="E37" s="17">
        <v>187.08</v>
      </c>
      <c r="F37" s="17">
        <v>210.73</v>
      </c>
      <c r="G37" s="17">
        <v>149.63999999999999</v>
      </c>
      <c r="H37" s="17">
        <v>84.57</v>
      </c>
      <c r="I37" s="17">
        <v>78.28</v>
      </c>
      <c r="J37" s="17">
        <v>62.85</v>
      </c>
      <c r="K37" s="17">
        <v>66.34</v>
      </c>
      <c r="L37" s="17">
        <v>61.74</v>
      </c>
      <c r="M37" s="17">
        <v>40.47</v>
      </c>
      <c r="N37" s="17">
        <v>22.66</v>
      </c>
      <c r="O37" s="17">
        <v>23.93</v>
      </c>
      <c r="P37" s="17">
        <v>20.61</v>
      </c>
      <c r="Q37" s="17">
        <v>14.74</v>
      </c>
      <c r="R37" s="17">
        <v>13.72</v>
      </c>
      <c r="S37" s="17">
        <v>9.7799999999999994</v>
      </c>
      <c r="T37" s="17">
        <v>12.52</v>
      </c>
      <c r="U37" s="17">
        <v>4.75</v>
      </c>
      <c r="V37" s="17">
        <v>8.52</v>
      </c>
      <c r="W37" s="17">
        <v>5.78</v>
      </c>
      <c r="X37" s="17">
        <v>3.32</v>
      </c>
      <c r="Y37" s="17">
        <v>6.84</v>
      </c>
      <c r="Z37" s="17">
        <v>7.87</v>
      </c>
      <c r="AA37" s="17">
        <v>9.08</v>
      </c>
      <c r="AB37" s="17">
        <v>2.2799999999999998</v>
      </c>
      <c r="AC37" s="17">
        <v>1.7</v>
      </c>
      <c r="AD37" s="17">
        <v>0</v>
      </c>
      <c r="AE37" s="17">
        <v>2.59</v>
      </c>
      <c r="AF37" s="17">
        <v>0</v>
      </c>
      <c r="AG37" s="17">
        <v>0</v>
      </c>
      <c r="AH37" s="17">
        <v>0</v>
      </c>
      <c r="AI37" s="17">
        <f t="shared" si="3"/>
        <v>1</v>
      </c>
      <c r="AJ37" s="17">
        <f t="shared" si="4"/>
        <v>31</v>
      </c>
      <c r="AK37" s="17">
        <f t="shared" si="5"/>
        <v>8</v>
      </c>
      <c r="AL37" s="17">
        <f t="shared" si="6"/>
        <v>1</v>
      </c>
      <c r="AM37" s="17">
        <f>VLOOKUP(AK37,Sheet1!$A$2:$B$25,2,FALSE)</f>
        <v>1</v>
      </c>
    </row>
    <row r="38" spans="1:39" s="17" customFormat="1" x14ac:dyDescent="0.25">
      <c r="A38" s="21">
        <v>44592.34375</v>
      </c>
      <c r="B38" s="17">
        <v>764.15</v>
      </c>
      <c r="C38" s="17">
        <v>189.54</v>
      </c>
      <c r="D38" s="17">
        <v>301.02999999999997</v>
      </c>
      <c r="E38" s="17">
        <v>104.13</v>
      </c>
      <c r="F38" s="17">
        <v>214.02</v>
      </c>
      <c r="G38" s="17">
        <v>143.79</v>
      </c>
      <c r="H38" s="17">
        <v>86.64</v>
      </c>
      <c r="I38" s="17">
        <v>64.56</v>
      </c>
      <c r="J38" s="17">
        <v>29.65</v>
      </c>
      <c r="K38" s="17">
        <v>65.55</v>
      </c>
      <c r="L38" s="17">
        <v>65.3</v>
      </c>
      <c r="M38" s="17">
        <v>41.7</v>
      </c>
      <c r="N38" s="17">
        <v>22.68</v>
      </c>
      <c r="O38" s="17">
        <v>10.34</v>
      </c>
      <c r="P38" s="17">
        <v>16.11</v>
      </c>
      <c r="Q38" s="17">
        <v>6.09</v>
      </c>
      <c r="R38" s="17">
        <v>11.31</v>
      </c>
      <c r="S38" s="17">
        <v>7.24</v>
      </c>
      <c r="T38" s="17">
        <v>12.93</v>
      </c>
      <c r="U38" s="17">
        <v>3.65</v>
      </c>
      <c r="V38" s="17">
        <v>9.74</v>
      </c>
      <c r="W38" s="17">
        <v>5.78</v>
      </c>
      <c r="X38" s="17">
        <v>7.43</v>
      </c>
      <c r="Y38" s="17">
        <v>8.16</v>
      </c>
      <c r="Z38" s="17">
        <v>8.4</v>
      </c>
      <c r="AA38" s="17">
        <v>8.16</v>
      </c>
      <c r="AB38" s="17">
        <v>0</v>
      </c>
      <c r="AC38" s="17">
        <v>0</v>
      </c>
      <c r="AD38" s="17">
        <v>0</v>
      </c>
      <c r="AE38" s="17">
        <v>1.35</v>
      </c>
      <c r="AF38" s="17">
        <v>0</v>
      </c>
      <c r="AG38" s="17">
        <v>0</v>
      </c>
      <c r="AH38" s="17">
        <v>0</v>
      </c>
      <c r="AI38" s="17">
        <f t="shared" si="3"/>
        <v>1</v>
      </c>
      <c r="AJ38" s="17">
        <f t="shared" si="4"/>
        <v>31</v>
      </c>
      <c r="AK38" s="17">
        <f t="shared" si="5"/>
        <v>8</v>
      </c>
      <c r="AL38" s="17">
        <f t="shared" si="6"/>
        <v>1</v>
      </c>
      <c r="AM38" s="17">
        <f>VLOOKUP(AK38,Sheet1!$A$2:$B$25,2,FALSE)</f>
        <v>1</v>
      </c>
    </row>
    <row r="39" spans="1:39" s="17" customFormat="1" x14ac:dyDescent="0.25">
      <c r="A39" s="21">
        <v>44592.354166666664</v>
      </c>
      <c r="B39" s="17">
        <v>800.79</v>
      </c>
      <c r="C39" s="17">
        <v>231.2</v>
      </c>
      <c r="D39" s="17">
        <v>290.57</v>
      </c>
      <c r="E39" s="17">
        <v>166.9</v>
      </c>
      <c r="F39" s="17">
        <v>212.66</v>
      </c>
      <c r="G39" s="17">
        <v>155.16</v>
      </c>
      <c r="H39" s="17">
        <v>85.77</v>
      </c>
      <c r="I39" s="17">
        <v>58.34</v>
      </c>
      <c r="J39" s="17">
        <v>25.56</v>
      </c>
      <c r="K39" s="17">
        <v>69.31</v>
      </c>
      <c r="L39" s="17">
        <v>68.650000000000006</v>
      </c>
      <c r="M39" s="17">
        <v>40.409999999999997</v>
      </c>
      <c r="N39" s="17">
        <v>23.71</v>
      </c>
      <c r="O39" s="17">
        <v>11.43</v>
      </c>
      <c r="P39" s="17">
        <v>15.98</v>
      </c>
      <c r="Q39" s="17">
        <v>10.32</v>
      </c>
      <c r="R39" s="17">
        <v>15.48</v>
      </c>
      <c r="S39" s="17">
        <v>12.76</v>
      </c>
      <c r="T39" s="17">
        <v>11.13</v>
      </c>
      <c r="U39" s="17">
        <v>2</v>
      </c>
      <c r="V39" s="17">
        <v>11.11</v>
      </c>
      <c r="W39" s="17">
        <v>5.8</v>
      </c>
      <c r="X39" s="17">
        <v>8.9600000000000009</v>
      </c>
      <c r="Y39" s="17">
        <v>8.07</v>
      </c>
      <c r="Z39" s="17">
        <v>8.6300000000000008</v>
      </c>
      <c r="AA39" s="17">
        <v>0</v>
      </c>
      <c r="AB39" s="17">
        <v>0</v>
      </c>
      <c r="AC39" s="17">
        <v>0</v>
      </c>
      <c r="AD39" s="17">
        <v>0</v>
      </c>
      <c r="AE39" s="17">
        <v>2.71</v>
      </c>
      <c r="AF39" s="17">
        <v>0</v>
      </c>
      <c r="AG39" s="17">
        <v>0</v>
      </c>
      <c r="AH39" s="17">
        <v>0</v>
      </c>
      <c r="AI39" s="17">
        <f t="shared" si="3"/>
        <v>1</v>
      </c>
      <c r="AJ39" s="17">
        <f t="shared" si="4"/>
        <v>31</v>
      </c>
      <c r="AK39" s="17">
        <f t="shared" si="5"/>
        <v>8</v>
      </c>
      <c r="AL39" s="17">
        <f t="shared" si="6"/>
        <v>1</v>
      </c>
      <c r="AM39" s="17">
        <f>VLOOKUP(AK39,Sheet1!$A$2:$B$25,2,FALSE)</f>
        <v>1</v>
      </c>
    </row>
    <row r="40" spans="1:39" s="17" customFormat="1" x14ac:dyDescent="0.25">
      <c r="A40" s="21">
        <v>44592.364583333336</v>
      </c>
      <c r="B40" s="17">
        <v>853.23</v>
      </c>
      <c r="C40" s="17">
        <v>235.96</v>
      </c>
      <c r="D40" s="17">
        <v>302.60000000000002</v>
      </c>
      <c r="E40" s="17">
        <v>167.4</v>
      </c>
      <c r="F40" s="17">
        <v>211.42</v>
      </c>
      <c r="G40" s="17">
        <v>155.47</v>
      </c>
      <c r="H40" s="17">
        <v>87.04</v>
      </c>
      <c r="I40" s="17">
        <v>77.83</v>
      </c>
      <c r="J40" s="17">
        <v>34.39</v>
      </c>
      <c r="K40" s="17">
        <v>69.27</v>
      </c>
      <c r="L40" s="17">
        <v>67.84</v>
      </c>
      <c r="M40" s="17">
        <v>40.47</v>
      </c>
      <c r="N40" s="17">
        <v>20.91</v>
      </c>
      <c r="O40" s="17">
        <v>17.63</v>
      </c>
      <c r="P40" s="17">
        <v>19.27</v>
      </c>
      <c r="Q40" s="17">
        <v>11.55</v>
      </c>
      <c r="R40" s="17">
        <v>15.63</v>
      </c>
      <c r="S40" s="17">
        <v>19.72</v>
      </c>
      <c r="T40" s="17">
        <v>11.48</v>
      </c>
      <c r="U40" s="17">
        <v>2.0499999999999998</v>
      </c>
      <c r="V40" s="17">
        <v>3.84</v>
      </c>
      <c r="W40" s="17">
        <v>5.8</v>
      </c>
      <c r="X40" s="17">
        <v>7.61</v>
      </c>
      <c r="Y40" s="17">
        <v>7.98</v>
      </c>
      <c r="Z40" s="17">
        <v>8.25</v>
      </c>
      <c r="AA40" s="17">
        <v>2.6</v>
      </c>
      <c r="AB40" s="17">
        <v>3.54</v>
      </c>
      <c r="AC40" s="17">
        <v>8.5399999999999991</v>
      </c>
      <c r="AD40" s="17">
        <v>0</v>
      </c>
      <c r="AE40" s="17">
        <v>2.92</v>
      </c>
      <c r="AF40" s="17">
        <v>0</v>
      </c>
      <c r="AG40" s="17">
        <v>0.105</v>
      </c>
      <c r="AH40" s="17">
        <v>0</v>
      </c>
      <c r="AI40" s="17">
        <f t="shared" si="3"/>
        <v>1</v>
      </c>
      <c r="AJ40" s="17">
        <f t="shared" si="4"/>
        <v>31</v>
      </c>
      <c r="AK40" s="17">
        <f t="shared" si="5"/>
        <v>8</v>
      </c>
      <c r="AL40" s="17">
        <f t="shared" si="6"/>
        <v>1</v>
      </c>
      <c r="AM40" s="17">
        <f>VLOOKUP(AK40,Sheet1!$A$2:$B$25,2,FALSE)</f>
        <v>1</v>
      </c>
    </row>
    <row r="41" spans="1:39" s="17" customFormat="1" x14ac:dyDescent="0.25">
      <c r="A41" s="21">
        <v>44592.375</v>
      </c>
      <c r="B41" s="17">
        <v>708.87</v>
      </c>
      <c r="C41" s="17">
        <v>199.44</v>
      </c>
      <c r="D41" s="17">
        <v>224.63</v>
      </c>
      <c r="E41" s="17">
        <v>169.83</v>
      </c>
      <c r="F41" s="17">
        <v>171.73</v>
      </c>
      <c r="G41" s="17">
        <v>158.22</v>
      </c>
      <c r="H41" s="17">
        <v>33.74</v>
      </c>
      <c r="I41" s="17">
        <v>64.69</v>
      </c>
      <c r="J41" s="17">
        <v>14.89</v>
      </c>
      <c r="K41" s="17">
        <v>69.569999999999993</v>
      </c>
      <c r="L41" s="17">
        <v>22.4</v>
      </c>
      <c r="M41" s="17">
        <v>43.7</v>
      </c>
      <c r="N41" s="17">
        <v>21.5</v>
      </c>
      <c r="O41" s="17">
        <v>4.59</v>
      </c>
      <c r="P41" s="17">
        <v>12.65</v>
      </c>
      <c r="Q41" s="17">
        <v>5.32</v>
      </c>
      <c r="R41" s="17">
        <v>15.89</v>
      </c>
      <c r="S41" s="17">
        <v>13.27</v>
      </c>
      <c r="T41" s="17">
        <v>12.58</v>
      </c>
      <c r="U41" s="17">
        <v>1.91</v>
      </c>
      <c r="V41" s="17">
        <v>11.31</v>
      </c>
      <c r="W41" s="17">
        <v>2.67</v>
      </c>
      <c r="X41" s="17">
        <v>10.27</v>
      </c>
      <c r="Y41" s="17">
        <v>6.94</v>
      </c>
      <c r="Z41" s="17">
        <v>5.64</v>
      </c>
      <c r="AA41" s="17">
        <v>1.25</v>
      </c>
      <c r="AB41" s="17">
        <v>0.56289999999999996</v>
      </c>
      <c r="AC41" s="17">
        <v>0</v>
      </c>
      <c r="AD41" s="17">
        <v>0</v>
      </c>
      <c r="AE41" s="17">
        <v>2.7</v>
      </c>
      <c r="AF41" s="17">
        <v>0</v>
      </c>
      <c r="AG41" s="17">
        <v>3.09</v>
      </c>
      <c r="AH41" s="17">
        <v>0</v>
      </c>
      <c r="AI41" s="17">
        <f t="shared" si="3"/>
        <v>1</v>
      </c>
      <c r="AJ41" s="17">
        <f t="shared" si="4"/>
        <v>31</v>
      </c>
      <c r="AK41" s="17">
        <f t="shared" si="5"/>
        <v>9</v>
      </c>
      <c r="AL41" s="17">
        <f t="shared" si="6"/>
        <v>1</v>
      </c>
      <c r="AM41" s="17">
        <f>VLOOKUP(AK41,Sheet1!$A$2:$B$25,2,FALSE)</f>
        <v>1</v>
      </c>
    </row>
    <row r="42" spans="1:39" s="17" customFormat="1" x14ac:dyDescent="0.25">
      <c r="A42" s="21">
        <v>44592.385416666664</v>
      </c>
      <c r="B42" s="17">
        <v>789.46</v>
      </c>
      <c r="C42" s="17">
        <v>227.57</v>
      </c>
      <c r="D42" s="17">
        <v>270.02999999999997</v>
      </c>
      <c r="E42" s="17">
        <v>168.42</v>
      </c>
      <c r="F42" s="17">
        <v>199.08</v>
      </c>
      <c r="G42" s="17">
        <v>156.68</v>
      </c>
      <c r="H42" s="17">
        <v>71.92</v>
      </c>
      <c r="I42" s="17">
        <v>57.5</v>
      </c>
      <c r="J42" s="17">
        <v>34.090000000000003</v>
      </c>
      <c r="K42" s="17">
        <v>69.819999999999993</v>
      </c>
      <c r="L42" s="17">
        <v>54.26</v>
      </c>
      <c r="M42" s="17">
        <v>41.01</v>
      </c>
      <c r="N42" s="17">
        <v>20.69</v>
      </c>
      <c r="O42" s="17">
        <v>0</v>
      </c>
      <c r="P42" s="17">
        <v>19.71</v>
      </c>
      <c r="Q42" s="17">
        <v>1.44</v>
      </c>
      <c r="R42" s="17">
        <v>15.38</v>
      </c>
      <c r="S42" s="17">
        <v>10.7</v>
      </c>
      <c r="T42" s="17">
        <v>12.89</v>
      </c>
      <c r="U42" s="17">
        <v>2.17</v>
      </c>
      <c r="V42" s="17">
        <v>11.57</v>
      </c>
      <c r="W42" s="17">
        <v>4.43</v>
      </c>
      <c r="X42" s="17">
        <v>8.85</v>
      </c>
      <c r="Y42" s="17">
        <v>7.76</v>
      </c>
      <c r="Z42" s="17">
        <v>6.08</v>
      </c>
      <c r="AA42" s="17">
        <v>4.6500000000000004</v>
      </c>
      <c r="AB42" s="17">
        <v>7.52</v>
      </c>
      <c r="AC42" s="17">
        <v>0</v>
      </c>
      <c r="AD42" s="17">
        <v>0.84389999999999998</v>
      </c>
      <c r="AE42" s="17">
        <v>2.75</v>
      </c>
      <c r="AF42" s="17">
        <v>0</v>
      </c>
      <c r="AG42" s="17">
        <v>0</v>
      </c>
      <c r="AH42" s="17">
        <v>0</v>
      </c>
      <c r="AI42" s="17">
        <f t="shared" si="3"/>
        <v>1</v>
      </c>
      <c r="AJ42" s="17">
        <f t="shared" si="4"/>
        <v>31</v>
      </c>
      <c r="AK42" s="17">
        <f t="shared" si="5"/>
        <v>9</v>
      </c>
      <c r="AL42" s="17">
        <f t="shared" si="6"/>
        <v>1</v>
      </c>
      <c r="AM42" s="17">
        <f>VLOOKUP(AK42,Sheet1!$A$2:$B$25,2,FALSE)</f>
        <v>1</v>
      </c>
    </row>
    <row r="43" spans="1:39" s="17" customFormat="1" x14ac:dyDescent="0.25">
      <c r="A43" s="21">
        <v>44592.395833333336</v>
      </c>
      <c r="B43" s="17">
        <v>826.77</v>
      </c>
      <c r="C43" s="17">
        <v>227.09</v>
      </c>
      <c r="D43" s="17">
        <v>295.62</v>
      </c>
      <c r="E43" s="17">
        <v>169.26</v>
      </c>
      <c r="F43" s="17">
        <v>215.47</v>
      </c>
      <c r="G43" s="17">
        <v>157.13999999999999</v>
      </c>
      <c r="H43" s="17">
        <v>84.35</v>
      </c>
      <c r="I43" s="17">
        <v>68.290000000000006</v>
      </c>
      <c r="J43" s="17">
        <v>36.83</v>
      </c>
      <c r="K43" s="17">
        <v>70.290000000000006</v>
      </c>
      <c r="L43" s="17">
        <v>51.18</v>
      </c>
      <c r="M43" s="17">
        <v>40.47</v>
      </c>
      <c r="N43" s="17">
        <v>20.82</v>
      </c>
      <c r="O43" s="17">
        <v>8.0299999999999994</v>
      </c>
      <c r="P43" s="17">
        <v>25.06</v>
      </c>
      <c r="Q43" s="17">
        <v>5.53</v>
      </c>
      <c r="R43" s="17">
        <v>14.95</v>
      </c>
      <c r="S43" s="17">
        <v>7.43</v>
      </c>
      <c r="T43" s="17">
        <v>11.72</v>
      </c>
      <c r="U43" s="17">
        <v>1.88</v>
      </c>
      <c r="V43" s="17">
        <v>5.93</v>
      </c>
      <c r="W43" s="17">
        <v>5.44</v>
      </c>
      <c r="X43" s="17">
        <v>10.57</v>
      </c>
      <c r="Y43" s="17">
        <v>8.02</v>
      </c>
      <c r="Z43" s="17">
        <v>8.26</v>
      </c>
      <c r="AA43" s="17">
        <v>2.09</v>
      </c>
      <c r="AB43" s="17">
        <v>10.79</v>
      </c>
      <c r="AC43" s="17">
        <v>0.4768</v>
      </c>
      <c r="AD43" s="17">
        <v>0</v>
      </c>
      <c r="AE43" s="17">
        <v>2.94</v>
      </c>
      <c r="AF43" s="17">
        <v>0.38129999999999997</v>
      </c>
      <c r="AG43" s="17">
        <v>0</v>
      </c>
      <c r="AH43" s="17">
        <v>0</v>
      </c>
      <c r="AI43" s="17">
        <f t="shared" si="3"/>
        <v>1</v>
      </c>
      <c r="AJ43" s="17">
        <f t="shared" si="4"/>
        <v>31</v>
      </c>
      <c r="AK43" s="17">
        <f t="shared" si="5"/>
        <v>9</v>
      </c>
      <c r="AL43" s="17">
        <f t="shared" si="6"/>
        <v>1</v>
      </c>
      <c r="AM43" s="17">
        <f>VLOOKUP(AK43,Sheet1!$A$2:$B$25,2,FALSE)</f>
        <v>1</v>
      </c>
    </row>
    <row r="44" spans="1:39" s="17" customFormat="1" x14ac:dyDescent="0.25">
      <c r="A44" s="21">
        <v>44592.40625</v>
      </c>
      <c r="B44" s="17">
        <v>839.65</v>
      </c>
      <c r="C44" s="17">
        <v>236.34</v>
      </c>
      <c r="D44" s="17">
        <v>295.56</v>
      </c>
      <c r="E44" s="17">
        <v>174.86</v>
      </c>
      <c r="F44" s="17">
        <v>212.55</v>
      </c>
      <c r="G44" s="17">
        <v>157.44</v>
      </c>
      <c r="H44" s="17">
        <v>86.4</v>
      </c>
      <c r="I44" s="17">
        <v>71.67</v>
      </c>
      <c r="J44" s="17">
        <v>35.33</v>
      </c>
      <c r="K44" s="17">
        <v>69.86</v>
      </c>
      <c r="L44" s="17">
        <v>51.36</v>
      </c>
      <c r="M44" s="17">
        <v>40.83</v>
      </c>
      <c r="N44" s="17">
        <v>22.33</v>
      </c>
      <c r="O44" s="17">
        <v>13.81</v>
      </c>
      <c r="P44" s="17">
        <v>19.079999999999998</v>
      </c>
      <c r="Q44" s="17">
        <v>6.08</v>
      </c>
      <c r="R44" s="17">
        <v>15.59</v>
      </c>
      <c r="S44" s="17">
        <v>16.11</v>
      </c>
      <c r="T44" s="17">
        <v>12.29</v>
      </c>
      <c r="U44" s="17">
        <v>2.3199999999999998</v>
      </c>
      <c r="V44" s="17">
        <v>7.02</v>
      </c>
      <c r="W44" s="17">
        <v>5.46</v>
      </c>
      <c r="X44" s="17">
        <v>1.4</v>
      </c>
      <c r="Y44" s="17">
        <v>8.32</v>
      </c>
      <c r="Z44" s="17">
        <v>8.51</v>
      </c>
      <c r="AA44" s="17">
        <v>5.0999999999999996</v>
      </c>
      <c r="AB44" s="17">
        <v>10.9</v>
      </c>
      <c r="AC44" s="17">
        <v>1.7</v>
      </c>
      <c r="AD44" s="17">
        <v>0.50600000000000001</v>
      </c>
      <c r="AE44" s="17">
        <v>2.93</v>
      </c>
      <c r="AF44" s="17">
        <v>0.1263</v>
      </c>
      <c r="AG44" s="17">
        <v>0</v>
      </c>
      <c r="AH44" s="17">
        <v>0</v>
      </c>
      <c r="AI44" s="17">
        <f t="shared" si="3"/>
        <v>1</v>
      </c>
      <c r="AJ44" s="17">
        <f t="shared" si="4"/>
        <v>31</v>
      </c>
      <c r="AK44" s="17">
        <f t="shared" si="5"/>
        <v>9</v>
      </c>
      <c r="AL44" s="17">
        <f t="shared" si="6"/>
        <v>1</v>
      </c>
      <c r="AM44" s="17">
        <f>VLOOKUP(AK44,Sheet1!$A$2:$B$25,2,FALSE)</f>
        <v>1</v>
      </c>
    </row>
    <row r="45" spans="1:39" s="17" customFormat="1" x14ac:dyDescent="0.25">
      <c r="A45" s="21">
        <v>44592.416666666664</v>
      </c>
      <c r="B45" s="17">
        <v>748.98</v>
      </c>
      <c r="C45" s="17">
        <v>235.67</v>
      </c>
      <c r="D45" s="17">
        <v>298.5</v>
      </c>
      <c r="E45" s="17">
        <v>175.55</v>
      </c>
      <c r="F45" s="17">
        <v>213.4</v>
      </c>
      <c r="G45" s="17">
        <v>87.4</v>
      </c>
      <c r="H45" s="17">
        <v>84.2</v>
      </c>
      <c r="I45" s="17">
        <v>59.08</v>
      </c>
      <c r="J45" s="17">
        <v>34.46</v>
      </c>
      <c r="K45" s="17">
        <v>35.61</v>
      </c>
      <c r="L45" s="17">
        <v>54.34</v>
      </c>
      <c r="M45" s="17">
        <v>41.3</v>
      </c>
      <c r="N45" s="17">
        <v>22.15</v>
      </c>
      <c r="O45" s="17">
        <v>12.6</v>
      </c>
      <c r="P45" s="17">
        <v>17.170000000000002</v>
      </c>
      <c r="Q45" s="17">
        <v>8.4600000000000009</v>
      </c>
      <c r="R45" s="17">
        <v>9.67</v>
      </c>
      <c r="S45" s="17">
        <v>14.19</v>
      </c>
      <c r="T45" s="17">
        <v>12.11</v>
      </c>
      <c r="U45" s="17">
        <v>3.78</v>
      </c>
      <c r="V45" s="17">
        <v>7.16</v>
      </c>
      <c r="W45" s="17">
        <v>5.55</v>
      </c>
      <c r="X45" s="17">
        <v>3.76</v>
      </c>
      <c r="Y45" s="17">
        <v>8.1999999999999993</v>
      </c>
      <c r="Z45" s="17">
        <v>8.48</v>
      </c>
      <c r="AA45" s="17">
        <v>2.46</v>
      </c>
      <c r="AB45" s="17">
        <v>6.9</v>
      </c>
      <c r="AC45" s="17">
        <v>0</v>
      </c>
      <c r="AD45" s="17">
        <v>0</v>
      </c>
      <c r="AE45" s="17">
        <v>1.29</v>
      </c>
      <c r="AF45" s="17">
        <v>0.11210000000000001</v>
      </c>
      <c r="AG45" s="17">
        <v>0</v>
      </c>
      <c r="AH45" s="17">
        <v>0</v>
      </c>
      <c r="AI45" s="17">
        <f t="shared" si="3"/>
        <v>1</v>
      </c>
      <c r="AJ45" s="17">
        <f t="shared" si="4"/>
        <v>31</v>
      </c>
      <c r="AK45" s="17">
        <f t="shared" si="5"/>
        <v>10</v>
      </c>
      <c r="AL45" s="17">
        <f t="shared" si="6"/>
        <v>1</v>
      </c>
      <c r="AM45" s="17">
        <f>VLOOKUP(AK45,Sheet1!$A$2:$B$25,2,FALSE)</f>
        <v>1</v>
      </c>
    </row>
    <row r="46" spans="1:39" s="17" customFormat="1" x14ac:dyDescent="0.25">
      <c r="A46" s="21">
        <v>44592.427083333336</v>
      </c>
      <c r="B46" s="17">
        <v>776.67</v>
      </c>
      <c r="C46" s="17">
        <v>247.94</v>
      </c>
      <c r="D46" s="17">
        <v>304.83999999999997</v>
      </c>
      <c r="E46" s="17">
        <v>179.78</v>
      </c>
      <c r="F46" s="17">
        <v>214.95</v>
      </c>
      <c r="G46" s="17">
        <v>96.92</v>
      </c>
      <c r="H46" s="17">
        <v>86.55</v>
      </c>
      <c r="I46" s="17">
        <v>65.55</v>
      </c>
      <c r="J46" s="17">
        <v>43.22</v>
      </c>
      <c r="K46" s="17">
        <v>40.83</v>
      </c>
      <c r="L46" s="17">
        <v>57.68</v>
      </c>
      <c r="M46" s="17">
        <v>48.09</v>
      </c>
      <c r="N46" s="17">
        <v>22.98</v>
      </c>
      <c r="O46" s="17">
        <v>18.190000000000001</v>
      </c>
      <c r="P46" s="17">
        <v>17.25</v>
      </c>
      <c r="Q46" s="17">
        <v>9.09</v>
      </c>
      <c r="R46" s="17">
        <v>7.96</v>
      </c>
      <c r="S46" s="17">
        <v>8.76</v>
      </c>
      <c r="T46" s="17">
        <v>12.9</v>
      </c>
      <c r="U46" s="17">
        <v>3.8</v>
      </c>
      <c r="V46" s="17">
        <v>10.11</v>
      </c>
      <c r="W46" s="17">
        <v>5.57</v>
      </c>
      <c r="X46" s="17">
        <v>3.89</v>
      </c>
      <c r="Y46" s="17">
        <v>8.23</v>
      </c>
      <c r="Z46" s="17">
        <v>8.36</v>
      </c>
      <c r="AA46" s="17">
        <v>4.82</v>
      </c>
      <c r="AB46" s="17">
        <v>0</v>
      </c>
      <c r="AC46" s="17">
        <v>0</v>
      </c>
      <c r="AD46" s="17">
        <v>0</v>
      </c>
      <c r="AE46" s="17">
        <v>0</v>
      </c>
      <c r="AF46" s="17">
        <v>0</v>
      </c>
      <c r="AG46" s="17">
        <v>0</v>
      </c>
      <c r="AH46" s="17">
        <v>0</v>
      </c>
      <c r="AI46" s="17">
        <f t="shared" si="3"/>
        <v>1</v>
      </c>
      <c r="AJ46" s="17">
        <f t="shared" si="4"/>
        <v>31</v>
      </c>
      <c r="AK46" s="17">
        <f t="shared" si="5"/>
        <v>10</v>
      </c>
      <c r="AL46" s="17">
        <f t="shared" si="6"/>
        <v>1</v>
      </c>
      <c r="AM46" s="17">
        <f>VLOOKUP(AK46,Sheet1!$A$2:$B$25,2,FALSE)</f>
        <v>1</v>
      </c>
    </row>
    <row r="47" spans="1:39" s="17" customFormat="1" x14ac:dyDescent="0.25">
      <c r="A47" s="21">
        <v>44592.4375</v>
      </c>
      <c r="B47" s="17">
        <v>797.52</v>
      </c>
      <c r="C47" s="17">
        <v>225.95</v>
      </c>
      <c r="D47" s="17">
        <v>301.37</v>
      </c>
      <c r="E47" s="17">
        <v>169.07</v>
      </c>
      <c r="F47" s="17">
        <v>212.66</v>
      </c>
      <c r="G47" s="17">
        <v>131.94</v>
      </c>
      <c r="H47" s="17">
        <v>87.43</v>
      </c>
      <c r="I47" s="17">
        <v>73.16</v>
      </c>
      <c r="J47" s="17">
        <v>28.87</v>
      </c>
      <c r="K47" s="17">
        <v>61.03</v>
      </c>
      <c r="L47" s="17">
        <v>60.06</v>
      </c>
      <c r="M47" s="17">
        <v>48.44</v>
      </c>
      <c r="N47" s="17">
        <v>22.78</v>
      </c>
      <c r="O47" s="17">
        <v>9.0299999999999994</v>
      </c>
      <c r="P47" s="17">
        <v>19.89</v>
      </c>
      <c r="Q47" s="17">
        <v>9.2799999999999994</v>
      </c>
      <c r="R47" s="17">
        <v>7.86</v>
      </c>
      <c r="S47" s="17">
        <v>18.34</v>
      </c>
      <c r="T47" s="17">
        <v>14.44</v>
      </c>
      <c r="U47" s="17">
        <v>2.52</v>
      </c>
      <c r="V47" s="17">
        <v>5.67</v>
      </c>
      <c r="W47" s="17">
        <v>5.38</v>
      </c>
      <c r="X47" s="17">
        <v>4.8</v>
      </c>
      <c r="Y47" s="17">
        <v>8.09</v>
      </c>
      <c r="Z47" s="17">
        <v>8.31</v>
      </c>
      <c r="AA47" s="17">
        <v>0</v>
      </c>
      <c r="AB47" s="17">
        <v>0</v>
      </c>
      <c r="AC47" s="17">
        <v>0</v>
      </c>
      <c r="AD47" s="17">
        <v>0</v>
      </c>
      <c r="AE47" s="17">
        <v>0</v>
      </c>
      <c r="AF47" s="17">
        <v>0</v>
      </c>
      <c r="AG47" s="17">
        <v>0</v>
      </c>
      <c r="AH47" s="17">
        <v>0</v>
      </c>
      <c r="AI47" s="17">
        <f t="shared" si="3"/>
        <v>1</v>
      </c>
      <c r="AJ47" s="17">
        <f t="shared" si="4"/>
        <v>31</v>
      </c>
      <c r="AK47" s="17">
        <f t="shared" si="5"/>
        <v>10</v>
      </c>
      <c r="AL47" s="17">
        <f t="shared" si="6"/>
        <v>1</v>
      </c>
      <c r="AM47" s="17">
        <f>VLOOKUP(AK47,Sheet1!$A$2:$B$25,2,FALSE)</f>
        <v>1</v>
      </c>
    </row>
    <row r="48" spans="1:39" s="17" customFormat="1" x14ac:dyDescent="0.25">
      <c r="A48" s="21">
        <v>44592.447916666664</v>
      </c>
      <c r="B48" s="17">
        <v>805.96</v>
      </c>
      <c r="C48" s="17">
        <v>240.67</v>
      </c>
      <c r="D48" s="17">
        <v>303.08999999999997</v>
      </c>
      <c r="E48" s="17">
        <v>176.08</v>
      </c>
      <c r="F48" s="17">
        <v>212.73</v>
      </c>
      <c r="G48" s="17">
        <v>130.75</v>
      </c>
      <c r="H48" s="17">
        <v>86.92</v>
      </c>
      <c r="I48" s="17">
        <v>59.23</v>
      </c>
      <c r="J48" s="17">
        <v>38.799999999999997</v>
      </c>
      <c r="K48" s="17">
        <v>61.25</v>
      </c>
      <c r="L48" s="17">
        <v>59.64</v>
      </c>
      <c r="M48" s="17">
        <v>45.73</v>
      </c>
      <c r="N48" s="17">
        <v>22.23</v>
      </c>
      <c r="O48" s="17">
        <v>15.35</v>
      </c>
      <c r="P48" s="17">
        <v>19.09</v>
      </c>
      <c r="Q48" s="17">
        <v>8.76</v>
      </c>
      <c r="R48" s="17">
        <v>7.77</v>
      </c>
      <c r="S48" s="17">
        <v>16.98</v>
      </c>
      <c r="T48" s="17">
        <v>12.51</v>
      </c>
      <c r="U48" s="17">
        <v>3.03</v>
      </c>
      <c r="V48" s="17">
        <v>9.74</v>
      </c>
      <c r="W48" s="17">
        <v>5.26</v>
      </c>
      <c r="X48" s="17">
        <v>7.13</v>
      </c>
      <c r="Y48" s="17">
        <v>8.15</v>
      </c>
      <c r="Z48" s="17">
        <v>8.23</v>
      </c>
      <c r="AA48" s="17">
        <v>2.88</v>
      </c>
      <c r="AB48" s="17">
        <v>0</v>
      </c>
      <c r="AC48" s="17">
        <v>0</v>
      </c>
      <c r="AD48" s="17">
        <v>0</v>
      </c>
      <c r="AE48" s="17">
        <v>0</v>
      </c>
      <c r="AF48" s="17">
        <v>0</v>
      </c>
      <c r="AG48" s="17">
        <v>0</v>
      </c>
      <c r="AH48" s="17">
        <v>0</v>
      </c>
      <c r="AI48" s="17">
        <f t="shared" si="3"/>
        <v>1</v>
      </c>
      <c r="AJ48" s="17">
        <f t="shared" si="4"/>
        <v>31</v>
      </c>
      <c r="AK48" s="17">
        <f t="shared" si="5"/>
        <v>10</v>
      </c>
      <c r="AL48" s="17">
        <f t="shared" si="6"/>
        <v>1</v>
      </c>
      <c r="AM48" s="17">
        <f>VLOOKUP(AK48,Sheet1!$A$2:$B$25,2,FALSE)</f>
        <v>1</v>
      </c>
    </row>
    <row r="49" spans="1:39" s="17" customFormat="1" x14ac:dyDescent="0.25">
      <c r="A49" s="21">
        <v>44592.458333333336</v>
      </c>
      <c r="B49" s="17">
        <v>869.85</v>
      </c>
      <c r="C49" s="17">
        <v>300.64</v>
      </c>
      <c r="D49" s="17">
        <v>301.5</v>
      </c>
      <c r="E49" s="17">
        <v>201.37</v>
      </c>
      <c r="F49" s="17">
        <v>210.09</v>
      </c>
      <c r="G49" s="17">
        <v>130.16</v>
      </c>
      <c r="H49" s="17">
        <v>86.43</v>
      </c>
      <c r="I49" s="17">
        <v>69.959999999999994</v>
      </c>
      <c r="J49" s="17">
        <v>79.819999999999993</v>
      </c>
      <c r="K49" s="17">
        <v>61.43</v>
      </c>
      <c r="L49" s="17">
        <v>52.07</v>
      </c>
      <c r="M49" s="17">
        <v>46.62</v>
      </c>
      <c r="N49" s="17">
        <v>21.5</v>
      </c>
      <c r="O49" s="17">
        <v>26.53</v>
      </c>
      <c r="P49" s="17">
        <v>18.5</v>
      </c>
      <c r="Q49" s="17">
        <v>15.95</v>
      </c>
      <c r="R49" s="17">
        <v>7.42</v>
      </c>
      <c r="S49" s="17">
        <v>11.27</v>
      </c>
      <c r="T49" s="17">
        <v>11.21</v>
      </c>
      <c r="U49" s="17">
        <v>6.65</v>
      </c>
      <c r="V49" s="17">
        <v>9.15</v>
      </c>
      <c r="W49" s="17">
        <v>5.46</v>
      </c>
      <c r="X49" s="17">
        <v>3.94</v>
      </c>
      <c r="Y49" s="17">
        <v>8.39</v>
      </c>
      <c r="Z49" s="17">
        <v>8.36</v>
      </c>
      <c r="AA49" s="17">
        <v>7.99</v>
      </c>
      <c r="AB49" s="17">
        <v>0</v>
      </c>
      <c r="AC49" s="17">
        <v>0</v>
      </c>
      <c r="AD49" s="17">
        <v>0</v>
      </c>
      <c r="AE49" s="17">
        <v>0.31659999999999999</v>
      </c>
      <c r="AF49" s="17">
        <v>0</v>
      </c>
      <c r="AG49" s="17">
        <v>0</v>
      </c>
      <c r="AH49" s="17">
        <v>0</v>
      </c>
      <c r="AI49" s="17">
        <f t="shared" si="3"/>
        <v>1</v>
      </c>
      <c r="AJ49" s="17">
        <f t="shared" si="4"/>
        <v>31</v>
      </c>
      <c r="AK49" s="17">
        <f t="shared" si="5"/>
        <v>11</v>
      </c>
      <c r="AL49" s="17">
        <f t="shared" si="6"/>
        <v>1</v>
      </c>
      <c r="AM49" s="17">
        <f>VLOOKUP(AK49,Sheet1!$A$2:$B$25,2,FALSE)</f>
        <v>1</v>
      </c>
    </row>
    <row r="50" spans="1:39" s="17" customFormat="1" x14ac:dyDescent="0.25">
      <c r="A50" s="21">
        <v>44592.46875</v>
      </c>
      <c r="B50" s="17">
        <v>803.41</v>
      </c>
      <c r="C50" s="17">
        <v>304.19</v>
      </c>
      <c r="D50" s="17">
        <v>302.7</v>
      </c>
      <c r="E50" s="17">
        <v>201.9</v>
      </c>
      <c r="F50" s="17">
        <v>213.17</v>
      </c>
      <c r="G50" s="17">
        <v>73.09</v>
      </c>
      <c r="H50" s="17">
        <v>84.06</v>
      </c>
      <c r="I50" s="17">
        <v>68.02</v>
      </c>
      <c r="J50" s="17">
        <v>83.9</v>
      </c>
      <c r="K50" s="17">
        <v>36.479999999999997</v>
      </c>
      <c r="L50" s="17">
        <v>49.08</v>
      </c>
      <c r="M50" s="17">
        <v>47.1</v>
      </c>
      <c r="N50" s="17">
        <v>21.69</v>
      </c>
      <c r="O50" s="17">
        <v>27.6</v>
      </c>
      <c r="P50" s="17">
        <v>16.260000000000002</v>
      </c>
      <c r="Q50" s="17">
        <v>15.37</v>
      </c>
      <c r="R50" s="17">
        <v>1.0900000000000001</v>
      </c>
      <c r="S50" s="17">
        <v>5.21</v>
      </c>
      <c r="T50" s="17">
        <v>0</v>
      </c>
      <c r="U50" s="17">
        <v>6.59</v>
      </c>
      <c r="V50" s="17">
        <v>2.39</v>
      </c>
      <c r="W50" s="17">
        <v>5.48</v>
      </c>
      <c r="X50" s="17">
        <v>6.72</v>
      </c>
      <c r="Y50" s="17">
        <v>8.57</v>
      </c>
      <c r="Z50" s="17">
        <v>8.3000000000000007</v>
      </c>
      <c r="AA50" s="17">
        <v>7.97</v>
      </c>
      <c r="AB50" s="17">
        <v>0</v>
      </c>
      <c r="AC50" s="17">
        <v>0</v>
      </c>
      <c r="AD50" s="17">
        <v>0</v>
      </c>
      <c r="AE50" s="17">
        <v>0</v>
      </c>
      <c r="AF50" s="17">
        <v>0</v>
      </c>
      <c r="AG50" s="17">
        <v>0</v>
      </c>
      <c r="AH50" s="17">
        <v>0</v>
      </c>
      <c r="AI50" s="17">
        <f t="shared" si="3"/>
        <v>1</v>
      </c>
      <c r="AJ50" s="17">
        <f t="shared" si="4"/>
        <v>31</v>
      </c>
      <c r="AK50" s="17">
        <f t="shared" si="5"/>
        <v>11</v>
      </c>
      <c r="AL50" s="17">
        <f t="shared" si="6"/>
        <v>1</v>
      </c>
      <c r="AM50" s="17">
        <f>VLOOKUP(AK50,Sheet1!$A$2:$B$25,2,FALSE)</f>
        <v>1</v>
      </c>
    </row>
    <row r="51" spans="1:39" s="17" customFormat="1" x14ac:dyDescent="0.25">
      <c r="A51" s="21">
        <v>44592.479166666664</v>
      </c>
      <c r="B51" s="17">
        <v>860.69</v>
      </c>
      <c r="C51" s="17">
        <v>292.49</v>
      </c>
      <c r="D51" s="17">
        <v>299.74</v>
      </c>
      <c r="E51" s="17">
        <v>199.77</v>
      </c>
      <c r="F51" s="17">
        <v>211.23</v>
      </c>
      <c r="G51" s="17">
        <v>121.86</v>
      </c>
      <c r="H51" s="17">
        <v>86</v>
      </c>
      <c r="I51" s="17">
        <v>81.17</v>
      </c>
      <c r="J51" s="17">
        <v>79.959999999999994</v>
      </c>
      <c r="K51" s="17">
        <v>61.4</v>
      </c>
      <c r="L51" s="17">
        <v>39.71</v>
      </c>
      <c r="M51" s="17">
        <v>47.08</v>
      </c>
      <c r="N51" s="17">
        <v>20.98</v>
      </c>
      <c r="O51" s="17">
        <v>23.49</v>
      </c>
      <c r="P51" s="17">
        <v>20.85</v>
      </c>
      <c r="Q51" s="17">
        <v>15.61</v>
      </c>
      <c r="R51" s="17">
        <v>0.93230000000000002</v>
      </c>
      <c r="S51" s="17">
        <v>6.26</v>
      </c>
      <c r="T51" s="17">
        <v>0</v>
      </c>
      <c r="U51" s="17">
        <v>6.42</v>
      </c>
      <c r="V51" s="17">
        <v>8.44</v>
      </c>
      <c r="W51" s="17">
        <v>5.62</v>
      </c>
      <c r="X51" s="17">
        <v>4.4800000000000004</v>
      </c>
      <c r="Y51" s="17">
        <v>8.59</v>
      </c>
      <c r="Z51" s="17">
        <v>8.35</v>
      </c>
      <c r="AA51" s="17">
        <v>7.84</v>
      </c>
      <c r="AB51" s="17">
        <v>0</v>
      </c>
      <c r="AC51" s="17">
        <v>0.61890000000000001</v>
      </c>
      <c r="AD51" s="17">
        <v>0</v>
      </c>
      <c r="AE51" s="17">
        <v>0</v>
      </c>
      <c r="AF51" s="17">
        <v>0</v>
      </c>
      <c r="AG51" s="17">
        <v>0</v>
      </c>
      <c r="AH51" s="17">
        <v>0</v>
      </c>
      <c r="AI51" s="17">
        <f t="shared" si="3"/>
        <v>1</v>
      </c>
      <c r="AJ51" s="17">
        <f t="shared" si="4"/>
        <v>31</v>
      </c>
      <c r="AK51" s="17">
        <f t="shared" si="5"/>
        <v>11</v>
      </c>
      <c r="AL51" s="17">
        <f t="shared" si="6"/>
        <v>1</v>
      </c>
      <c r="AM51" s="17">
        <f>VLOOKUP(AK51,Sheet1!$A$2:$B$25,2,FALSE)</f>
        <v>1</v>
      </c>
    </row>
    <row r="52" spans="1:39" s="17" customFormat="1" x14ac:dyDescent="0.25">
      <c r="A52" s="21">
        <v>44592.489583333336</v>
      </c>
      <c r="B52" s="17">
        <v>836.11</v>
      </c>
      <c r="C52" s="17">
        <v>281.75</v>
      </c>
      <c r="D52" s="17">
        <v>258.67</v>
      </c>
      <c r="E52" s="17">
        <v>200.06</v>
      </c>
      <c r="F52" s="17">
        <v>183.93</v>
      </c>
      <c r="G52" s="17">
        <v>121.22</v>
      </c>
      <c r="H52" s="17">
        <v>65.53</v>
      </c>
      <c r="I52" s="17">
        <v>85.23</v>
      </c>
      <c r="J52" s="17">
        <v>83.82</v>
      </c>
      <c r="K52" s="17">
        <v>60.96</v>
      </c>
      <c r="L52" s="17">
        <v>28.09</v>
      </c>
      <c r="M52" s="17">
        <v>48.75</v>
      </c>
      <c r="N52" s="17">
        <v>22.21</v>
      </c>
      <c r="O52" s="17">
        <v>26.5</v>
      </c>
      <c r="P52" s="17">
        <v>22.36</v>
      </c>
      <c r="Q52" s="17">
        <v>15.99</v>
      </c>
      <c r="R52" s="17">
        <v>0.88339999999999996</v>
      </c>
      <c r="S52" s="17">
        <v>17.350000000000001</v>
      </c>
      <c r="T52" s="17">
        <v>0</v>
      </c>
      <c r="U52" s="17">
        <v>6.5</v>
      </c>
      <c r="V52" s="17">
        <v>5.87</v>
      </c>
      <c r="W52" s="17">
        <v>4.45</v>
      </c>
      <c r="X52" s="17">
        <v>5.34</v>
      </c>
      <c r="Y52" s="17">
        <v>8.1999999999999993</v>
      </c>
      <c r="Z52" s="17">
        <v>7.76</v>
      </c>
      <c r="AA52" s="17">
        <v>9.4600000000000009</v>
      </c>
      <c r="AB52" s="17">
        <v>9.74</v>
      </c>
      <c r="AC52" s="17">
        <v>3.16</v>
      </c>
      <c r="AD52" s="17">
        <v>0</v>
      </c>
      <c r="AE52" s="17">
        <v>0</v>
      </c>
      <c r="AF52" s="17">
        <v>0</v>
      </c>
      <c r="AG52" s="17">
        <v>0</v>
      </c>
      <c r="AH52" s="17">
        <v>0</v>
      </c>
      <c r="AI52" s="17">
        <f t="shared" si="3"/>
        <v>1</v>
      </c>
      <c r="AJ52" s="17">
        <f t="shared" si="4"/>
        <v>31</v>
      </c>
      <c r="AK52" s="17">
        <f t="shared" si="5"/>
        <v>11</v>
      </c>
      <c r="AL52" s="17">
        <f t="shared" si="6"/>
        <v>1</v>
      </c>
      <c r="AM52" s="17">
        <f>VLOOKUP(AK52,Sheet1!$A$2:$B$25,2,FALSE)</f>
        <v>1</v>
      </c>
    </row>
    <row r="53" spans="1:39" s="17" customFormat="1" x14ac:dyDescent="0.25">
      <c r="A53" s="21">
        <v>44592.5</v>
      </c>
      <c r="B53" s="17">
        <v>392.05</v>
      </c>
      <c r="C53" s="17">
        <v>132.85</v>
      </c>
      <c r="D53" s="17">
        <v>75.66</v>
      </c>
      <c r="E53" s="17">
        <v>85.01</v>
      </c>
      <c r="F53" s="17">
        <v>24.24</v>
      </c>
      <c r="G53" s="17">
        <v>76.349999999999994</v>
      </c>
      <c r="H53" s="17">
        <v>21.18</v>
      </c>
      <c r="I53" s="17">
        <v>57.56</v>
      </c>
      <c r="J53" s="17">
        <v>29.17</v>
      </c>
      <c r="K53" s="17">
        <v>38.24</v>
      </c>
      <c r="L53" s="17">
        <v>20.37</v>
      </c>
      <c r="M53" s="17">
        <v>34.590000000000003</v>
      </c>
      <c r="N53" s="17">
        <v>21.09</v>
      </c>
      <c r="O53" s="17">
        <v>2.37</v>
      </c>
      <c r="P53" s="17">
        <v>14.34</v>
      </c>
      <c r="Q53" s="17">
        <v>4.8600000000000003</v>
      </c>
      <c r="R53" s="17">
        <v>0.60950000000000004</v>
      </c>
      <c r="S53" s="17">
        <v>14.07</v>
      </c>
      <c r="T53" s="17">
        <v>0</v>
      </c>
      <c r="U53" s="17">
        <v>3.6</v>
      </c>
      <c r="V53" s="17">
        <v>4.92</v>
      </c>
      <c r="W53" s="17">
        <v>1.93</v>
      </c>
      <c r="X53" s="17">
        <v>2.5099999999999998</v>
      </c>
      <c r="Y53" s="17">
        <v>7.51</v>
      </c>
      <c r="Z53" s="17">
        <v>0.55579999999999996</v>
      </c>
      <c r="AA53" s="17">
        <v>0.23449999999999999</v>
      </c>
      <c r="AB53" s="17">
        <v>0</v>
      </c>
      <c r="AC53" s="17">
        <v>5.48</v>
      </c>
      <c r="AD53" s="17">
        <v>0</v>
      </c>
      <c r="AE53" s="17">
        <v>0</v>
      </c>
      <c r="AF53" s="17">
        <v>0</v>
      </c>
      <c r="AG53" s="17">
        <v>0</v>
      </c>
      <c r="AH53" s="17">
        <v>0</v>
      </c>
      <c r="AI53" s="17">
        <f t="shared" si="3"/>
        <v>1</v>
      </c>
      <c r="AJ53" s="17">
        <f t="shared" si="4"/>
        <v>31</v>
      </c>
      <c r="AK53" s="17">
        <f t="shared" si="5"/>
        <v>12</v>
      </c>
      <c r="AL53" s="17">
        <f t="shared" si="6"/>
        <v>1</v>
      </c>
      <c r="AM53" s="17">
        <f>VLOOKUP(AK53,Sheet1!$A$2:$B$25,2,FALSE)</f>
        <v>1</v>
      </c>
    </row>
    <row r="54" spans="1:39" s="17" customFormat="1" x14ac:dyDescent="0.25">
      <c r="A54" s="21">
        <v>44592.510416666664</v>
      </c>
      <c r="B54" s="17">
        <v>18.690000000000001</v>
      </c>
      <c r="C54" s="17">
        <v>2.94</v>
      </c>
      <c r="D54" s="17">
        <v>4.41</v>
      </c>
      <c r="E54" s="17">
        <v>0</v>
      </c>
      <c r="F54" s="17">
        <v>0</v>
      </c>
      <c r="G54" s="17">
        <v>0</v>
      </c>
      <c r="H54" s="17">
        <v>1.98</v>
      </c>
      <c r="I54" s="17">
        <v>8.25</v>
      </c>
      <c r="J54" s="17">
        <v>2.1800000000000002</v>
      </c>
      <c r="K54" s="17">
        <v>0</v>
      </c>
      <c r="L54" s="17">
        <v>0</v>
      </c>
      <c r="M54" s="17">
        <v>0</v>
      </c>
      <c r="N54" s="17">
        <v>0.92759999999999998</v>
      </c>
      <c r="O54" s="17">
        <v>0</v>
      </c>
      <c r="P54" s="17">
        <v>0</v>
      </c>
      <c r="Q54" s="17">
        <v>0</v>
      </c>
      <c r="R54" s="17">
        <v>0.4113</v>
      </c>
      <c r="S54" s="17">
        <v>1.41</v>
      </c>
      <c r="T54" s="17">
        <v>0</v>
      </c>
      <c r="U54" s="17">
        <v>2.2599999999999998</v>
      </c>
      <c r="V54" s="17">
        <v>0</v>
      </c>
      <c r="W54" s="17">
        <v>1.39</v>
      </c>
      <c r="X54" s="17">
        <v>0</v>
      </c>
      <c r="Y54" s="17">
        <v>1.67</v>
      </c>
      <c r="Z54" s="17">
        <v>0</v>
      </c>
      <c r="AA54" s="17">
        <v>0</v>
      </c>
      <c r="AB54" s="17">
        <v>0</v>
      </c>
      <c r="AC54" s="17">
        <v>0</v>
      </c>
      <c r="AD54" s="17">
        <v>0</v>
      </c>
      <c r="AE54" s="17">
        <v>0</v>
      </c>
      <c r="AF54" s="17">
        <v>0</v>
      </c>
      <c r="AG54" s="17">
        <v>0</v>
      </c>
      <c r="AH54" s="17">
        <v>0</v>
      </c>
      <c r="AI54" s="17">
        <f t="shared" si="3"/>
        <v>1</v>
      </c>
      <c r="AJ54" s="17">
        <f t="shared" si="4"/>
        <v>31</v>
      </c>
      <c r="AK54" s="17">
        <f t="shared" si="5"/>
        <v>12</v>
      </c>
      <c r="AL54" s="17">
        <f t="shared" si="6"/>
        <v>1</v>
      </c>
      <c r="AM54" s="17">
        <f>VLOOKUP(AK54,Sheet1!$A$2:$B$25,2,FALSE)</f>
        <v>1</v>
      </c>
    </row>
    <row r="55" spans="1:39" s="17" customFormat="1" x14ac:dyDescent="0.25">
      <c r="A55" s="21">
        <v>44592.520833333336</v>
      </c>
      <c r="B55" s="17">
        <v>14.54</v>
      </c>
      <c r="C55" s="17">
        <v>0.23599999999999999</v>
      </c>
      <c r="D55" s="17">
        <v>4.29</v>
      </c>
      <c r="E55" s="17">
        <v>0</v>
      </c>
      <c r="F55" s="17">
        <v>0</v>
      </c>
      <c r="G55" s="17">
        <v>0</v>
      </c>
      <c r="H55" s="17">
        <v>1.92</v>
      </c>
      <c r="I55" s="17">
        <v>0</v>
      </c>
      <c r="J55" s="17">
        <v>2.17</v>
      </c>
      <c r="K55" s="17">
        <v>0</v>
      </c>
      <c r="L55" s="17">
        <v>0</v>
      </c>
      <c r="M55" s="17">
        <v>0</v>
      </c>
      <c r="N55" s="17">
        <v>0</v>
      </c>
      <c r="O55" s="17">
        <v>0</v>
      </c>
      <c r="P55" s="17">
        <v>0</v>
      </c>
      <c r="Q55" s="17">
        <v>0</v>
      </c>
      <c r="R55" s="17">
        <v>0.15160000000000001</v>
      </c>
      <c r="S55" s="17">
        <v>0</v>
      </c>
      <c r="T55" s="17">
        <v>0</v>
      </c>
      <c r="U55" s="17">
        <v>1.84</v>
      </c>
      <c r="V55" s="17">
        <v>0</v>
      </c>
      <c r="W55" s="17">
        <v>1.24</v>
      </c>
      <c r="X55" s="17">
        <v>0</v>
      </c>
      <c r="Y55" s="17">
        <v>3.29</v>
      </c>
      <c r="Z55" s="17">
        <v>0</v>
      </c>
      <c r="AA55" s="17">
        <v>0</v>
      </c>
      <c r="AB55" s="17">
        <v>0</v>
      </c>
      <c r="AC55" s="17">
        <v>6.72</v>
      </c>
      <c r="AD55" s="17">
        <v>0</v>
      </c>
      <c r="AE55" s="17">
        <v>0</v>
      </c>
      <c r="AF55" s="17">
        <v>0</v>
      </c>
      <c r="AG55" s="17">
        <v>0</v>
      </c>
      <c r="AH55" s="17">
        <v>0</v>
      </c>
      <c r="AI55" s="17">
        <f t="shared" si="3"/>
        <v>1</v>
      </c>
      <c r="AJ55" s="17">
        <f t="shared" si="4"/>
        <v>31</v>
      </c>
      <c r="AK55" s="17">
        <f t="shared" si="5"/>
        <v>12</v>
      </c>
      <c r="AL55" s="17">
        <f t="shared" si="6"/>
        <v>1</v>
      </c>
      <c r="AM55" s="17">
        <f>VLOOKUP(AK55,Sheet1!$A$2:$B$25,2,FALSE)</f>
        <v>1</v>
      </c>
    </row>
    <row r="56" spans="1:39" s="17" customFormat="1" x14ac:dyDescent="0.25">
      <c r="A56" s="21">
        <v>44592.53125</v>
      </c>
      <c r="B56" s="17">
        <v>12.81</v>
      </c>
      <c r="C56" s="17">
        <v>0</v>
      </c>
      <c r="D56" s="17">
        <v>4.2300000000000004</v>
      </c>
      <c r="E56" s="17">
        <v>0</v>
      </c>
      <c r="F56" s="17">
        <v>0</v>
      </c>
      <c r="G56" s="17">
        <v>0</v>
      </c>
      <c r="H56" s="17">
        <v>1.68</v>
      </c>
      <c r="I56" s="17">
        <v>0</v>
      </c>
      <c r="J56" s="17">
        <v>2.1800000000000002</v>
      </c>
      <c r="K56" s="17">
        <v>0</v>
      </c>
      <c r="L56" s="17">
        <v>0</v>
      </c>
      <c r="M56" s="17">
        <v>0</v>
      </c>
      <c r="N56" s="17">
        <v>0</v>
      </c>
      <c r="O56" s="17">
        <v>0</v>
      </c>
      <c r="P56" s="17">
        <v>0</v>
      </c>
      <c r="Q56" s="17">
        <v>0</v>
      </c>
      <c r="R56" s="17">
        <v>0.1895</v>
      </c>
      <c r="S56" s="17">
        <v>0</v>
      </c>
      <c r="T56" s="17">
        <v>0</v>
      </c>
      <c r="U56" s="17">
        <v>1.83</v>
      </c>
      <c r="V56" s="17">
        <v>0</v>
      </c>
      <c r="W56" s="17">
        <v>1.19</v>
      </c>
      <c r="X56" s="17">
        <v>0</v>
      </c>
      <c r="Y56" s="17">
        <v>2.13</v>
      </c>
      <c r="Z56" s="17">
        <v>0</v>
      </c>
      <c r="AA56" s="17">
        <v>0</v>
      </c>
      <c r="AB56" s="17">
        <v>0</v>
      </c>
      <c r="AC56" s="17">
        <v>6.46</v>
      </c>
      <c r="AD56" s="17">
        <v>0</v>
      </c>
      <c r="AE56" s="17">
        <v>0</v>
      </c>
      <c r="AF56" s="17">
        <v>0</v>
      </c>
      <c r="AG56" s="17">
        <v>0</v>
      </c>
      <c r="AH56" s="17">
        <v>0</v>
      </c>
      <c r="AI56" s="17">
        <f t="shared" si="3"/>
        <v>1</v>
      </c>
      <c r="AJ56" s="17">
        <f t="shared" si="4"/>
        <v>31</v>
      </c>
      <c r="AK56" s="17">
        <f t="shared" si="5"/>
        <v>12</v>
      </c>
      <c r="AL56" s="17">
        <f t="shared" si="6"/>
        <v>1</v>
      </c>
      <c r="AM56" s="17">
        <f>VLOOKUP(AK56,Sheet1!$A$2:$B$25,2,FALSE)</f>
        <v>1</v>
      </c>
    </row>
    <row r="57" spans="1:39" s="17" customFormat="1" x14ac:dyDescent="0.25">
      <c r="A57" s="21">
        <v>44592.541666666664</v>
      </c>
      <c r="B57" s="17">
        <v>129.51</v>
      </c>
      <c r="C57" s="17">
        <v>3.39</v>
      </c>
      <c r="D57" s="17">
        <v>126.12</v>
      </c>
      <c r="E57" s="17">
        <v>0</v>
      </c>
      <c r="F57" s="17">
        <v>116.25</v>
      </c>
      <c r="G57" s="17">
        <v>0</v>
      </c>
      <c r="H57" s="17">
        <v>1.92</v>
      </c>
      <c r="I57" s="17">
        <v>0</v>
      </c>
      <c r="J57" s="17">
        <v>1.66</v>
      </c>
      <c r="K57" s="17">
        <v>0</v>
      </c>
      <c r="L57" s="17">
        <v>0</v>
      </c>
      <c r="M57" s="17">
        <v>0</v>
      </c>
      <c r="N57" s="17">
        <v>0</v>
      </c>
      <c r="O57" s="17">
        <v>0</v>
      </c>
      <c r="P57" s="17">
        <v>0</v>
      </c>
      <c r="Q57" s="17">
        <v>0</v>
      </c>
      <c r="R57" s="17">
        <v>0.1326</v>
      </c>
      <c r="S57" s="17">
        <v>0</v>
      </c>
      <c r="T57" s="17">
        <v>0</v>
      </c>
      <c r="U57" s="17">
        <v>1.77</v>
      </c>
      <c r="V57" s="17">
        <v>0</v>
      </c>
      <c r="W57" s="17">
        <v>1.31</v>
      </c>
      <c r="X57" s="17">
        <v>0</v>
      </c>
      <c r="Y57" s="17">
        <v>0</v>
      </c>
      <c r="Z57" s="17">
        <v>0</v>
      </c>
      <c r="AA57" s="17">
        <v>0</v>
      </c>
      <c r="AB57" s="17">
        <v>0</v>
      </c>
      <c r="AC57" s="17">
        <v>0</v>
      </c>
      <c r="AD57" s="17">
        <v>0</v>
      </c>
      <c r="AE57" s="17">
        <v>0</v>
      </c>
      <c r="AF57" s="17">
        <v>0</v>
      </c>
      <c r="AG57" s="17">
        <v>1.02</v>
      </c>
      <c r="AH57" s="17">
        <v>0</v>
      </c>
      <c r="AI57" s="17">
        <f t="shared" si="3"/>
        <v>1</v>
      </c>
      <c r="AJ57" s="17">
        <f t="shared" si="4"/>
        <v>31</v>
      </c>
      <c r="AK57" s="17">
        <f t="shared" si="5"/>
        <v>13</v>
      </c>
      <c r="AL57" s="17">
        <f t="shared" si="6"/>
        <v>1</v>
      </c>
      <c r="AM57" s="17">
        <f>VLOOKUP(AK57,Sheet1!$A$2:$B$25,2,FALSE)</f>
        <v>1</v>
      </c>
    </row>
    <row r="58" spans="1:39" s="17" customFormat="1" x14ac:dyDescent="0.25">
      <c r="A58" s="21">
        <v>44592.552083333336</v>
      </c>
      <c r="B58" s="17">
        <v>56.33</v>
      </c>
      <c r="C58" s="17">
        <v>0.79179999999999995</v>
      </c>
      <c r="D58" s="17">
        <v>52.22</v>
      </c>
      <c r="E58" s="17">
        <v>0</v>
      </c>
      <c r="F58" s="17">
        <v>48.29</v>
      </c>
      <c r="G58" s="17">
        <v>0</v>
      </c>
      <c r="H58" s="17">
        <v>5.7</v>
      </c>
      <c r="I58" s="17">
        <v>0</v>
      </c>
      <c r="J58" s="17">
        <v>1.64</v>
      </c>
      <c r="K58" s="17">
        <v>0</v>
      </c>
      <c r="L58" s="17">
        <v>0</v>
      </c>
      <c r="M58" s="17">
        <v>0</v>
      </c>
      <c r="N58" s="17">
        <v>0</v>
      </c>
      <c r="O58" s="17">
        <v>0</v>
      </c>
      <c r="P58" s="17">
        <v>0</v>
      </c>
      <c r="Q58" s="17">
        <v>0</v>
      </c>
      <c r="R58" s="17">
        <v>0</v>
      </c>
      <c r="S58" s="17">
        <v>0</v>
      </c>
      <c r="T58" s="17">
        <v>0</v>
      </c>
      <c r="U58" s="17">
        <v>1.79</v>
      </c>
      <c r="V58" s="17">
        <v>0</v>
      </c>
      <c r="W58" s="17">
        <v>1.21</v>
      </c>
      <c r="X58" s="17">
        <v>0</v>
      </c>
      <c r="Y58" s="17">
        <v>0</v>
      </c>
      <c r="Z58" s="17">
        <v>0</v>
      </c>
      <c r="AA58" s="17">
        <v>0</v>
      </c>
      <c r="AB58" s="17">
        <v>0</v>
      </c>
      <c r="AC58" s="17">
        <v>3.32</v>
      </c>
      <c r="AD58" s="17">
        <v>0</v>
      </c>
      <c r="AE58" s="17">
        <v>0</v>
      </c>
      <c r="AF58" s="17">
        <v>0</v>
      </c>
      <c r="AG58" s="17">
        <v>0.82420000000000004</v>
      </c>
      <c r="AH58" s="17">
        <v>0</v>
      </c>
      <c r="AI58" s="17">
        <f t="shared" si="3"/>
        <v>1</v>
      </c>
      <c r="AJ58" s="17">
        <f t="shared" si="4"/>
        <v>31</v>
      </c>
      <c r="AK58" s="17">
        <f t="shared" si="5"/>
        <v>13</v>
      </c>
      <c r="AL58" s="17">
        <f t="shared" si="6"/>
        <v>1</v>
      </c>
      <c r="AM58" s="17">
        <f>VLOOKUP(AK58,Sheet1!$A$2:$B$25,2,FALSE)</f>
        <v>1</v>
      </c>
    </row>
    <row r="59" spans="1:39" s="17" customFormat="1" x14ac:dyDescent="0.25">
      <c r="A59" s="21">
        <v>44592.5625</v>
      </c>
      <c r="B59" s="17">
        <v>4.6900000000000004</v>
      </c>
      <c r="C59" s="17">
        <v>0.4713</v>
      </c>
      <c r="D59" s="17">
        <v>4.22</v>
      </c>
      <c r="E59" s="17">
        <v>0</v>
      </c>
      <c r="F59" s="17">
        <v>0</v>
      </c>
      <c r="G59" s="17">
        <v>0</v>
      </c>
      <c r="H59" s="17">
        <v>2.0299999999999998</v>
      </c>
      <c r="I59" s="17">
        <v>0</v>
      </c>
      <c r="J59" s="17">
        <v>2.19</v>
      </c>
      <c r="K59" s="17">
        <v>0</v>
      </c>
      <c r="L59" s="17">
        <v>0</v>
      </c>
      <c r="M59" s="17">
        <v>0</v>
      </c>
      <c r="N59" s="17">
        <v>0</v>
      </c>
      <c r="O59" s="17">
        <v>0</v>
      </c>
      <c r="P59" s="17">
        <v>0</v>
      </c>
      <c r="Q59" s="17">
        <v>0</v>
      </c>
      <c r="R59" s="17">
        <v>0</v>
      </c>
      <c r="S59" s="17">
        <v>0</v>
      </c>
      <c r="T59" s="17">
        <v>0</v>
      </c>
      <c r="U59" s="17">
        <v>1.88</v>
      </c>
      <c r="V59" s="17">
        <v>0</v>
      </c>
      <c r="W59" s="17">
        <v>1.22</v>
      </c>
      <c r="X59" s="17">
        <v>0</v>
      </c>
      <c r="Y59" s="17">
        <v>0</v>
      </c>
      <c r="Z59" s="17">
        <v>0</v>
      </c>
      <c r="AA59" s="17">
        <v>0</v>
      </c>
      <c r="AB59" s="17">
        <v>0</v>
      </c>
      <c r="AC59" s="17">
        <v>0</v>
      </c>
      <c r="AD59" s="17">
        <v>0</v>
      </c>
      <c r="AE59" s="17">
        <v>0</v>
      </c>
      <c r="AF59" s="17">
        <v>0</v>
      </c>
      <c r="AG59" s="17">
        <v>0</v>
      </c>
      <c r="AH59" s="17">
        <v>0</v>
      </c>
      <c r="AI59" s="17">
        <f t="shared" si="3"/>
        <v>1</v>
      </c>
      <c r="AJ59" s="17">
        <f t="shared" si="4"/>
        <v>31</v>
      </c>
      <c r="AK59" s="17">
        <f t="shared" si="5"/>
        <v>13</v>
      </c>
      <c r="AL59" s="17">
        <f t="shared" si="6"/>
        <v>1</v>
      </c>
      <c r="AM59" s="17">
        <f>VLOOKUP(AK59,Sheet1!$A$2:$B$25,2,FALSE)</f>
        <v>1</v>
      </c>
    </row>
    <row r="60" spans="1:39" s="17" customFormat="1" x14ac:dyDescent="0.25">
      <c r="A60" s="21">
        <v>44592.572916666664</v>
      </c>
      <c r="B60" s="17">
        <v>4.58</v>
      </c>
      <c r="C60" s="17">
        <v>0.26919999999999999</v>
      </c>
      <c r="D60" s="17">
        <v>4.3099999999999996</v>
      </c>
      <c r="E60" s="17">
        <v>0</v>
      </c>
      <c r="F60" s="17">
        <v>0</v>
      </c>
      <c r="G60" s="17">
        <v>0</v>
      </c>
      <c r="H60" s="17">
        <v>1.61</v>
      </c>
      <c r="I60" s="17">
        <v>0</v>
      </c>
      <c r="J60" s="17">
        <v>2.2799999999999998</v>
      </c>
      <c r="K60" s="17">
        <v>0</v>
      </c>
      <c r="L60" s="17">
        <v>0</v>
      </c>
      <c r="M60" s="17">
        <v>0</v>
      </c>
      <c r="N60" s="17">
        <v>0</v>
      </c>
      <c r="O60" s="17">
        <v>0</v>
      </c>
      <c r="P60" s="17">
        <v>0</v>
      </c>
      <c r="Q60" s="17">
        <v>0</v>
      </c>
      <c r="R60" s="17">
        <v>0</v>
      </c>
      <c r="S60" s="17">
        <v>0</v>
      </c>
      <c r="T60" s="17">
        <v>0</v>
      </c>
      <c r="U60" s="17">
        <v>1.87</v>
      </c>
      <c r="V60" s="17">
        <v>0</v>
      </c>
      <c r="W60" s="17">
        <v>1.23</v>
      </c>
      <c r="X60" s="17">
        <v>0</v>
      </c>
      <c r="Y60" s="17">
        <v>0</v>
      </c>
      <c r="Z60" s="17">
        <v>0</v>
      </c>
      <c r="AA60" s="17">
        <v>0</v>
      </c>
      <c r="AB60" s="17">
        <v>0</v>
      </c>
      <c r="AC60" s="17">
        <v>0</v>
      </c>
      <c r="AD60" s="17">
        <v>0</v>
      </c>
      <c r="AE60" s="17">
        <v>0</v>
      </c>
      <c r="AF60" s="17">
        <v>0</v>
      </c>
      <c r="AG60" s="17">
        <v>0</v>
      </c>
      <c r="AH60" s="17">
        <v>0</v>
      </c>
      <c r="AI60" s="17">
        <f t="shared" si="3"/>
        <v>1</v>
      </c>
      <c r="AJ60" s="17">
        <f t="shared" si="4"/>
        <v>31</v>
      </c>
      <c r="AK60" s="17">
        <f t="shared" si="5"/>
        <v>13</v>
      </c>
      <c r="AL60" s="17">
        <f t="shared" si="6"/>
        <v>1</v>
      </c>
      <c r="AM60" s="17">
        <f>VLOOKUP(AK60,Sheet1!$A$2:$B$25,2,FALSE)</f>
        <v>1</v>
      </c>
    </row>
    <row r="61" spans="1:39" s="17" customFormat="1" x14ac:dyDescent="0.25">
      <c r="A61" s="21">
        <v>44592.583333333336</v>
      </c>
      <c r="B61" s="17">
        <v>12.46</v>
      </c>
      <c r="C61" s="17">
        <v>0.50519999999999998</v>
      </c>
      <c r="D61" s="17">
        <v>4.4000000000000004</v>
      </c>
      <c r="E61" s="17">
        <v>0</v>
      </c>
      <c r="F61" s="17">
        <v>0</v>
      </c>
      <c r="G61" s="17">
        <v>0</v>
      </c>
      <c r="H61" s="17">
        <v>2.0099999999999998</v>
      </c>
      <c r="I61" s="17">
        <v>0</v>
      </c>
      <c r="J61" s="17">
        <v>2.27</v>
      </c>
      <c r="K61" s="17">
        <v>0</v>
      </c>
      <c r="L61" s="17">
        <v>0</v>
      </c>
      <c r="M61" s="17">
        <v>0</v>
      </c>
      <c r="N61" s="17">
        <v>0</v>
      </c>
      <c r="O61" s="17">
        <v>0</v>
      </c>
      <c r="P61" s="17">
        <v>0</v>
      </c>
      <c r="Q61" s="17">
        <v>0</v>
      </c>
      <c r="R61" s="17">
        <v>0</v>
      </c>
      <c r="S61" s="17">
        <v>0</v>
      </c>
      <c r="T61" s="17">
        <v>0</v>
      </c>
      <c r="U61" s="17">
        <v>1.92</v>
      </c>
      <c r="V61" s="17">
        <v>0</v>
      </c>
      <c r="W61" s="17">
        <v>1.26</v>
      </c>
      <c r="X61" s="17">
        <v>0</v>
      </c>
      <c r="Y61" s="17">
        <v>0</v>
      </c>
      <c r="Z61" s="17">
        <v>0</v>
      </c>
      <c r="AA61" s="17">
        <v>0</v>
      </c>
      <c r="AB61" s="17">
        <v>0</v>
      </c>
      <c r="AC61" s="17">
        <v>7.56</v>
      </c>
      <c r="AD61" s="17">
        <v>0</v>
      </c>
      <c r="AE61" s="17">
        <v>0</v>
      </c>
      <c r="AF61" s="17">
        <v>0</v>
      </c>
      <c r="AG61" s="17">
        <v>0</v>
      </c>
      <c r="AH61" s="17">
        <v>0</v>
      </c>
      <c r="AI61" s="17">
        <f t="shared" si="3"/>
        <v>1</v>
      </c>
      <c r="AJ61" s="17">
        <f t="shared" si="4"/>
        <v>31</v>
      </c>
      <c r="AK61" s="17">
        <f t="shared" si="5"/>
        <v>14</v>
      </c>
      <c r="AL61" s="17">
        <f t="shared" si="6"/>
        <v>1</v>
      </c>
      <c r="AM61" s="17">
        <f>VLOOKUP(AK61,Sheet1!$A$2:$B$25,2,FALSE)</f>
        <v>1</v>
      </c>
    </row>
    <row r="62" spans="1:39" s="17" customFormat="1" x14ac:dyDescent="0.25">
      <c r="A62" s="21">
        <v>44592.59375</v>
      </c>
      <c r="B62" s="17">
        <v>6.78</v>
      </c>
      <c r="C62" s="17">
        <v>0.23599999999999999</v>
      </c>
      <c r="D62" s="17">
        <v>4.09</v>
      </c>
      <c r="E62" s="17">
        <v>0</v>
      </c>
      <c r="F62" s="17">
        <v>0</v>
      </c>
      <c r="G62" s="17">
        <v>0</v>
      </c>
      <c r="H62" s="17">
        <v>1.6</v>
      </c>
      <c r="I62" s="17">
        <v>0</v>
      </c>
      <c r="J62" s="17">
        <v>2.34</v>
      </c>
      <c r="K62" s="17">
        <v>0</v>
      </c>
      <c r="L62" s="17">
        <v>0</v>
      </c>
      <c r="M62" s="17">
        <v>0</v>
      </c>
      <c r="N62" s="17">
        <v>0</v>
      </c>
      <c r="O62" s="17">
        <v>0</v>
      </c>
      <c r="P62" s="17">
        <v>0</v>
      </c>
      <c r="Q62" s="17">
        <v>0</v>
      </c>
      <c r="R62" s="17">
        <v>0</v>
      </c>
      <c r="S62" s="17">
        <v>0</v>
      </c>
      <c r="T62" s="17">
        <v>0</v>
      </c>
      <c r="U62" s="17">
        <v>1.74</v>
      </c>
      <c r="V62" s="17">
        <v>0</v>
      </c>
      <c r="W62" s="17">
        <v>1.1499999999999999</v>
      </c>
      <c r="X62" s="17">
        <v>0</v>
      </c>
      <c r="Y62" s="17">
        <v>0</v>
      </c>
      <c r="Z62" s="17">
        <v>0</v>
      </c>
      <c r="AA62" s="17">
        <v>0</v>
      </c>
      <c r="AB62" s="17">
        <v>0</v>
      </c>
      <c r="AC62" s="17">
        <v>2.46</v>
      </c>
      <c r="AD62" s="17">
        <v>0</v>
      </c>
      <c r="AE62" s="17">
        <v>0</v>
      </c>
      <c r="AF62" s="17">
        <v>0</v>
      </c>
      <c r="AG62" s="17">
        <v>0</v>
      </c>
      <c r="AH62" s="17">
        <v>0</v>
      </c>
      <c r="AI62" s="17">
        <f t="shared" si="3"/>
        <v>1</v>
      </c>
      <c r="AJ62" s="17">
        <f t="shared" si="4"/>
        <v>31</v>
      </c>
      <c r="AK62" s="17">
        <f t="shared" si="5"/>
        <v>14</v>
      </c>
      <c r="AL62" s="17">
        <f t="shared" si="6"/>
        <v>1</v>
      </c>
      <c r="AM62" s="17">
        <f>VLOOKUP(AK62,Sheet1!$A$2:$B$25,2,FALSE)</f>
        <v>1</v>
      </c>
    </row>
    <row r="63" spans="1:39" s="17" customFormat="1" x14ac:dyDescent="0.25">
      <c r="A63" s="21">
        <v>44592.604166666664</v>
      </c>
      <c r="B63" s="17">
        <v>4.9000000000000004</v>
      </c>
      <c r="C63" s="17">
        <v>0.60629999999999995</v>
      </c>
      <c r="D63" s="17">
        <v>4.29</v>
      </c>
      <c r="E63" s="17">
        <v>0</v>
      </c>
      <c r="F63" s="17">
        <v>0</v>
      </c>
      <c r="G63" s="17">
        <v>0</v>
      </c>
      <c r="H63" s="17">
        <v>1.03</v>
      </c>
      <c r="I63" s="17">
        <v>0</v>
      </c>
      <c r="J63" s="17">
        <v>2.4</v>
      </c>
      <c r="K63" s="17">
        <v>0</v>
      </c>
      <c r="L63" s="17">
        <v>0</v>
      </c>
      <c r="M63" s="17">
        <v>0</v>
      </c>
      <c r="N63" s="17">
        <v>0</v>
      </c>
      <c r="O63" s="17">
        <v>0</v>
      </c>
      <c r="P63" s="17">
        <v>0</v>
      </c>
      <c r="Q63" s="17">
        <v>0</v>
      </c>
      <c r="R63" s="17">
        <v>0</v>
      </c>
      <c r="S63" s="17">
        <v>0</v>
      </c>
      <c r="T63" s="17">
        <v>0</v>
      </c>
      <c r="U63" s="17">
        <v>1.85</v>
      </c>
      <c r="V63" s="17">
        <v>0</v>
      </c>
      <c r="W63" s="17">
        <v>1.1399999999999999</v>
      </c>
      <c r="X63" s="17">
        <v>0</v>
      </c>
      <c r="Y63" s="17">
        <v>0</v>
      </c>
      <c r="Z63" s="17">
        <v>0</v>
      </c>
      <c r="AA63" s="17">
        <v>0</v>
      </c>
      <c r="AB63" s="17">
        <v>0</v>
      </c>
      <c r="AC63" s="17">
        <v>0</v>
      </c>
      <c r="AD63" s="17">
        <v>0</v>
      </c>
      <c r="AE63" s="17">
        <v>0</v>
      </c>
      <c r="AF63" s="17">
        <v>0</v>
      </c>
      <c r="AG63" s="17">
        <v>0</v>
      </c>
      <c r="AH63" s="17">
        <v>0</v>
      </c>
      <c r="AI63" s="17">
        <f t="shared" si="3"/>
        <v>1</v>
      </c>
      <c r="AJ63" s="17">
        <f t="shared" si="4"/>
        <v>31</v>
      </c>
      <c r="AK63" s="17">
        <f t="shared" si="5"/>
        <v>14</v>
      </c>
      <c r="AL63" s="17">
        <f t="shared" si="6"/>
        <v>1</v>
      </c>
      <c r="AM63" s="17">
        <f>VLOOKUP(AK63,Sheet1!$A$2:$B$25,2,FALSE)</f>
        <v>1</v>
      </c>
    </row>
    <row r="64" spans="1:39" s="17" customFormat="1" x14ac:dyDescent="0.25">
      <c r="A64" s="21">
        <v>44592.614583333336</v>
      </c>
      <c r="B64" s="17">
        <v>6.45</v>
      </c>
      <c r="C64" s="17">
        <v>2.41</v>
      </c>
      <c r="D64" s="17">
        <v>4.04</v>
      </c>
      <c r="E64" s="17">
        <v>0</v>
      </c>
      <c r="F64" s="17">
        <v>0</v>
      </c>
      <c r="G64" s="17">
        <v>0</v>
      </c>
      <c r="H64" s="17">
        <v>1.52</v>
      </c>
      <c r="I64" s="17">
        <v>0</v>
      </c>
      <c r="J64" s="17">
        <v>2.34</v>
      </c>
      <c r="K64" s="17">
        <v>0</v>
      </c>
      <c r="L64" s="17">
        <v>0</v>
      </c>
      <c r="M64" s="17">
        <v>0</v>
      </c>
      <c r="N64" s="17">
        <v>0</v>
      </c>
      <c r="O64" s="17">
        <v>0</v>
      </c>
      <c r="P64" s="17">
        <v>0</v>
      </c>
      <c r="Q64" s="17">
        <v>0</v>
      </c>
      <c r="R64" s="17">
        <v>0</v>
      </c>
      <c r="S64" s="17">
        <v>0</v>
      </c>
      <c r="T64" s="17">
        <v>0</v>
      </c>
      <c r="U64" s="17">
        <v>2.25</v>
      </c>
      <c r="V64" s="17">
        <v>0</v>
      </c>
      <c r="W64" s="17">
        <v>1.1299999999999999</v>
      </c>
      <c r="X64" s="17">
        <v>0</v>
      </c>
      <c r="Y64" s="17">
        <v>0</v>
      </c>
      <c r="Z64" s="17">
        <v>0</v>
      </c>
      <c r="AA64" s="17">
        <v>0</v>
      </c>
      <c r="AB64" s="17">
        <v>0</v>
      </c>
      <c r="AC64" s="17">
        <v>0</v>
      </c>
      <c r="AD64" s="17">
        <v>0</v>
      </c>
      <c r="AE64" s="17">
        <v>0</v>
      </c>
      <c r="AF64" s="17">
        <v>0</v>
      </c>
      <c r="AG64" s="17">
        <v>0</v>
      </c>
      <c r="AH64" s="17">
        <v>0</v>
      </c>
      <c r="AI64" s="17">
        <f t="shared" si="3"/>
        <v>1</v>
      </c>
      <c r="AJ64" s="17">
        <f t="shared" si="4"/>
        <v>31</v>
      </c>
      <c r="AK64" s="17">
        <f t="shared" si="5"/>
        <v>14</v>
      </c>
      <c r="AL64" s="17">
        <f t="shared" si="6"/>
        <v>1</v>
      </c>
      <c r="AM64" s="17">
        <f>VLOOKUP(AK64,Sheet1!$A$2:$B$25,2,FALSE)</f>
        <v>1</v>
      </c>
    </row>
    <row r="65" spans="1:39" s="17" customFormat="1" x14ac:dyDescent="0.25">
      <c r="A65" s="21">
        <v>44592.625</v>
      </c>
      <c r="B65" s="17">
        <v>5.86</v>
      </c>
      <c r="C65" s="17">
        <v>1.53</v>
      </c>
      <c r="D65" s="17">
        <v>4.32</v>
      </c>
      <c r="E65" s="17">
        <v>0</v>
      </c>
      <c r="F65" s="17">
        <v>0</v>
      </c>
      <c r="G65" s="17">
        <v>0</v>
      </c>
      <c r="H65" s="17">
        <v>2.04</v>
      </c>
      <c r="I65" s="17">
        <v>0</v>
      </c>
      <c r="J65" s="17">
        <v>2.38</v>
      </c>
      <c r="K65" s="17">
        <v>0</v>
      </c>
      <c r="L65" s="17">
        <v>0</v>
      </c>
      <c r="M65" s="17">
        <v>0</v>
      </c>
      <c r="N65" s="17">
        <v>0</v>
      </c>
      <c r="O65" s="17">
        <v>0</v>
      </c>
      <c r="P65" s="17">
        <v>0</v>
      </c>
      <c r="Q65" s="17">
        <v>0</v>
      </c>
      <c r="R65" s="17">
        <v>0</v>
      </c>
      <c r="S65" s="17">
        <v>0</v>
      </c>
      <c r="T65" s="17">
        <v>0</v>
      </c>
      <c r="U65" s="17">
        <v>2.2200000000000002</v>
      </c>
      <c r="V65" s="17">
        <v>0</v>
      </c>
      <c r="W65" s="17">
        <v>1.1100000000000001</v>
      </c>
      <c r="X65" s="17">
        <v>0</v>
      </c>
      <c r="Y65" s="17">
        <v>0</v>
      </c>
      <c r="Z65" s="17">
        <v>0</v>
      </c>
      <c r="AA65" s="17">
        <v>0</v>
      </c>
      <c r="AB65" s="17">
        <v>0</v>
      </c>
      <c r="AC65" s="17">
        <v>0</v>
      </c>
      <c r="AD65" s="17">
        <v>0</v>
      </c>
      <c r="AE65" s="17">
        <v>0</v>
      </c>
      <c r="AF65" s="17">
        <v>0</v>
      </c>
      <c r="AG65" s="17">
        <v>0</v>
      </c>
      <c r="AH65" s="17">
        <v>0</v>
      </c>
      <c r="AI65" s="17">
        <f t="shared" si="3"/>
        <v>1</v>
      </c>
      <c r="AJ65" s="17">
        <f t="shared" si="4"/>
        <v>31</v>
      </c>
      <c r="AK65" s="17">
        <f t="shared" si="5"/>
        <v>15</v>
      </c>
      <c r="AL65" s="17">
        <f t="shared" si="6"/>
        <v>1</v>
      </c>
      <c r="AM65" s="17">
        <f>VLOOKUP(AK65,Sheet1!$A$2:$B$25,2,FALSE)</f>
        <v>1</v>
      </c>
    </row>
    <row r="66" spans="1:39" s="17" customFormat="1" x14ac:dyDescent="0.25">
      <c r="A66" s="21">
        <v>44592.635416666664</v>
      </c>
      <c r="B66" s="17">
        <v>7.07</v>
      </c>
      <c r="C66" s="17">
        <v>2.98</v>
      </c>
      <c r="D66" s="17">
        <v>4.0999999999999996</v>
      </c>
      <c r="E66" s="17">
        <v>0</v>
      </c>
      <c r="F66" s="17">
        <v>0</v>
      </c>
      <c r="G66" s="17">
        <v>0</v>
      </c>
      <c r="H66" s="17">
        <v>1.73</v>
      </c>
      <c r="I66" s="17">
        <v>0</v>
      </c>
      <c r="J66" s="17">
        <v>2.42</v>
      </c>
      <c r="K66" s="17">
        <v>0</v>
      </c>
      <c r="L66" s="17">
        <v>0</v>
      </c>
      <c r="M66" s="17">
        <v>0</v>
      </c>
      <c r="N66" s="17">
        <v>0</v>
      </c>
      <c r="O66" s="17">
        <v>0</v>
      </c>
      <c r="P66" s="17">
        <v>0</v>
      </c>
      <c r="Q66" s="17">
        <v>0</v>
      </c>
      <c r="R66" s="17">
        <v>0</v>
      </c>
      <c r="S66" s="17">
        <v>0</v>
      </c>
      <c r="T66" s="17">
        <v>0</v>
      </c>
      <c r="U66" s="17">
        <v>2.29</v>
      </c>
      <c r="V66" s="17">
        <v>0</v>
      </c>
      <c r="W66" s="17">
        <v>1.1200000000000001</v>
      </c>
      <c r="X66" s="17">
        <v>0</v>
      </c>
      <c r="Y66" s="17">
        <v>0</v>
      </c>
      <c r="Z66" s="17">
        <v>0</v>
      </c>
      <c r="AA66" s="17">
        <v>0</v>
      </c>
      <c r="AB66" s="17">
        <v>0</v>
      </c>
      <c r="AC66" s="17">
        <v>0</v>
      </c>
      <c r="AD66" s="17">
        <v>0</v>
      </c>
      <c r="AE66" s="17">
        <v>0</v>
      </c>
      <c r="AF66" s="17">
        <v>0</v>
      </c>
      <c r="AG66" s="17">
        <v>0</v>
      </c>
      <c r="AH66" s="17">
        <v>0</v>
      </c>
      <c r="AI66" s="17">
        <f t="shared" si="3"/>
        <v>1</v>
      </c>
      <c r="AJ66" s="17">
        <f t="shared" si="4"/>
        <v>31</v>
      </c>
      <c r="AK66" s="17">
        <f t="shared" si="5"/>
        <v>15</v>
      </c>
      <c r="AL66" s="17">
        <f t="shared" si="6"/>
        <v>1</v>
      </c>
      <c r="AM66" s="17">
        <f>VLOOKUP(AK66,Sheet1!$A$2:$B$25,2,FALSE)</f>
        <v>1</v>
      </c>
    </row>
    <row r="67" spans="1:39" s="17" customFormat="1" x14ac:dyDescent="0.25">
      <c r="A67" s="21">
        <v>44592.645833333336</v>
      </c>
      <c r="B67" s="17">
        <v>5.76</v>
      </c>
      <c r="C67" s="17">
        <v>1.72</v>
      </c>
      <c r="D67" s="17">
        <v>4.04</v>
      </c>
      <c r="E67" s="17">
        <v>0</v>
      </c>
      <c r="F67" s="17">
        <v>0</v>
      </c>
      <c r="G67" s="17">
        <v>0</v>
      </c>
      <c r="H67" s="17">
        <v>2.04</v>
      </c>
      <c r="I67" s="17">
        <v>0</v>
      </c>
      <c r="J67" s="17">
        <v>2.34</v>
      </c>
      <c r="K67" s="17">
        <v>0</v>
      </c>
      <c r="L67" s="17">
        <v>0</v>
      </c>
      <c r="M67" s="17">
        <v>0</v>
      </c>
      <c r="N67" s="17">
        <v>0</v>
      </c>
      <c r="O67" s="17">
        <v>0</v>
      </c>
      <c r="P67" s="17">
        <v>0</v>
      </c>
      <c r="Q67" s="17">
        <v>0</v>
      </c>
      <c r="R67" s="17">
        <v>0</v>
      </c>
      <c r="S67" s="17">
        <v>0</v>
      </c>
      <c r="T67" s="17">
        <v>0</v>
      </c>
      <c r="U67" s="17">
        <v>2.0099999999999998</v>
      </c>
      <c r="V67" s="17">
        <v>0</v>
      </c>
      <c r="W67" s="17">
        <v>1.1200000000000001</v>
      </c>
      <c r="X67" s="17">
        <v>0</v>
      </c>
      <c r="Y67" s="17">
        <v>0</v>
      </c>
      <c r="Z67" s="17">
        <v>0</v>
      </c>
      <c r="AA67" s="17">
        <v>0</v>
      </c>
      <c r="AB67" s="17">
        <v>0</v>
      </c>
      <c r="AC67" s="17">
        <v>0</v>
      </c>
      <c r="AD67" s="17">
        <v>0</v>
      </c>
      <c r="AE67" s="17">
        <v>0</v>
      </c>
      <c r="AF67" s="17">
        <v>0</v>
      </c>
      <c r="AG67" s="17">
        <v>0</v>
      </c>
      <c r="AH67" s="17">
        <v>0</v>
      </c>
      <c r="AI67" s="17">
        <f t="shared" si="3"/>
        <v>1</v>
      </c>
      <c r="AJ67" s="17">
        <f t="shared" si="4"/>
        <v>31</v>
      </c>
      <c r="AK67" s="17">
        <f t="shared" si="5"/>
        <v>15</v>
      </c>
      <c r="AL67" s="17">
        <f t="shared" si="6"/>
        <v>1</v>
      </c>
      <c r="AM67" s="17">
        <f>VLOOKUP(AK67,Sheet1!$A$2:$B$25,2,FALSE)</f>
        <v>1</v>
      </c>
    </row>
    <row r="68" spans="1:39" s="17" customFormat="1" x14ac:dyDescent="0.25">
      <c r="A68" s="21">
        <v>44592.65625</v>
      </c>
      <c r="B68" s="17">
        <v>4.58</v>
      </c>
      <c r="C68" s="17">
        <v>0.50519999999999998</v>
      </c>
      <c r="D68" s="17">
        <v>4.08</v>
      </c>
      <c r="E68" s="17">
        <v>0</v>
      </c>
      <c r="F68" s="17">
        <v>0</v>
      </c>
      <c r="G68" s="17">
        <v>0</v>
      </c>
      <c r="H68" s="17">
        <v>1.95</v>
      </c>
      <c r="I68" s="17">
        <v>0</v>
      </c>
      <c r="J68" s="17">
        <v>2.19</v>
      </c>
      <c r="K68" s="17">
        <v>0</v>
      </c>
      <c r="L68" s="17">
        <v>0</v>
      </c>
      <c r="M68" s="17">
        <v>0</v>
      </c>
      <c r="N68" s="17">
        <v>0</v>
      </c>
      <c r="O68" s="17">
        <v>0</v>
      </c>
      <c r="P68" s="17">
        <v>0</v>
      </c>
      <c r="Q68" s="17">
        <v>0</v>
      </c>
      <c r="R68" s="17">
        <v>0</v>
      </c>
      <c r="S68" s="17">
        <v>0</v>
      </c>
      <c r="T68" s="17">
        <v>0</v>
      </c>
      <c r="U68" s="17">
        <v>1.82</v>
      </c>
      <c r="V68" s="17">
        <v>0</v>
      </c>
      <c r="W68" s="17">
        <v>1.17</v>
      </c>
      <c r="X68" s="17">
        <v>0</v>
      </c>
      <c r="Y68" s="17">
        <v>0</v>
      </c>
      <c r="Z68" s="17">
        <v>0</v>
      </c>
      <c r="AA68" s="17">
        <v>0</v>
      </c>
      <c r="AB68" s="17">
        <v>0</v>
      </c>
      <c r="AC68" s="17">
        <v>0</v>
      </c>
      <c r="AD68" s="17">
        <v>0</v>
      </c>
      <c r="AE68" s="17">
        <v>0</v>
      </c>
      <c r="AF68" s="17">
        <v>0</v>
      </c>
      <c r="AG68" s="17">
        <v>0</v>
      </c>
      <c r="AH68" s="17">
        <v>0</v>
      </c>
      <c r="AI68" s="17">
        <f t="shared" si="3"/>
        <v>1</v>
      </c>
      <c r="AJ68" s="17">
        <f t="shared" si="4"/>
        <v>31</v>
      </c>
      <c r="AK68" s="17">
        <f t="shared" si="5"/>
        <v>15</v>
      </c>
      <c r="AL68" s="17">
        <f t="shared" si="6"/>
        <v>1</v>
      </c>
      <c r="AM68" s="17">
        <f>VLOOKUP(AK68,Sheet1!$A$2:$B$25,2,FALSE)</f>
        <v>1</v>
      </c>
    </row>
    <row r="69" spans="1:39" s="17" customFormat="1" x14ac:dyDescent="0.25">
      <c r="A69" s="21">
        <v>44592.666666666664</v>
      </c>
      <c r="B69" s="17">
        <v>4.33</v>
      </c>
      <c r="C69" s="17">
        <v>0.25259999999999999</v>
      </c>
      <c r="D69" s="17">
        <v>4.08</v>
      </c>
      <c r="E69" s="17">
        <v>0</v>
      </c>
      <c r="F69" s="17">
        <v>0</v>
      </c>
      <c r="G69" s="17">
        <v>0</v>
      </c>
      <c r="H69" s="17">
        <v>1.59</v>
      </c>
      <c r="I69" s="17">
        <v>0</v>
      </c>
      <c r="J69" s="17">
        <v>2.14</v>
      </c>
      <c r="K69" s="17">
        <v>0</v>
      </c>
      <c r="L69" s="17">
        <v>0</v>
      </c>
      <c r="M69" s="17">
        <v>0</v>
      </c>
      <c r="N69" s="17">
        <v>0</v>
      </c>
      <c r="O69" s="17">
        <v>0</v>
      </c>
      <c r="P69" s="17">
        <v>0</v>
      </c>
      <c r="Q69" s="17">
        <v>0</v>
      </c>
      <c r="R69" s="17">
        <v>0</v>
      </c>
      <c r="S69" s="17">
        <v>0</v>
      </c>
      <c r="T69" s="17">
        <v>0</v>
      </c>
      <c r="U69" s="17">
        <v>1.79</v>
      </c>
      <c r="V69" s="17">
        <v>0</v>
      </c>
      <c r="W69" s="17">
        <v>1.1599999999999999</v>
      </c>
      <c r="X69" s="17">
        <v>0</v>
      </c>
      <c r="Y69" s="17">
        <v>0</v>
      </c>
      <c r="Z69" s="17">
        <v>0</v>
      </c>
      <c r="AA69" s="17">
        <v>0</v>
      </c>
      <c r="AB69" s="17">
        <v>0</v>
      </c>
      <c r="AC69" s="17">
        <v>0</v>
      </c>
      <c r="AD69" s="17">
        <v>0</v>
      </c>
      <c r="AE69" s="17">
        <v>0</v>
      </c>
      <c r="AF69" s="17">
        <v>0</v>
      </c>
      <c r="AG69" s="17">
        <v>0</v>
      </c>
      <c r="AH69" s="17">
        <v>0</v>
      </c>
      <c r="AI69" s="17">
        <f t="shared" ref="AI69:AI133" si="7">WEEKDAY(A69,2)</f>
        <v>1</v>
      </c>
      <c r="AJ69" s="17">
        <f t="shared" ref="AJ69:AJ133" si="8">DAY(A69)</f>
        <v>31</v>
      </c>
      <c r="AK69" s="17">
        <f t="shared" ref="AK69:AK133" si="9">HOUR(A69)</f>
        <v>16</v>
      </c>
      <c r="AL69" s="17">
        <f t="shared" ref="AL69:AL133" si="10">IF(AI69&gt;=6,0,1)</f>
        <v>1</v>
      </c>
      <c r="AM69" s="17">
        <f>VLOOKUP(AK69,Sheet1!$A$2:$B$25,2,FALSE)</f>
        <v>0</v>
      </c>
    </row>
    <row r="70" spans="1:39" s="17" customFormat="1" x14ac:dyDescent="0.25">
      <c r="A70" s="21">
        <v>44592.677083333336</v>
      </c>
      <c r="B70" s="17">
        <v>4.1399999999999997</v>
      </c>
      <c r="C70" s="17">
        <v>0.25259999999999999</v>
      </c>
      <c r="D70" s="17">
        <v>3.89</v>
      </c>
      <c r="E70" s="17">
        <v>0</v>
      </c>
      <c r="F70" s="17">
        <v>0</v>
      </c>
      <c r="G70" s="17">
        <v>0</v>
      </c>
      <c r="H70" s="17">
        <v>1.96</v>
      </c>
      <c r="I70" s="17">
        <v>0</v>
      </c>
      <c r="J70" s="17">
        <v>2.15</v>
      </c>
      <c r="K70" s="17">
        <v>0</v>
      </c>
      <c r="L70" s="17">
        <v>0</v>
      </c>
      <c r="M70" s="17">
        <v>0</v>
      </c>
      <c r="N70" s="17">
        <v>0</v>
      </c>
      <c r="O70" s="17">
        <v>0</v>
      </c>
      <c r="P70" s="17">
        <v>0</v>
      </c>
      <c r="Q70" s="17">
        <v>0</v>
      </c>
      <c r="R70" s="17">
        <v>0</v>
      </c>
      <c r="S70" s="17">
        <v>0</v>
      </c>
      <c r="T70" s="17">
        <v>0</v>
      </c>
      <c r="U70" s="17">
        <v>1.77</v>
      </c>
      <c r="V70" s="17">
        <v>0</v>
      </c>
      <c r="W70" s="17">
        <v>1.1399999999999999</v>
      </c>
      <c r="X70" s="17">
        <v>0</v>
      </c>
      <c r="Y70" s="17">
        <v>0</v>
      </c>
      <c r="Z70" s="17">
        <v>0</v>
      </c>
      <c r="AA70" s="17">
        <v>0</v>
      </c>
      <c r="AB70" s="17">
        <v>0</v>
      </c>
      <c r="AC70" s="17">
        <v>0</v>
      </c>
      <c r="AD70" s="17">
        <v>0</v>
      </c>
      <c r="AE70" s="17">
        <v>0</v>
      </c>
      <c r="AF70" s="17">
        <v>0</v>
      </c>
      <c r="AG70" s="17">
        <v>0</v>
      </c>
      <c r="AH70" s="17">
        <v>0</v>
      </c>
      <c r="AI70" s="17">
        <f t="shared" si="7"/>
        <v>1</v>
      </c>
      <c r="AJ70" s="17">
        <f t="shared" si="8"/>
        <v>31</v>
      </c>
      <c r="AK70" s="17">
        <f t="shared" si="9"/>
        <v>16</v>
      </c>
      <c r="AL70" s="17">
        <f t="shared" si="10"/>
        <v>1</v>
      </c>
      <c r="AM70" s="17">
        <f>VLOOKUP(AK70,Sheet1!$A$2:$B$25,2,FALSE)</f>
        <v>0</v>
      </c>
    </row>
    <row r="71" spans="1:39" s="17" customFormat="1" x14ac:dyDescent="0.25">
      <c r="A71" s="21">
        <v>44592.6875</v>
      </c>
      <c r="B71" s="17">
        <v>4.04</v>
      </c>
      <c r="C71" s="17">
        <v>0</v>
      </c>
      <c r="D71" s="17">
        <v>4.04</v>
      </c>
      <c r="E71" s="17">
        <v>0</v>
      </c>
      <c r="F71" s="17">
        <v>0</v>
      </c>
      <c r="G71" s="17">
        <v>0</v>
      </c>
      <c r="H71" s="17">
        <v>0.74370000000000003</v>
      </c>
      <c r="I71" s="17">
        <v>0</v>
      </c>
      <c r="J71" s="17">
        <v>1.47</v>
      </c>
      <c r="K71" s="17">
        <v>0</v>
      </c>
      <c r="L71" s="17">
        <v>0</v>
      </c>
      <c r="M71" s="17">
        <v>0</v>
      </c>
      <c r="N71" s="17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>
        <v>0</v>
      </c>
      <c r="U71" s="17">
        <v>1.79</v>
      </c>
      <c r="V71" s="17">
        <v>0</v>
      </c>
      <c r="W71" s="17">
        <v>1.1499999999999999</v>
      </c>
      <c r="X71" s="17">
        <v>0</v>
      </c>
      <c r="Y71" s="17">
        <v>0</v>
      </c>
      <c r="Z71" s="17">
        <v>0</v>
      </c>
      <c r="AA71" s="17">
        <v>0</v>
      </c>
      <c r="AB71" s="17">
        <v>0</v>
      </c>
      <c r="AC71" s="17">
        <v>0</v>
      </c>
      <c r="AD71" s="17">
        <v>0</v>
      </c>
      <c r="AE71" s="17">
        <v>0</v>
      </c>
      <c r="AF71" s="17">
        <v>0</v>
      </c>
      <c r="AG71" s="17">
        <v>0</v>
      </c>
      <c r="AH71" s="17">
        <v>0</v>
      </c>
      <c r="AI71" s="17">
        <f t="shared" si="7"/>
        <v>1</v>
      </c>
      <c r="AJ71" s="17">
        <f t="shared" si="8"/>
        <v>31</v>
      </c>
      <c r="AK71" s="17">
        <f t="shared" si="9"/>
        <v>16</v>
      </c>
      <c r="AL71" s="17">
        <f t="shared" si="10"/>
        <v>1</v>
      </c>
      <c r="AM71" s="17">
        <f>VLOOKUP(AK71,Sheet1!$A$2:$B$25,2,FALSE)</f>
        <v>0</v>
      </c>
    </row>
    <row r="72" spans="1:39" s="17" customFormat="1" x14ac:dyDescent="0.25">
      <c r="A72" s="21">
        <v>44592.697916666664</v>
      </c>
      <c r="B72" s="17">
        <v>4.09</v>
      </c>
      <c r="C72" s="17">
        <v>0</v>
      </c>
      <c r="D72" s="17">
        <v>4.09</v>
      </c>
      <c r="E72" s="17">
        <v>0</v>
      </c>
      <c r="F72" s="17">
        <v>0</v>
      </c>
      <c r="G72" s="17">
        <v>0</v>
      </c>
      <c r="H72" s="17">
        <v>1.1299999999999999</v>
      </c>
      <c r="I72" s="17">
        <v>0</v>
      </c>
      <c r="J72" s="17">
        <v>1.8</v>
      </c>
      <c r="K72" s="17">
        <v>0</v>
      </c>
      <c r="L72" s="17">
        <v>0</v>
      </c>
      <c r="M72" s="17">
        <v>0</v>
      </c>
      <c r="N72" s="17">
        <v>0</v>
      </c>
      <c r="O72" s="17">
        <v>0</v>
      </c>
      <c r="P72" s="17">
        <v>0</v>
      </c>
      <c r="Q72" s="17">
        <v>0</v>
      </c>
      <c r="R72" s="17">
        <v>0</v>
      </c>
      <c r="S72" s="17">
        <v>0</v>
      </c>
      <c r="T72" s="17">
        <v>0</v>
      </c>
      <c r="U72" s="17">
        <v>1.79</v>
      </c>
      <c r="V72" s="17">
        <v>0</v>
      </c>
      <c r="W72" s="17">
        <v>1.1599999999999999</v>
      </c>
      <c r="X72" s="17">
        <v>0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  <c r="AD72" s="17">
        <v>0</v>
      </c>
      <c r="AE72" s="17">
        <v>0</v>
      </c>
      <c r="AF72" s="17">
        <v>0</v>
      </c>
      <c r="AG72" s="17">
        <v>0</v>
      </c>
      <c r="AH72" s="17">
        <v>0</v>
      </c>
      <c r="AI72" s="17">
        <f t="shared" si="7"/>
        <v>1</v>
      </c>
      <c r="AJ72" s="17">
        <f t="shared" si="8"/>
        <v>31</v>
      </c>
      <c r="AK72" s="17">
        <f t="shared" si="9"/>
        <v>16</v>
      </c>
      <c r="AL72" s="17">
        <f t="shared" si="10"/>
        <v>1</v>
      </c>
      <c r="AM72" s="17">
        <f>VLOOKUP(AK72,Sheet1!$A$2:$B$25,2,FALSE)</f>
        <v>0</v>
      </c>
    </row>
    <row r="73" spans="1:39" s="17" customFormat="1" x14ac:dyDescent="0.25">
      <c r="A73" s="21">
        <v>44592.708333333336</v>
      </c>
      <c r="B73" s="17">
        <v>4.4000000000000004</v>
      </c>
      <c r="C73" s="17">
        <v>0.25259999999999999</v>
      </c>
      <c r="D73" s="17">
        <v>4.1500000000000004</v>
      </c>
      <c r="E73" s="17">
        <v>0</v>
      </c>
      <c r="F73" s="17">
        <v>0</v>
      </c>
      <c r="G73" s="17">
        <v>0</v>
      </c>
      <c r="H73" s="17">
        <v>1.47</v>
      </c>
      <c r="I73" s="17">
        <v>0</v>
      </c>
      <c r="J73" s="17">
        <v>2.06</v>
      </c>
      <c r="K73" s="17">
        <v>0</v>
      </c>
      <c r="L73" s="17">
        <v>0</v>
      </c>
      <c r="M73" s="17">
        <v>0</v>
      </c>
      <c r="N73" s="17">
        <v>0</v>
      </c>
      <c r="O73" s="17">
        <v>0</v>
      </c>
      <c r="P73" s="17">
        <v>0</v>
      </c>
      <c r="Q73" s="17">
        <v>0</v>
      </c>
      <c r="R73" s="17">
        <v>0</v>
      </c>
      <c r="S73" s="17">
        <v>0</v>
      </c>
      <c r="T73" s="17">
        <v>0</v>
      </c>
      <c r="U73" s="17">
        <v>1.75</v>
      </c>
      <c r="V73" s="17">
        <v>0</v>
      </c>
      <c r="W73" s="17">
        <v>1.1200000000000001</v>
      </c>
      <c r="X73" s="17">
        <v>0</v>
      </c>
      <c r="Y73" s="17">
        <v>0</v>
      </c>
      <c r="Z73" s="17">
        <v>0</v>
      </c>
      <c r="AA73" s="17">
        <v>0</v>
      </c>
      <c r="AB73" s="17">
        <v>0</v>
      </c>
      <c r="AC73" s="17">
        <v>0</v>
      </c>
      <c r="AD73" s="17">
        <v>0</v>
      </c>
      <c r="AE73" s="17">
        <v>0</v>
      </c>
      <c r="AF73" s="17">
        <v>0</v>
      </c>
      <c r="AG73" s="17">
        <v>0</v>
      </c>
      <c r="AH73" s="17">
        <v>0</v>
      </c>
      <c r="AI73" s="17">
        <f t="shared" si="7"/>
        <v>1</v>
      </c>
      <c r="AJ73" s="17">
        <f t="shared" si="8"/>
        <v>31</v>
      </c>
      <c r="AK73" s="17">
        <f t="shared" si="9"/>
        <v>17</v>
      </c>
      <c r="AL73" s="17">
        <f t="shared" si="10"/>
        <v>1</v>
      </c>
      <c r="AM73" s="17">
        <f>VLOOKUP(AK73,Sheet1!$A$2:$B$25,2,FALSE)</f>
        <v>0</v>
      </c>
    </row>
    <row r="74" spans="1:39" s="17" customFormat="1" x14ac:dyDescent="0.25">
      <c r="A74" s="21">
        <v>44592.71875</v>
      </c>
      <c r="B74" s="17">
        <v>4.26</v>
      </c>
      <c r="C74" s="17">
        <v>0.21870000000000001</v>
      </c>
      <c r="D74" s="17">
        <v>4.05</v>
      </c>
      <c r="E74" s="17">
        <v>0</v>
      </c>
      <c r="F74" s="17">
        <v>0</v>
      </c>
      <c r="G74" s="17">
        <v>0</v>
      </c>
      <c r="H74" s="17">
        <v>1.94</v>
      </c>
      <c r="I74" s="17">
        <v>0</v>
      </c>
      <c r="J74" s="17">
        <v>2.35</v>
      </c>
      <c r="K74" s="17">
        <v>0</v>
      </c>
      <c r="L74" s="17">
        <v>0</v>
      </c>
      <c r="M74" s="17">
        <v>0</v>
      </c>
      <c r="N74" s="17">
        <v>0</v>
      </c>
      <c r="O74" s="17">
        <v>0</v>
      </c>
      <c r="P74" s="17">
        <v>0</v>
      </c>
      <c r="Q74" s="17">
        <v>0</v>
      </c>
      <c r="R74" s="17">
        <v>0</v>
      </c>
      <c r="S74" s="17">
        <v>0</v>
      </c>
      <c r="T74" s="17">
        <v>0</v>
      </c>
      <c r="U74" s="17">
        <v>1.76</v>
      </c>
      <c r="V74" s="17">
        <v>0</v>
      </c>
      <c r="W74" s="17">
        <v>1.1399999999999999</v>
      </c>
      <c r="X74" s="17">
        <v>0</v>
      </c>
      <c r="Y74" s="17">
        <v>0</v>
      </c>
      <c r="Z74" s="17">
        <v>0</v>
      </c>
      <c r="AA74" s="17">
        <v>0</v>
      </c>
      <c r="AB74" s="17">
        <v>0</v>
      </c>
      <c r="AC74" s="17">
        <v>0</v>
      </c>
      <c r="AD74" s="17">
        <v>0</v>
      </c>
      <c r="AE74" s="17">
        <v>0</v>
      </c>
      <c r="AF74" s="17">
        <v>0</v>
      </c>
      <c r="AG74" s="17">
        <v>0</v>
      </c>
      <c r="AH74" s="17">
        <v>0</v>
      </c>
      <c r="AI74" s="17">
        <f t="shared" si="7"/>
        <v>1</v>
      </c>
      <c r="AJ74" s="17">
        <f t="shared" si="8"/>
        <v>31</v>
      </c>
      <c r="AK74" s="17">
        <f t="shared" si="9"/>
        <v>17</v>
      </c>
      <c r="AL74" s="17">
        <f t="shared" si="10"/>
        <v>1</v>
      </c>
      <c r="AM74" s="17">
        <f>VLOOKUP(AK74,Sheet1!$A$2:$B$25,2,FALSE)</f>
        <v>0</v>
      </c>
    </row>
    <row r="75" spans="1:39" s="17" customFormat="1" x14ac:dyDescent="0.25">
      <c r="A75" s="21">
        <v>44592.729166666664</v>
      </c>
      <c r="B75" s="17">
        <v>3.95</v>
      </c>
      <c r="C75" s="17">
        <v>0</v>
      </c>
      <c r="D75" s="17">
        <v>3.95</v>
      </c>
      <c r="E75" s="17">
        <v>0</v>
      </c>
      <c r="F75" s="17">
        <v>0</v>
      </c>
      <c r="G75" s="17">
        <v>0</v>
      </c>
      <c r="H75" s="17">
        <v>2.0299999999999998</v>
      </c>
      <c r="I75" s="17">
        <v>0</v>
      </c>
      <c r="J75" s="17">
        <v>2.4300000000000002</v>
      </c>
      <c r="K75" s="17">
        <v>0</v>
      </c>
      <c r="L75" s="17">
        <v>0</v>
      </c>
      <c r="M75" s="17">
        <v>0</v>
      </c>
      <c r="N75" s="17">
        <v>0</v>
      </c>
      <c r="O75" s="17">
        <v>0</v>
      </c>
      <c r="P75" s="17">
        <v>0</v>
      </c>
      <c r="Q75" s="17">
        <v>0</v>
      </c>
      <c r="R75" s="17">
        <v>0</v>
      </c>
      <c r="S75" s="17">
        <v>0</v>
      </c>
      <c r="T75" s="17">
        <v>0</v>
      </c>
      <c r="U75" s="17">
        <v>1.75</v>
      </c>
      <c r="V75" s="17">
        <v>0</v>
      </c>
      <c r="W75" s="17">
        <v>1.1399999999999999</v>
      </c>
      <c r="X75" s="17">
        <v>0</v>
      </c>
      <c r="Y75" s="17">
        <v>0</v>
      </c>
      <c r="Z75" s="17">
        <v>0</v>
      </c>
      <c r="AA75" s="17">
        <v>0</v>
      </c>
      <c r="AB75" s="17">
        <v>0</v>
      </c>
      <c r="AC75" s="17">
        <v>0</v>
      </c>
      <c r="AD75" s="17">
        <v>0</v>
      </c>
      <c r="AE75" s="17">
        <v>0</v>
      </c>
      <c r="AF75" s="17">
        <v>0</v>
      </c>
      <c r="AG75" s="17">
        <v>0</v>
      </c>
      <c r="AH75" s="17">
        <v>0</v>
      </c>
      <c r="AI75" s="17">
        <f t="shared" si="7"/>
        <v>1</v>
      </c>
      <c r="AJ75" s="17">
        <f t="shared" si="8"/>
        <v>31</v>
      </c>
      <c r="AK75" s="17">
        <f t="shared" si="9"/>
        <v>17</v>
      </c>
      <c r="AL75" s="17">
        <f t="shared" si="10"/>
        <v>1</v>
      </c>
      <c r="AM75" s="17">
        <f>VLOOKUP(AK75,Sheet1!$A$2:$B$25,2,FALSE)</f>
        <v>0</v>
      </c>
    </row>
    <row r="76" spans="1:39" s="17" customFormat="1" x14ac:dyDescent="0.25">
      <c r="A76" s="21">
        <v>44592.739583333336</v>
      </c>
      <c r="B76" s="17">
        <v>3.89</v>
      </c>
      <c r="C76" s="17">
        <v>0</v>
      </c>
      <c r="D76" s="17">
        <v>3.89</v>
      </c>
      <c r="E76" s="17">
        <v>0</v>
      </c>
      <c r="F76" s="17">
        <v>0</v>
      </c>
      <c r="G76" s="17">
        <v>0</v>
      </c>
      <c r="H76" s="17">
        <v>1.9</v>
      </c>
      <c r="I76" s="17">
        <v>0</v>
      </c>
      <c r="J76" s="17">
        <v>2.39</v>
      </c>
      <c r="K76" s="17">
        <v>0</v>
      </c>
      <c r="L76" s="17">
        <v>0</v>
      </c>
      <c r="M76" s="17">
        <v>0</v>
      </c>
      <c r="N76" s="17">
        <v>0</v>
      </c>
      <c r="O76" s="17">
        <v>0</v>
      </c>
      <c r="P76" s="17">
        <v>0</v>
      </c>
      <c r="Q76" s="17">
        <v>0</v>
      </c>
      <c r="R76" s="17">
        <v>0</v>
      </c>
      <c r="S76" s="17">
        <v>0</v>
      </c>
      <c r="T76" s="17">
        <v>0</v>
      </c>
      <c r="U76" s="17">
        <v>1.74</v>
      </c>
      <c r="V76" s="17">
        <v>0</v>
      </c>
      <c r="W76" s="17">
        <v>1.1299999999999999</v>
      </c>
      <c r="X76" s="17">
        <v>0</v>
      </c>
      <c r="Y76" s="17">
        <v>0</v>
      </c>
      <c r="Z76" s="17">
        <v>0</v>
      </c>
      <c r="AA76" s="17">
        <v>0</v>
      </c>
      <c r="AB76" s="17">
        <v>0</v>
      </c>
      <c r="AC76" s="17">
        <v>0</v>
      </c>
      <c r="AD76" s="17">
        <v>0</v>
      </c>
      <c r="AE76" s="17">
        <v>0</v>
      </c>
      <c r="AF76" s="17">
        <v>0</v>
      </c>
      <c r="AG76" s="17">
        <v>0</v>
      </c>
      <c r="AH76" s="17">
        <v>0</v>
      </c>
      <c r="AI76" s="17">
        <f t="shared" si="7"/>
        <v>1</v>
      </c>
      <c r="AJ76" s="17">
        <f t="shared" si="8"/>
        <v>31</v>
      </c>
      <c r="AK76" s="17">
        <f t="shared" si="9"/>
        <v>17</v>
      </c>
      <c r="AL76" s="17">
        <f t="shared" si="10"/>
        <v>1</v>
      </c>
      <c r="AM76" s="17">
        <f>VLOOKUP(AK76,Sheet1!$A$2:$B$25,2,FALSE)</f>
        <v>0</v>
      </c>
    </row>
    <row r="77" spans="1:39" s="17" customFormat="1" x14ac:dyDescent="0.25">
      <c r="A77" s="21">
        <v>44592.75</v>
      </c>
      <c r="B77" s="17">
        <v>3.95</v>
      </c>
      <c r="C77" s="17">
        <v>0</v>
      </c>
      <c r="D77" s="17">
        <v>3.95</v>
      </c>
      <c r="E77" s="17">
        <v>0</v>
      </c>
      <c r="F77" s="17">
        <v>0</v>
      </c>
      <c r="G77" s="17">
        <v>0</v>
      </c>
      <c r="H77" s="17">
        <v>1.61</v>
      </c>
      <c r="I77" s="17">
        <v>0</v>
      </c>
      <c r="J77" s="17">
        <v>2.4300000000000002</v>
      </c>
      <c r="K77" s="17">
        <v>0</v>
      </c>
      <c r="L77" s="17">
        <v>0</v>
      </c>
      <c r="M77" s="17">
        <v>0</v>
      </c>
      <c r="N77" s="17">
        <v>0</v>
      </c>
      <c r="O77" s="17">
        <v>0</v>
      </c>
      <c r="P77" s="17">
        <v>0</v>
      </c>
      <c r="Q77" s="17">
        <v>0</v>
      </c>
      <c r="R77" s="17">
        <v>0</v>
      </c>
      <c r="S77" s="17">
        <v>0</v>
      </c>
      <c r="T77" s="17">
        <v>0</v>
      </c>
      <c r="U77" s="17">
        <v>1.72</v>
      </c>
      <c r="V77" s="17">
        <v>0</v>
      </c>
      <c r="W77" s="17">
        <v>1.1100000000000001</v>
      </c>
      <c r="X77" s="17">
        <v>0</v>
      </c>
      <c r="Y77" s="17">
        <v>0</v>
      </c>
      <c r="Z77" s="17">
        <v>0</v>
      </c>
      <c r="AA77" s="17">
        <v>0</v>
      </c>
      <c r="AB77" s="17">
        <v>0</v>
      </c>
      <c r="AC77" s="17">
        <v>0</v>
      </c>
      <c r="AD77" s="17">
        <v>0</v>
      </c>
      <c r="AE77" s="17">
        <v>0</v>
      </c>
      <c r="AF77" s="17">
        <v>0</v>
      </c>
      <c r="AG77" s="17">
        <v>0</v>
      </c>
      <c r="AH77" s="17">
        <v>0</v>
      </c>
      <c r="AI77" s="17">
        <f t="shared" si="7"/>
        <v>1</v>
      </c>
      <c r="AJ77" s="17">
        <f t="shared" si="8"/>
        <v>31</v>
      </c>
      <c r="AK77" s="17">
        <f t="shared" si="9"/>
        <v>18</v>
      </c>
      <c r="AL77" s="17">
        <f t="shared" si="10"/>
        <v>1</v>
      </c>
      <c r="AM77" s="17">
        <f>VLOOKUP(AK77,Sheet1!$A$2:$B$25,2,FALSE)</f>
        <v>0</v>
      </c>
    </row>
    <row r="78" spans="1:39" s="17" customFormat="1" x14ac:dyDescent="0.25">
      <c r="A78" s="21">
        <v>44592.760416666664</v>
      </c>
      <c r="B78" s="17">
        <v>3.78</v>
      </c>
      <c r="C78" s="17">
        <v>0</v>
      </c>
      <c r="D78" s="17">
        <v>3.78</v>
      </c>
      <c r="E78" s="17">
        <v>0</v>
      </c>
      <c r="F78" s="17">
        <v>0</v>
      </c>
      <c r="G78" s="17">
        <v>0</v>
      </c>
      <c r="H78" s="17">
        <v>1.54</v>
      </c>
      <c r="I78" s="17">
        <v>0</v>
      </c>
      <c r="J78" s="17">
        <v>2.42</v>
      </c>
      <c r="K78" s="17">
        <v>0</v>
      </c>
      <c r="L78" s="17">
        <v>0</v>
      </c>
      <c r="M78" s="17">
        <v>0</v>
      </c>
      <c r="N78" s="17">
        <v>0</v>
      </c>
      <c r="O78" s="17">
        <v>0</v>
      </c>
      <c r="P78" s="17">
        <v>0</v>
      </c>
      <c r="Q78" s="17">
        <v>0</v>
      </c>
      <c r="R78" s="17">
        <v>0</v>
      </c>
      <c r="S78" s="17">
        <v>0</v>
      </c>
      <c r="T78" s="17">
        <v>0</v>
      </c>
      <c r="U78" s="17">
        <v>1.74</v>
      </c>
      <c r="V78" s="17">
        <v>0</v>
      </c>
      <c r="W78" s="17">
        <v>1.1200000000000001</v>
      </c>
      <c r="X78" s="17">
        <v>0</v>
      </c>
      <c r="Y78" s="17">
        <v>0</v>
      </c>
      <c r="Z78" s="17">
        <v>0</v>
      </c>
      <c r="AA78" s="17">
        <v>0</v>
      </c>
      <c r="AB78" s="17">
        <v>0</v>
      </c>
      <c r="AC78" s="17">
        <v>0</v>
      </c>
      <c r="AD78" s="17">
        <v>0</v>
      </c>
      <c r="AE78" s="17">
        <v>0</v>
      </c>
      <c r="AF78" s="17">
        <v>0</v>
      </c>
      <c r="AG78" s="17">
        <v>0</v>
      </c>
      <c r="AH78" s="17">
        <v>0</v>
      </c>
      <c r="AI78" s="17">
        <f t="shared" si="7"/>
        <v>1</v>
      </c>
      <c r="AJ78" s="17">
        <f t="shared" si="8"/>
        <v>31</v>
      </c>
      <c r="AK78" s="17">
        <f t="shared" si="9"/>
        <v>18</v>
      </c>
      <c r="AL78" s="17">
        <f t="shared" si="10"/>
        <v>1</v>
      </c>
      <c r="AM78" s="17">
        <f>VLOOKUP(AK78,Sheet1!$A$2:$B$25,2,FALSE)</f>
        <v>0</v>
      </c>
    </row>
    <row r="79" spans="1:39" s="17" customFormat="1" x14ac:dyDescent="0.25">
      <c r="A79" s="21">
        <v>44592.770833333336</v>
      </c>
      <c r="B79" s="17">
        <v>4.58</v>
      </c>
      <c r="C79" s="17">
        <v>0.52180000000000004</v>
      </c>
      <c r="D79" s="17">
        <v>4.0599999999999996</v>
      </c>
      <c r="E79" s="17">
        <v>0</v>
      </c>
      <c r="F79" s="17">
        <v>0</v>
      </c>
      <c r="G79" s="17">
        <v>0</v>
      </c>
      <c r="H79" s="17">
        <v>2.23</v>
      </c>
      <c r="I79" s="17">
        <v>0</v>
      </c>
      <c r="J79" s="17">
        <v>2.4500000000000002</v>
      </c>
      <c r="K79" s="17">
        <v>0</v>
      </c>
      <c r="L79" s="17">
        <v>0</v>
      </c>
      <c r="M79" s="17">
        <v>0</v>
      </c>
      <c r="N79" s="17">
        <v>0</v>
      </c>
      <c r="O79" s="17">
        <v>0</v>
      </c>
      <c r="P79" s="17">
        <v>0</v>
      </c>
      <c r="Q79" s="17">
        <v>0</v>
      </c>
      <c r="R79" s="17">
        <v>0</v>
      </c>
      <c r="S79" s="17">
        <v>0</v>
      </c>
      <c r="T79" s="17">
        <v>0</v>
      </c>
      <c r="U79" s="17">
        <v>1.78</v>
      </c>
      <c r="V79" s="17">
        <v>0</v>
      </c>
      <c r="W79" s="17">
        <v>1.1599999999999999</v>
      </c>
      <c r="X79" s="17">
        <v>0</v>
      </c>
      <c r="Y79" s="17">
        <v>0</v>
      </c>
      <c r="Z79" s="17">
        <v>0</v>
      </c>
      <c r="AA79" s="17">
        <v>0</v>
      </c>
      <c r="AB79" s="17">
        <v>0</v>
      </c>
      <c r="AC79" s="17">
        <v>0</v>
      </c>
      <c r="AD79" s="17">
        <v>0</v>
      </c>
      <c r="AE79" s="17">
        <v>0</v>
      </c>
      <c r="AF79" s="17">
        <v>0</v>
      </c>
      <c r="AG79" s="17">
        <v>0</v>
      </c>
      <c r="AH79" s="17">
        <v>0</v>
      </c>
      <c r="AI79" s="17">
        <f t="shared" si="7"/>
        <v>1</v>
      </c>
      <c r="AJ79" s="17">
        <f t="shared" si="8"/>
        <v>31</v>
      </c>
      <c r="AK79" s="17">
        <f t="shared" si="9"/>
        <v>18</v>
      </c>
      <c r="AL79" s="17">
        <f t="shared" si="10"/>
        <v>1</v>
      </c>
      <c r="AM79" s="17">
        <f>VLOOKUP(AK79,Sheet1!$A$2:$B$25,2,FALSE)</f>
        <v>0</v>
      </c>
    </row>
    <row r="80" spans="1:39" s="17" customFormat="1" x14ac:dyDescent="0.25">
      <c r="A80" s="21">
        <v>44592.78125</v>
      </c>
      <c r="B80" s="17">
        <v>4.05</v>
      </c>
      <c r="C80" s="17">
        <v>0</v>
      </c>
      <c r="D80" s="17">
        <v>4.05</v>
      </c>
      <c r="E80" s="17">
        <v>0</v>
      </c>
      <c r="F80" s="17">
        <v>0</v>
      </c>
      <c r="G80" s="17">
        <v>0</v>
      </c>
      <c r="H80" s="17">
        <v>1.29</v>
      </c>
      <c r="I80" s="17">
        <v>0</v>
      </c>
      <c r="J80" s="17">
        <v>2.4900000000000002</v>
      </c>
      <c r="K80" s="17">
        <v>0</v>
      </c>
      <c r="L80" s="17">
        <v>0</v>
      </c>
      <c r="M80" s="17">
        <v>0</v>
      </c>
      <c r="N80" s="17">
        <v>0</v>
      </c>
      <c r="O80" s="17">
        <v>0</v>
      </c>
      <c r="P80" s="17">
        <v>0</v>
      </c>
      <c r="Q80" s="17">
        <v>0</v>
      </c>
      <c r="R80" s="17">
        <v>0</v>
      </c>
      <c r="S80" s="17">
        <v>0</v>
      </c>
      <c r="T80" s="17">
        <v>0</v>
      </c>
      <c r="U80" s="17">
        <v>1.8</v>
      </c>
      <c r="V80" s="17">
        <v>0</v>
      </c>
      <c r="W80" s="17">
        <v>1.17</v>
      </c>
      <c r="X80" s="17">
        <v>0</v>
      </c>
      <c r="Y80" s="17">
        <v>0</v>
      </c>
      <c r="Z80" s="17">
        <v>0</v>
      </c>
      <c r="AA80" s="17">
        <v>0</v>
      </c>
      <c r="AB80" s="17">
        <v>0</v>
      </c>
      <c r="AC80" s="17">
        <v>0</v>
      </c>
      <c r="AD80" s="17">
        <v>0</v>
      </c>
      <c r="AE80" s="17">
        <v>0</v>
      </c>
      <c r="AF80" s="17">
        <v>0</v>
      </c>
      <c r="AG80" s="17">
        <v>0</v>
      </c>
      <c r="AH80" s="17">
        <v>0</v>
      </c>
      <c r="AI80" s="17">
        <f t="shared" si="7"/>
        <v>1</v>
      </c>
      <c r="AJ80" s="17">
        <f t="shared" si="8"/>
        <v>31</v>
      </c>
      <c r="AK80" s="17">
        <f t="shared" si="9"/>
        <v>18</v>
      </c>
      <c r="AL80" s="17">
        <f t="shared" si="10"/>
        <v>1</v>
      </c>
      <c r="AM80" s="17">
        <f>VLOOKUP(AK80,Sheet1!$A$2:$B$25,2,FALSE)</f>
        <v>0</v>
      </c>
    </row>
    <row r="81" spans="1:39" s="17" customFormat="1" x14ac:dyDescent="0.25">
      <c r="A81" s="21">
        <v>44592.791666666664</v>
      </c>
      <c r="B81" s="17">
        <v>4.59</v>
      </c>
      <c r="C81" s="17">
        <v>0.53920000000000001</v>
      </c>
      <c r="D81" s="17">
        <v>4.05</v>
      </c>
      <c r="E81" s="17">
        <v>0</v>
      </c>
      <c r="F81" s="17">
        <v>0</v>
      </c>
      <c r="G81" s="17">
        <v>0</v>
      </c>
      <c r="H81" s="17">
        <v>1.81</v>
      </c>
      <c r="I81" s="17">
        <v>0</v>
      </c>
      <c r="J81" s="17">
        <v>2.44</v>
      </c>
      <c r="K81" s="17">
        <v>0</v>
      </c>
      <c r="L81" s="17">
        <v>0</v>
      </c>
      <c r="M81" s="17">
        <v>0</v>
      </c>
      <c r="N81" s="17">
        <v>0</v>
      </c>
      <c r="O81" s="17">
        <v>0</v>
      </c>
      <c r="P81" s="17">
        <v>0</v>
      </c>
      <c r="Q81" s="17">
        <v>0</v>
      </c>
      <c r="R81" s="17">
        <v>0</v>
      </c>
      <c r="S81" s="17">
        <v>0</v>
      </c>
      <c r="T81" s="17">
        <v>0</v>
      </c>
      <c r="U81" s="17">
        <v>1.82</v>
      </c>
      <c r="V81" s="17">
        <v>0</v>
      </c>
      <c r="W81" s="17">
        <v>1.18</v>
      </c>
      <c r="X81" s="17">
        <v>0</v>
      </c>
      <c r="Y81" s="17">
        <v>0</v>
      </c>
      <c r="Z81" s="17">
        <v>0</v>
      </c>
      <c r="AA81" s="17">
        <v>0</v>
      </c>
      <c r="AB81" s="17">
        <v>0</v>
      </c>
      <c r="AC81" s="17">
        <v>0</v>
      </c>
      <c r="AD81" s="17">
        <v>0</v>
      </c>
      <c r="AE81" s="17">
        <v>0</v>
      </c>
      <c r="AF81" s="17">
        <v>0</v>
      </c>
      <c r="AG81" s="17">
        <v>0</v>
      </c>
      <c r="AH81" s="17">
        <v>0</v>
      </c>
      <c r="AI81" s="17">
        <f t="shared" si="7"/>
        <v>1</v>
      </c>
      <c r="AJ81" s="17">
        <f t="shared" si="8"/>
        <v>31</v>
      </c>
      <c r="AK81" s="17">
        <f t="shared" si="9"/>
        <v>19</v>
      </c>
      <c r="AL81" s="17">
        <f t="shared" si="10"/>
        <v>1</v>
      </c>
      <c r="AM81" s="17">
        <f>VLOOKUP(AK81,Sheet1!$A$2:$B$25,2,FALSE)</f>
        <v>0</v>
      </c>
    </row>
    <row r="82" spans="1:39" s="17" customFormat="1" x14ac:dyDescent="0.25">
      <c r="A82" s="21">
        <v>44592.802083333336</v>
      </c>
      <c r="B82" s="17">
        <v>4.3899999999999997</v>
      </c>
      <c r="C82" s="17">
        <v>0.25259999999999999</v>
      </c>
      <c r="D82" s="17">
        <v>4.1399999999999997</v>
      </c>
      <c r="E82" s="17">
        <v>0</v>
      </c>
      <c r="F82" s="17">
        <v>0</v>
      </c>
      <c r="G82" s="17">
        <v>0</v>
      </c>
      <c r="H82" s="17">
        <v>1.59</v>
      </c>
      <c r="I82" s="17">
        <v>0</v>
      </c>
      <c r="J82" s="17">
        <v>2.46</v>
      </c>
      <c r="K82" s="17">
        <v>0</v>
      </c>
      <c r="L82" s="17">
        <v>0</v>
      </c>
      <c r="M82" s="17">
        <v>0</v>
      </c>
      <c r="N82" s="17">
        <v>0</v>
      </c>
      <c r="O82" s="17">
        <v>0</v>
      </c>
      <c r="P82" s="17">
        <v>0</v>
      </c>
      <c r="Q82" s="17">
        <v>0</v>
      </c>
      <c r="R82" s="17">
        <v>0</v>
      </c>
      <c r="S82" s="17">
        <v>0</v>
      </c>
      <c r="T82" s="17">
        <v>0</v>
      </c>
      <c r="U82" s="17">
        <v>1.79</v>
      </c>
      <c r="V82" s="17">
        <v>0</v>
      </c>
      <c r="W82" s="17">
        <v>1.1599999999999999</v>
      </c>
      <c r="X82" s="17">
        <v>0</v>
      </c>
      <c r="Y82" s="17">
        <v>0</v>
      </c>
      <c r="Z82" s="17">
        <v>0</v>
      </c>
      <c r="AA82" s="17">
        <v>0</v>
      </c>
      <c r="AB82" s="17">
        <v>0</v>
      </c>
      <c r="AC82" s="17">
        <v>0</v>
      </c>
      <c r="AD82" s="17">
        <v>0</v>
      </c>
      <c r="AE82" s="17">
        <v>0</v>
      </c>
      <c r="AF82" s="17">
        <v>0</v>
      </c>
      <c r="AG82" s="17">
        <v>0</v>
      </c>
      <c r="AH82" s="17">
        <v>0</v>
      </c>
      <c r="AI82" s="17">
        <f t="shared" si="7"/>
        <v>1</v>
      </c>
      <c r="AJ82" s="17">
        <f t="shared" si="8"/>
        <v>31</v>
      </c>
      <c r="AK82" s="17">
        <f t="shared" si="9"/>
        <v>19</v>
      </c>
      <c r="AL82" s="17">
        <f t="shared" si="10"/>
        <v>1</v>
      </c>
      <c r="AM82" s="17">
        <f>VLOOKUP(AK82,Sheet1!$A$2:$B$25,2,FALSE)</f>
        <v>0</v>
      </c>
    </row>
    <row r="83" spans="1:39" s="17" customFormat="1" x14ac:dyDescent="0.25">
      <c r="A83" s="21">
        <v>44592.8125</v>
      </c>
      <c r="B83" s="17">
        <v>4.41</v>
      </c>
      <c r="C83" s="17">
        <v>0.25259999999999999</v>
      </c>
      <c r="D83" s="17">
        <v>4.1500000000000004</v>
      </c>
      <c r="E83" s="17">
        <v>0</v>
      </c>
      <c r="F83" s="17">
        <v>0</v>
      </c>
      <c r="G83" s="17">
        <v>0</v>
      </c>
      <c r="H83" s="17">
        <v>2.25</v>
      </c>
      <c r="I83" s="17">
        <v>0</v>
      </c>
      <c r="J83" s="17">
        <v>2.4900000000000002</v>
      </c>
      <c r="K83" s="17">
        <v>0</v>
      </c>
      <c r="L83" s="17">
        <v>0</v>
      </c>
      <c r="M83" s="17">
        <v>0</v>
      </c>
      <c r="N83" s="17">
        <v>0</v>
      </c>
      <c r="O83" s="17">
        <v>0</v>
      </c>
      <c r="P83" s="17">
        <v>0</v>
      </c>
      <c r="Q83" s="17">
        <v>0</v>
      </c>
      <c r="R83" s="17">
        <v>0</v>
      </c>
      <c r="S83" s="17">
        <v>0</v>
      </c>
      <c r="T83" s="17">
        <v>0</v>
      </c>
      <c r="U83" s="17">
        <v>1.8</v>
      </c>
      <c r="V83" s="17">
        <v>0</v>
      </c>
      <c r="W83" s="17">
        <v>1.17</v>
      </c>
      <c r="X83" s="17">
        <v>0</v>
      </c>
      <c r="Y83" s="17">
        <v>0</v>
      </c>
      <c r="Z83" s="17">
        <v>0</v>
      </c>
      <c r="AA83" s="17">
        <v>0</v>
      </c>
      <c r="AB83" s="17">
        <v>0</v>
      </c>
      <c r="AC83" s="17">
        <v>0</v>
      </c>
      <c r="AD83" s="17">
        <v>0</v>
      </c>
      <c r="AE83" s="17">
        <v>0</v>
      </c>
      <c r="AF83" s="17">
        <v>0</v>
      </c>
      <c r="AG83" s="17">
        <v>0</v>
      </c>
      <c r="AH83" s="17">
        <v>0</v>
      </c>
      <c r="AI83" s="17">
        <f t="shared" si="7"/>
        <v>1</v>
      </c>
      <c r="AJ83" s="17">
        <f t="shared" si="8"/>
        <v>31</v>
      </c>
      <c r="AK83" s="17">
        <f t="shared" si="9"/>
        <v>19</v>
      </c>
      <c r="AL83" s="17">
        <f t="shared" si="10"/>
        <v>1</v>
      </c>
      <c r="AM83" s="17">
        <f>VLOOKUP(AK83,Sheet1!$A$2:$B$25,2,FALSE)</f>
        <v>0</v>
      </c>
    </row>
    <row r="84" spans="1:39" s="17" customFormat="1" x14ac:dyDescent="0.25">
      <c r="A84" s="21">
        <v>44592.822916666664</v>
      </c>
      <c r="B84" s="17">
        <v>4.3899999999999997</v>
      </c>
      <c r="C84" s="17">
        <v>0.26919999999999999</v>
      </c>
      <c r="D84" s="17">
        <v>4.12</v>
      </c>
      <c r="E84" s="17">
        <v>0</v>
      </c>
      <c r="F84" s="17">
        <v>0</v>
      </c>
      <c r="G84" s="17">
        <v>0</v>
      </c>
      <c r="H84" s="17">
        <v>1.0900000000000001</v>
      </c>
      <c r="I84" s="17">
        <v>0</v>
      </c>
      <c r="J84" s="17">
        <v>1.84</v>
      </c>
      <c r="K84" s="17">
        <v>0</v>
      </c>
      <c r="L84" s="17">
        <v>0</v>
      </c>
      <c r="M84" s="17">
        <v>0</v>
      </c>
      <c r="N84" s="17">
        <v>0</v>
      </c>
      <c r="O84" s="17">
        <v>0</v>
      </c>
      <c r="P84" s="17">
        <v>0</v>
      </c>
      <c r="Q84" s="17">
        <v>0</v>
      </c>
      <c r="R84" s="17">
        <v>0</v>
      </c>
      <c r="S84" s="17">
        <v>0</v>
      </c>
      <c r="T84" s="17">
        <v>0</v>
      </c>
      <c r="U84" s="17">
        <v>1.83</v>
      </c>
      <c r="V84" s="17">
        <v>0</v>
      </c>
      <c r="W84" s="17">
        <v>1.19</v>
      </c>
      <c r="X84" s="17">
        <v>0</v>
      </c>
      <c r="Y84" s="17">
        <v>0</v>
      </c>
      <c r="Z84" s="17">
        <v>0</v>
      </c>
      <c r="AA84" s="17">
        <v>0</v>
      </c>
      <c r="AB84" s="17">
        <v>0</v>
      </c>
      <c r="AC84" s="17">
        <v>0</v>
      </c>
      <c r="AD84" s="17">
        <v>0</v>
      </c>
      <c r="AE84" s="17">
        <v>0</v>
      </c>
      <c r="AF84" s="17">
        <v>0</v>
      </c>
      <c r="AG84" s="17">
        <v>0</v>
      </c>
      <c r="AH84" s="17">
        <v>0</v>
      </c>
      <c r="AI84" s="17">
        <f t="shared" si="7"/>
        <v>1</v>
      </c>
      <c r="AJ84" s="17">
        <f t="shared" si="8"/>
        <v>31</v>
      </c>
      <c r="AK84" s="17">
        <f t="shared" si="9"/>
        <v>19</v>
      </c>
      <c r="AL84" s="17">
        <f t="shared" si="10"/>
        <v>1</v>
      </c>
      <c r="AM84" s="17">
        <f>VLOOKUP(AK84,Sheet1!$A$2:$B$25,2,FALSE)</f>
        <v>0</v>
      </c>
    </row>
    <row r="85" spans="1:39" s="17" customFormat="1" x14ac:dyDescent="0.25">
      <c r="A85" s="21">
        <v>44592.833333333336</v>
      </c>
      <c r="B85" s="17">
        <v>4.37</v>
      </c>
      <c r="C85" s="17">
        <v>0.26919999999999999</v>
      </c>
      <c r="D85" s="17">
        <v>4.0999999999999996</v>
      </c>
      <c r="E85" s="17">
        <v>0</v>
      </c>
      <c r="F85" s="17">
        <v>0</v>
      </c>
      <c r="G85" s="17">
        <v>0</v>
      </c>
      <c r="H85" s="17">
        <v>1.93</v>
      </c>
      <c r="I85" s="17">
        <v>0</v>
      </c>
      <c r="J85" s="17">
        <v>2.5499999999999998</v>
      </c>
      <c r="K85" s="17">
        <v>0</v>
      </c>
      <c r="L85" s="17">
        <v>0</v>
      </c>
      <c r="M85" s="17">
        <v>0</v>
      </c>
      <c r="N85" s="17">
        <v>0</v>
      </c>
      <c r="O85" s="17">
        <v>0</v>
      </c>
      <c r="P85" s="17">
        <v>0</v>
      </c>
      <c r="Q85" s="17">
        <v>0</v>
      </c>
      <c r="R85" s="17">
        <v>0</v>
      </c>
      <c r="S85" s="17">
        <v>0</v>
      </c>
      <c r="T85" s="17">
        <v>0</v>
      </c>
      <c r="U85" s="17">
        <v>1.84</v>
      </c>
      <c r="V85" s="17">
        <v>0</v>
      </c>
      <c r="W85" s="17">
        <v>1.19</v>
      </c>
      <c r="X85" s="17">
        <v>0</v>
      </c>
      <c r="Y85" s="17">
        <v>0</v>
      </c>
      <c r="Z85" s="17">
        <v>0</v>
      </c>
      <c r="AA85" s="17">
        <v>0</v>
      </c>
      <c r="AB85" s="17">
        <v>0</v>
      </c>
      <c r="AC85" s="17">
        <v>0</v>
      </c>
      <c r="AD85" s="17">
        <v>0</v>
      </c>
      <c r="AE85" s="17">
        <v>0</v>
      </c>
      <c r="AF85" s="17">
        <v>0</v>
      </c>
      <c r="AG85" s="17">
        <v>0</v>
      </c>
      <c r="AH85" s="17">
        <v>0</v>
      </c>
      <c r="AI85" s="17">
        <f t="shared" si="7"/>
        <v>1</v>
      </c>
      <c r="AJ85" s="17">
        <f t="shared" si="8"/>
        <v>31</v>
      </c>
      <c r="AK85" s="17">
        <f t="shared" si="9"/>
        <v>20</v>
      </c>
      <c r="AL85" s="17">
        <f t="shared" si="10"/>
        <v>1</v>
      </c>
      <c r="AM85" s="17">
        <f>VLOOKUP(AK85,Sheet1!$A$2:$B$25,2,FALSE)</f>
        <v>0</v>
      </c>
    </row>
    <row r="86" spans="1:39" s="17" customFormat="1" x14ac:dyDescent="0.25">
      <c r="A86" s="21">
        <v>44592.84375</v>
      </c>
      <c r="B86" s="17">
        <v>4.6900000000000004</v>
      </c>
      <c r="C86" s="17">
        <v>0.50519999999999998</v>
      </c>
      <c r="D86" s="17">
        <v>4.18</v>
      </c>
      <c r="E86" s="17">
        <v>0</v>
      </c>
      <c r="F86" s="17">
        <v>0</v>
      </c>
      <c r="G86" s="17">
        <v>0</v>
      </c>
      <c r="H86" s="17">
        <v>1.22</v>
      </c>
      <c r="I86" s="17">
        <v>0</v>
      </c>
      <c r="J86" s="17">
        <v>1.7</v>
      </c>
      <c r="K86" s="17">
        <v>0</v>
      </c>
      <c r="L86" s="17">
        <v>0</v>
      </c>
      <c r="M86" s="17">
        <v>0</v>
      </c>
      <c r="N86" s="17">
        <v>0</v>
      </c>
      <c r="O86" s="17">
        <v>0</v>
      </c>
      <c r="P86" s="17">
        <v>0</v>
      </c>
      <c r="Q86" s="17">
        <v>0</v>
      </c>
      <c r="R86" s="17">
        <v>0</v>
      </c>
      <c r="S86" s="17">
        <v>0</v>
      </c>
      <c r="T86" s="17">
        <v>0</v>
      </c>
      <c r="U86" s="17">
        <v>1.82</v>
      </c>
      <c r="V86" s="17">
        <v>0</v>
      </c>
      <c r="W86" s="17">
        <v>1.19</v>
      </c>
      <c r="X86" s="17">
        <v>0</v>
      </c>
      <c r="Y86" s="17">
        <v>0</v>
      </c>
      <c r="Z86" s="17">
        <v>0</v>
      </c>
      <c r="AA86" s="17">
        <v>0</v>
      </c>
      <c r="AB86" s="17">
        <v>0</v>
      </c>
      <c r="AC86" s="17">
        <v>0</v>
      </c>
      <c r="AD86" s="17">
        <v>0</v>
      </c>
      <c r="AE86" s="17">
        <v>0</v>
      </c>
      <c r="AF86" s="17">
        <v>0</v>
      </c>
      <c r="AG86" s="17">
        <v>0</v>
      </c>
      <c r="AH86" s="17">
        <v>0</v>
      </c>
      <c r="AI86" s="17">
        <f t="shared" si="7"/>
        <v>1</v>
      </c>
      <c r="AJ86" s="17">
        <f t="shared" si="8"/>
        <v>31</v>
      </c>
      <c r="AK86" s="17">
        <f t="shared" si="9"/>
        <v>20</v>
      </c>
      <c r="AL86" s="17">
        <f t="shared" si="10"/>
        <v>1</v>
      </c>
      <c r="AM86" s="17">
        <f>VLOOKUP(AK86,Sheet1!$A$2:$B$25,2,FALSE)</f>
        <v>0</v>
      </c>
    </row>
    <row r="87" spans="1:39" s="17" customFormat="1" x14ac:dyDescent="0.25">
      <c r="A87" s="21">
        <v>44592.854166666664</v>
      </c>
      <c r="B87" s="17">
        <v>4.68</v>
      </c>
      <c r="C87" s="17">
        <v>0.26919999999999999</v>
      </c>
      <c r="D87" s="17">
        <v>4.41</v>
      </c>
      <c r="E87" s="17">
        <v>0</v>
      </c>
      <c r="F87" s="17">
        <v>0</v>
      </c>
      <c r="G87" s="17">
        <v>0</v>
      </c>
      <c r="H87" s="17">
        <v>2.0699999999999998</v>
      </c>
      <c r="I87" s="17">
        <v>0</v>
      </c>
      <c r="J87" s="17">
        <v>2.5099999999999998</v>
      </c>
      <c r="K87" s="17">
        <v>0</v>
      </c>
      <c r="L87" s="17">
        <v>0</v>
      </c>
      <c r="M87" s="17">
        <v>0</v>
      </c>
      <c r="N87" s="17">
        <v>0</v>
      </c>
      <c r="O87" s="17">
        <v>0</v>
      </c>
      <c r="P87" s="17">
        <v>0</v>
      </c>
      <c r="Q87" s="17">
        <v>0</v>
      </c>
      <c r="R87" s="17">
        <v>0</v>
      </c>
      <c r="S87" s="17">
        <v>0</v>
      </c>
      <c r="T87" s="17">
        <v>0</v>
      </c>
      <c r="U87" s="17">
        <v>1.81</v>
      </c>
      <c r="V87" s="17">
        <v>0</v>
      </c>
      <c r="W87" s="17">
        <v>1.18</v>
      </c>
      <c r="X87" s="17">
        <v>0</v>
      </c>
      <c r="Y87" s="17">
        <v>0</v>
      </c>
      <c r="Z87" s="17">
        <v>0</v>
      </c>
      <c r="AA87" s="17">
        <v>0</v>
      </c>
      <c r="AB87" s="17">
        <v>0</v>
      </c>
      <c r="AC87" s="17">
        <v>0</v>
      </c>
      <c r="AD87" s="17">
        <v>0</v>
      </c>
      <c r="AE87" s="17">
        <v>0</v>
      </c>
      <c r="AF87" s="17">
        <v>0</v>
      </c>
      <c r="AG87" s="17">
        <v>0</v>
      </c>
      <c r="AH87" s="17">
        <v>0</v>
      </c>
      <c r="AI87" s="17">
        <f t="shared" si="7"/>
        <v>1</v>
      </c>
      <c r="AJ87" s="17">
        <f t="shared" si="8"/>
        <v>31</v>
      </c>
      <c r="AK87" s="17">
        <f t="shared" si="9"/>
        <v>20</v>
      </c>
      <c r="AL87" s="17">
        <f t="shared" si="10"/>
        <v>1</v>
      </c>
      <c r="AM87" s="17">
        <f>VLOOKUP(AK87,Sheet1!$A$2:$B$25,2,FALSE)</f>
        <v>0</v>
      </c>
    </row>
    <row r="88" spans="1:39" s="17" customFormat="1" x14ac:dyDescent="0.25">
      <c r="A88" s="21">
        <v>44592.864583333336</v>
      </c>
      <c r="B88" s="17">
        <v>4.3099999999999996</v>
      </c>
      <c r="C88" s="17">
        <v>0.23599999999999999</v>
      </c>
      <c r="D88" s="17">
        <v>4.08</v>
      </c>
      <c r="E88" s="17">
        <v>0</v>
      </c>
      <c r="F88" s="17">
        <v>0</v>
      </c>
      <c r="G88" s="17">
        <v>0</v>
      </c>
      <c r="H88" s="17">
        <v>1.18</v>
      </c>
      <c r="I88" s="17">
        <v>0</v>
      </c>
      <c r="J88" s="17">
        <v>2.42</v>
      </c>
      <c r="K88" s="17">
        <v>0</v>
      </c>
      <c r="L88" s="17">
        <v>0</v>
      </c>
      <c r="M88" s="17">
        <v>0</v>
      </c>
      <c r="N88" s="17">
        <v>0</v>
      </c>
      <c r="O88" s="17">
        <v>0</v>
      </c>
      <c r="P88" s="17">
        <v>0</v>
      </c>
      <c r="Q88" s="17">
        <v>0</v>
      </c>
      <c r="R88" s="17">
        <v>0</v>
      </c>
      <c r="S88" s="17">
        <v>0</v>
      </c>
      <c r="T88" s="17">
        <v>0</v>
      </c>
      <c r="U88" s="17">
        <v>1.82</v>
      </c>
      <c r="V88" s="17">
        <v>0</v>
      </c>
      <c r="W88" s="17">
        <v>1.18</v>
      </c>
      <c r="X88" s="17">
        <v>0</v>
      </c>
      <c r="Y88" s="17">
        <v>0</v>
      </c>
      <c r="Z88" s="17">
        <v>0</v>
      </c>
      <c r="AA88" s="17">
        <v>0</v>
      </c>
      <c r="AB88" s="17">
        <v>0</v>
      </c>
      <c r="AC88" s="17">
        <v>0</v>
      </c>
      <c r="AD88" s="17">
        <v>0</v>
      </c>
      <c r="AE88" s="17">
        <v>0</v>
      </c>
      <c r="AF88" s="17">
        <v>0</v>
      </c>
      <c r="AG88" s="17">
        <v>0</v>
      </c>
      <c r="AH88" s="17">
        <v>0</v>
      </c>
      <c r="AI88" s="17">
        <f t="shared" si="7"/>
        <v>1</v>
      </c>
      <c r="AJ88" s="17">
        <f t="shared" si="8"/>
        <v>31</v>
      </c>
      <c r="AK88" s="17">
        <f t="shared" si="9"/>
        <v>20</v>
      </c>
      <c r="AL88" s="17">
        <f t="shared" si="10"/>
        <v>1</v>
      </c>
      <c r="AM88" s="17">
        <f>VLOOKUP(AK88,Sheet1!$A$2:$B$25,2,FALSE)</f>
        <v>0</v>
      </c>
    </row>
    <row r="89" spans="1:39" s="17" customFormat="1" x14ac:dyDescent="0.25">
      <c r="A89" s="21">
        <v>44592.875</v>
      </c>
      <c r="B89" s="17">
        <v>4.4800000000000004</v>
      </c>
      <c r="C89" s="17">
        <v>0.23599999999999999</v>
      </c>
      <c r="D89" s="17">
        <v>4.24</v>
      </c>
      <c r="E89" s="17">
        <v>0</v>
      </c>
      <c r="F89" s="17">
        <v>0</v>
      </c>
      <c r="G89" s="17">
        <v>0</v>
      </c>
      <c r="H89" s="17">
        <v>1.71</v>
      </c>
      <c r="I89" s="17">
        <v>0</v>
      </c>
      <c r="J89" s="17">
        <v>2.54</v>
      </c>
      <c r="K89" s="17">
        <v>0</v>
      </c>
      <c r="L89" s="17">
        <v>0</v>
      </c>
      <c r="M89" s="17">
        <v>0</v>
      </c>
      <c r="N89" s="17">
        <v>0</v>
      </c>
      <c r="O89" s="17">
        <v>0</v>
      </c>
      <c r="P89" s="17">
        <v>0</v>
      </c>
      <c r="Q89" s="17">
        <v>0</v>
      </c>
      <c r="R89" s="17">
        <v>0</v>
      </c>
      <c r="S89" s="17">
        <v>0</v>
      </c>
      <c r="T89" s="17">
        <v>0</v>
      </c>
      <c r="U89" s="17">
        <v>1.84</v>
      </c>
      <c r="V89" s="17">
        <v>0</v>
      </c>
      <c r="W89" s="17">
        <v>1.19</v>
      </c>
      <c r="X89" s="17">
        <v>0</v>
      </c>
      <c r="Y89" s="17">
        <v>0</v>
      </c>
      <c r="Z89" s="17">
        <v>0</v>
      </c>
      <c r="AA89" s="17">
        <v>0</v>
      </c>
      <c r="AB89" s="17">
        <v>0</v>
      </c>
      <c r="AC89" s="17">
        <v>0</v>
      </c>
      <c r="AD89" s="17">
        <v>0</v>
      </c>
      <c r="AE89" s="17">
        <v>0</v>
      </c>
      <c r="AF89" s="17">
        <v>0</v>
      </c>
      <c r="AG89" s="17">
        <v>0</v>
      </c>
      <c r="AH89" s="17">
        <v>0</v>
      </c>
      <c r="AI89" s="17">
        <f t="shared" si="7"/>
        <v>1</v>
      </c>
      <c r="AJ89" s="17">
        <f t="shared" si="8"/>
        <v>31</v>
      </c>
      <c r="AK89" s="17">
        <f t="shared" si="9"/>
        <v>21</v>
      </c>
      <c r="AL89" s="17">
        <f t="shared" si="10"/>
        <v>1</v>
      </c>
      <c r="AM89" s="17">
        <f>VLOOKUP(AK89,Sheet1!$A$2:$B$25,2,FALSE)</f>
        <v>0</v>
      </c>
    </row>
    <row r="90" spans="1:39" s="17" customFormat="1" x14ac:dyDescent="0.25">
      <c r="A90" s="21">
        <v>44592.885416666664</v>
      </c>
      <c r="B90" s="17">
        <v>4.32</v>
      </c>
      <c r="C90" s="17">
        <v>0.26919999999999999</v>
      </c>
      <c r="D90" s="17">
        <v>4.05</v>
      </c>
      <c r="E90" s="17">
        <v>0</v>
      </c>
      <c r="F90" s="17">
        <v>0</v>
      </c>
      <c r="G90" s="17">
        <v>0</v>
      </c>
      <c r="H90" s="17">
        <v>1.99</v>
      </c>
      <c r="I90" s="17">
        <v>0</v>
      </c>
      <c r="J90" s="17">
        <v>2.41</v>
      </c>
      <c r="K90" s="17">
        <v>0</v>
      </c>
      <c r="L90" s="17">
        <v>0</v>
      </c>
      <c r="M90" s="17">
        <v>0</v>
      </c>
      <c r="N90" s="17">
        <v>0</v>
      </c>
      <c r="O90" s="17">
        <v>0</v>
      </c>
      <c r="P90" s="17">
        <v>0</v>
      </c>
      <c r="Q90" s="17">
        <v>0</v>
      </c>
      <c r="R90" s="17">
        <v>0</v>
      </c>
      <c r="S90" s="17">
        <v>0</v>
      </c>
      <c r="T90" s="17">
        <v>0</v>
      </c>
      <c r="U90" s="17">
        <v>1.8</v>
      </c>
      <c r="V90" s="17">
        <v>0</v>
      </c>
      <c r="W90" s="17">
        <v>1.1599999999999999</v>
      </c>
      <c r="X90" s="17">
        <v>0</v>
      </c>
      <c r="Y90" s="17">
        <v>0</v>
      </c>
      <c r="Z90" s="17">
        <v>0</v>
      </c>
      <c r="AA90" s="17">
        <v>0</v>
      </c>
      <c r="AB90" s="17">
        <v>0</v>
      </c>
      <c r="AC90" s="17">
        <v>0</v>
      </c>
      <c r="AD90" s="17">
        <v>0</v>
      </c>
      <c r="AE90" s="17">
        <v>0</v>
      </c>
      <c r="AF90" s="17">
        <v>0</v>
      </c>
      <c r="AG90" s="17">
        <v>0</v>
      </c>
      <c r="AH90" s="17">
        <v>0</v>
      </c>
      <c r="AI90" s="17">
        <f t="shared" si="7"/>
        <v>1</v>
      </c>
      <c r="AJ90" s="17">
        <f t="shared" si="8"/>
        <v>31</v>
      </c>
      <c r="AK90" s="17">
        <f t="shared" si="9"/>
        <v>21</v>
      </c>
      <c r="AL90" s="17">
        <f t="shared" si="10"/>
        <v>1</v>
      </c>
      <c r="AM90" s="17">
        <f>VLOOKUP(AK90,Sheet1!$A$2:$B$25,2,FALSE)</f>
        <v>0</v>
      </c>
    </row>
    <row r="91" spans="1:39" s="17" customFormat="1" x14ac:dyDescent="0.25">
      <c r="A91" s="21">
        <v>44592.895833333336</v>
      </c>
      <c r="B91" s="17">
        <v>4.2</v>
      </c>
      <c r="C91" s="17">
        <v>0.23599999999999999</v>
      </c>
      <c r="D91" s="17">
        <v>3.97</v>
      </c>
      <c r="E91" s="17">
        <v>0</v>
      </c>
      <c r="F91" s="17">
        <v>0</v>
      </c>
      <c r="G91" s="17">
        <v>0</v>
      </c>
      <c r="H91" s="17">
        <v>1.24</v>
      </c>
      <c r="I91" s="17">
        <v>0</v>
      </c>
      <c r="J91" s="17">
        <v>1.92</v>
      </c>
      <c r="K91" s="17">
        <v>0</v>
      </c>
      <c r="L91" s="17">
        <v>0</v>
      </c>
      <c r="M91" s="17">
        <v>0</v>
      </c>
      <c r="N91" s="17">
        <v>0</v>
      </c>
      <c r="O91" s="17">
        <v>0</v>
      </c>
      <c r="P91" s="17">
        <v>0</v>
      </c>
      <c r="Q91" s="17">
        <v>0</v>
      </c>
      <c r="R91" s="17">
        <v>0</v>
      </c>
      <c r="S91" s="17">
        <v>0</v>
      </c>
      <c r="T91" s="17">
        <v>0</v>
      </c>
      <c r="U91" s="17">
        <v>1.71</v>
      </c>
      <c r="V91" s="17">
        <v>0</v>
      </c>
      <c r="W91" s="17">
        <v>1.1000000000000001</v>
      </c>
      <c r="X91" s="17">
        <v>0</v>
      </c>
      <c r="Y91" s="17">
        <v>0</v>
      </c>
      <c r="Z91" s="17">
        <v>0</v>
      </c>
      <c r="AA91" s="17">
        <v>0</v>
      </c>
      <c r="AB91" s="17">
        <v>0</v>
      </c>
      <c r="AC91" s="17">
        <v>0</v>
      </c>
      <c r="AD91" s="17">
        <v>0</v>
      </c>
      <c r="AE91" s="17">
        <v>0</v>
      </c>
      <c r="AF91" s="17">
        <v>0</v>
      </c>
      <c r="AG91" s="17">
        <v>0</v>
      </c>
      <c r="AH91" s="17">
        <v>0</v>
      </c>
      <c r="AI91" s="17">
        <f t="shared" si="7"/>
        <v>1</v>
      </c>
      <c r="AJ91" s="17">
        <f t="shared" si="8"/>
        <v>31</v>
      </c>
      <c r="AK91" s="17">
        <f t="shared" si="9"/>
        <v>21</v>
      </c>
      <c r="AL91" s="17">
        <f t="shared" si="10"/>
        <v>1</v>
      </c>
      <c r="AM91" s="17">
        <f>VLOOKUP(AK91,Sheet1!$A$2:$B$25,2,FALSE)</f>
        <v>0</v>
      </c>
    </row>
    <row r="92" spans="1:39" s="17" customFormat="1" x14ac:dyDescent="0.25">
      <c r="A92" s="21">
        <v>44592.90625</v>
      </c>
      <c r="B92" s="17">
        <v>4.12</v>
      </c>
      <c r="C92" s="17">
        <v>0</v>
      </c>
      <c r="D92" s="17">
        <v>4.12</v>
      </c>
      <c r="E92" s="17">
        <v>0</v>
      </c>
      <c r="F92" s="17">
        <v>0</v>
      </c>
      <c r="G92" s="17">
        <v>0</v>
      </c>
      <c r="H92" s="17">
        <v>1.68</v>
      </c>
      <c r="I92" s="17">
        <v>0</v>
      </c>
      <c r="J92" s="17">
        <v>1.43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  <c r="P92" s="17">
        <v>0</v>
      </c>
      <c r="Q92" s="17">
        <v>0</v>
      </c>
      <c r="R92" s="17">
        <v>0</v>
      </c>
      <c r="S92" s="17">
        <v>0</v>
      </c>
      <c r="T92" s="17">
        <v>0</v>
      </c>
      <c r="U92" s="17">
        <v>1.71</v>
      </c>
      <c r="V92" s="17">
        <v>0</v>
      </c>
      <c r="W92" s="17">
        <v>1.1000000000000001</v>
      </c>
      <c r="X92" s="17">
        <v>0</v>
      </c>
      <c r="Y92" s="17">
        <v>0</v>
      </c>
      <c r="Z92" s="17">
        <v>0</v>
      </c>
      <c r="AA92" s="17">
        <v>0</v>
      </c>
      <c r="AB92" s="17">
        <v>0</v>
      </c>
      <c r="AC92" s="17">
        <v>0</v>
      </c>
      <c r="AD92" s="17">
        <v>0</v>
      </c>
      <c r="AE92" s="17">
        <v>0</v>
      </c>
      <c r="AF92" s="17">
        <v>0</v>
      </c>
      <c r="AG92" s="17">
        <v>0</v>
      </c>
      <c r="AH92" s="17">
        <v>0</v>
      </c>
      <c r="AI92" s="17">
        <f t="shared" si="7"/>
        <v>1</v>
      </c>
      <c r="AJ92" s="17">
        <f t="shared" si="8"/>
        <v>31</v>
      </c>
      <c r="AK92" s="17">
        <f t="shared" si="9"/>
        <v>21</v>
      </c>
      <c r="AL92" s="17">
        <f t="shared" si="10"/>
        <v>1</v>
      </c>
      <c r="AM92" s="17">
        <f>VLOOKUP(AK92,Sheet1!$A$2:$B$25,2,FALSE)</f>
        <v>0</v>
      </c>
    </row>
    <row r="93" spans="1:39" s="17" customFormat="1" x14ac:dyDescent="0.25">
      <c r="A93" s="21">
        <v>44592.916666666664</v>
      </c>
      <c r="B93" s="17">
        <v>4.3099999999999996</v>
      </c>
      <c r="C93" s="17">
        <v>0.23599999999999999</v>
      </c>
      <c r="D93" s="17">
        <v>4.08</v>
      </c>
      <c r="E93" s="17">
        <v>0</v>
      </c>
      <c r="F93" s="17">
        <v>0</v>
      </c>
      <c r="G93" s="17">
        <v>0</v>
      </c>
      <c r="H93" s="17">
        <v>1.67</v>
      </c>
      <c r="I93" s="17">
        <v>0</v>
      </c>
      <c r="J93" s="17">
        <v>1.87</v>
      </c>
      <c r="K93" s="17">
        <v>0</v>
      </c>
      <c r="L93" s="17">
        <v>0</v>
      </c>
      <c r="M93" s="17">
        <v>0</v>
      </c>
      <c r="N93" s="17">
        <v>0</v>
      </c>
      <c r="O93" s="17">
        <v>0</v>
      </c>
      <c r="P93" s="17">
        <v>0</v>
      </c>
      <c r="Q93" s="17">
        <v>0</v>
      </c>
      <c r="R93" s="17">
        <v>0</v>
      </c>
      <c r="S93" s="17">
        <v>0</v>
      </c>
      <c r="T93" s="17">
        <v>0</v>
      </c>
      <c r="U93" s="17">
        <v>1.7</v>
      </c>
      <c r="V93" s="17">
        <v>0</v>
      </c>
      <c r="W93" s="17">
        <v>1.0900000000000001</v>
      </c>
      <c r="X93" s="17">
        <v>0</v>
      </c>
      <c r="Y93" s="17">
        <v>0</v>
      </c>
      <c r="Z93" s="17">
        <v>0</v>
      </c>
      <c r="AA93" s="17">
        <v>0</v>
      </c>
      <c r="AB93" s="17">
        <v>0</v>
      </c>
      <c r="AC93" s="17">
        <v>0</v>
      </c>
      <c r="AD93" s="17">
        <v>0</v>
      </c>
      <c r="AE93" s="17">
        <v>0</v>
      </c>
      <c r="AF93" s="17">
        <v>0</v>
      </c>
      <c r="AG93" s="17">
        <v>0</v>
      </c>
      <c r="AH93" s="17">
        <v>0</v>
      </c>
      <c r="AI93" s="17">
        <f t="shared" si="7"/>
        <v>1</v>
      </c>
      <c r="AJ93" s="17">
        <f t="shared" si="8"/>
        <v>31</v>
      </c>
      <c r="AK93" s="17">
        <f t="shared" si="9"/>
        <v>22</v>
      </c>
      <c r="AL93" s="17">
        <f t="shared" si="10"/>
        <v>1</v>
      </c>
      <c r="AM93" s="17">
        <f>VLOOKUP(AK93,Sheet1!$A$2:$B$25,2,FALSE)</f>
        <v>0</v>
      </c>
    </row>
    <row r="94" spans="1:39" s="17" customFormat="1" x14ac:dyDescent="0.25">
      <c r="A94" s="21">
        <v>44592.927083333336</v>
      </c>
      <c r="B94" s="17">
        <v>3.98</v>
      </c>
      <c r="C94" s="17">
        <v>0</v>
      </c>
      <c r="D94" s="17">
        <v>3.98</v>
      </c>
      <c r="E94" s="17">
        <v>0</v>
      </c>
      <c r="F94" s="17">
        <v>0</v>
      </c>
      <c r="G94" s="17">
        <v>0</v>
      </c>
      <c r="H94" s="17">
        <v>1.71</v>
      </c>
      <c r="I94" s="17">
        <v>0</v>
      </c>
      <c r="J94" s="17">
        <v>1.89</v>
      </c>
      <c r="K94" s="17">
        <v>0</v>
      </c>
      <c r="L94" s="17">
        <v>0</v>
      </c>
      <c r="M94" s="17">
        <v>0</v>
      </c>
      <c r="N94" s="17">
        <v>0</v>
      </c>
      <c r="O94" s="17">
        <v>0</v>
      </c>
      <c r="P94" s="17">
        <v>0</v>
      </c>
      <c r="Q94" s="17">
        <v>0</v>
      </c>
      <c r="R94" s="17">
        <v>0</v>
      </c>
      <c r="S94" s="17">
        <v>0</v>
      </c>
      <c r="T94" s="17">
        <v>0</v>
      </c>
      <c r="U94" s="17">
        <v>1.7</v>
      </c>
      <c r="V94" s="17">
        <v>0</v>
      </c>
      <c r="W94" s="17">
        <v>1.0900000000000001</v>
      </c>
      <c r="X94" s="17">
        <v>0</v>
      </c>
      <c r="Y94" s="17">
        <v>0</v>
      </c>
      <c r="Z94" s="17">
        <v>0</v>
      </c>
      <c r="AA94" s="17">
        <v>0</v>
      </c>
      <c r="AB94" s="17">
        <v>0</v>
      </c>
      <c r="AC94" s="17">
        <v>0</v>
      </c>
      <c r="AD94" s="17">
        <v>0</v>
      </c>
      <c r="AE94" s="17">
        <v>0</v>
      </c>
      <c r="AF94" s="17">
        <v>0</v>
      </c>
      <c r="AG94" s="17">
        <v>0</v>
      </c>
      <c r="AH94" s="17">
        <v>0</v>
      </c>
      <c r="AI94" s="17">
        <f t="shared" si="7"/>
        <v>1</v>
      </c>
      <c r="AJ94" s="17">
        <f t="shared" si="8"/>
        <v>31</v>
      </c>
      <c r="AK94" s="17">
        <f t="shared" si="9"/>
        <v>22</v>
      </c>
      <c r="AL94" s="17">
        <f t="shared" si="10"/>
        <v>1</v>
      </c>
      <c r="AM94" s="17">
        <f>VLOOKUP(AK94,Sheet1!$A$2:$B$25,2,FALSE)</f>
        <v>0</v>
      </c>
    </row>
    <row r="95" spans="1:39" s="17" customFormat="1" x14ac:dyDescent="0.25">
      <c r="A95" s="21">
        <v>44592.9375</v>
      </c>
      <c r="B95" s="17">
        <v>4.1100000000000003</v>
      </c>
      <c r="C95" s="17">
        <v>0</v>
      </c>
      <c r="D95" s="17">
        <v>4.1100000000000003</v>
      </c>
      <c r="E95" s="17">
        <v>0</v>
      </c>
      <c r="F95" s="17">
        <v>0</v>
      </c>
      <c r="G95" s="17">
        <v>0</v>
      </c>
      <c r="H95" s="17">
        <v>1.37</v>
      </c>
      <c r="I95" s="17">
        <v>0</v>
      </c>
      <c r="J95" s="17">
        <v>1.81</v>
      </c>
      <c r="K95" s="17">
        <v>0</v>
      </c>
      <c r="L95" s="17">
        <v>0</v>
      </c>
      <c r="M95" s="17">
        <v>0</v>
      </c>
      <c r="N95" s="17">
        <v>0</v>
      </c>
      <c r="O95" s="17">
        <v>0</v>
      </c>
      <c r="P95" s="17">
        <v>0</v>
      </c>
      <c r="Q95" s="17">
        <v>0</v>
      </c>
      <c r="R95" s="17">
        <v>0</v>
      </c>
      <c r="S95" s="17">
        <v>0</v>
      </c>
      <c r="T95" s="17">
        <v>0</v>
      </c>
      <c r="U95" s="17">
        <v>1.69</v>
      </c>
      <c r="V95" s="17">
        <v>0</v>
      </c>
      <c r="W95" s="17">
        <v>1.08</v>
      </c>
      <c r="X95" s="17">
        <v>0</v>
      </c>
      <c r="Y95" s="17">
        <v>0</v>
      </c>
      <c r="Z95" s="17">
        <v>0</v>
      </c>
      <c r="AA95" s="17">
        <v>0</v>
      </c>
      <c r="AB95" s="17">
        <v>0</v>
      </c>
      <c r="AC95" s="17">
        <v>0</v>
      </c>
      <c r="AD95" s="17">
        <v>0</v>
      </c>
      <c r="AE95" s="17">
        <v>0</v>
      </c>
      <c r="AF95" s="17">
        <v>0</v>
      </c>
      <c r="AG95" s="17">
        <v>0</v>
      </c>
      <c r="AH95" s="17">
        <v>0</v>
      </c>
      <c r="AI95" s="17">
        <f t="shared" si="7"/>
        <v>1</v>
      </c>
      <c r="AJ95" s="17">
        <f t="shared" si="8"/>
        <v>31</v>
      </c>
      <c r="AK95" s="17">
        <f t="shared" si="9"/>
        <v>22</v>
      </c>
      <c r="AL95" s="17">
        <f t="shared" si="10"/>
        <v>1</v>
      </c>
      <c r="AM95" s="17">
        <f>VLOOKUP(AK95,Sheet1!$A$2:$B$25,2,FALSE)</f>
        <v>0</v>
      </c>
    </row>
    <row r="96" spans="1:39" s="17" customFormat="1" x14ac:dyDescent="0.25">
      <c r="A96" s="21">
        <v>44592.947916666664</v>
      </c>
      <c r="B96" s="17">
        <v>4.24</v>
      </c>
      <c r="C96" s="17">
        <v>0.21870000000000001</v>
      </c>
      <c r="D96" s="17">
        <v>4.0199999999999996</v>
      </c>
      <c r="E96" s="17">
        <v>0</v>
      </c>
      <c r="F96" s="17">
        <v>0</v>
      </c>
      <c r="G96" s="17">
        <v>0</v>
      </c>
      <c r="H96" s="17">
        <v>1.52</v>
      </c>
      <c r="I96" s="17">
        <v>0</v>
      </c>
      <c r="J96" s="17">
        <v>1.74</v>
      </c>
      <c r="K96" s="17">
        <v>0</v>
      </c>
      <c r="L96" s="17">
        <v>0</v>
      </c>
      <c r="M96" s="17">
        <v>0</v>
      </c>
      <c r="N96" s="17">
        <v>0</v>
      </c>
      <c r="O96" s="17">
        <v>0</v>
      </c>
      <c r="P96" s="17">
        <v>0</v>
      </c>
      <c r="Q96" s="17">
        <v>0</v>
      </c>
      <c r="R96" s="17">
        <v>0</v>
      </c>
      <c r="S96" s="17">
        <v>0</v>
      </c>
      <c r="T96" s="17">
        <v>0</v>
      </c>
      <c r="U96" s="17">
        <v>1.7</v>
      </c>
      <c r="V96" s="17">
        <v>0</v>
      </c>
      <c r="W96" s="17">
        <v>1.0900000000000001</v>
      </c>
      <c r="X96" s="17">
        <v>0</v>
      </c>
      <c r="Y96" s="17">
        <v>0</v>
      </c>
      <c r="Z96" s="17">
        <v>0</v>
      </c>
      <c r="AA96" s="17">
        <v>0</v>
      </c>
      <c r="AB96" s="17">
        <v>0</v>
      </c>
      <c r="AC96" s="17">
        <v>0</v>
      </c>
      <c r="AD96" s="17">
        <v>0</v>
      </c>
      <c r="AE96" s="17">
        <v>0</v>
      </c>
      <c r="AF96" s="17">
        <v>0</v>
      </c>
      <c r="AG96" s="17">
        <v>0</v>
      </c>
      <c r="AH96" s="17">
        <v>0</v>
      </c>
      <c r="AI96" s="17">
        <f t="shared" si="7"/>
        <v>1</v>
      </c>
      <c r="AJ96" s="17">
        <f t="shared" si="8"/>
        <v>31</v>
      </c>
      <c r="AK96" s="17">
        <f t="shared" si="9"/>
        <v>22</v>
      </c>
      <c r="AL96" s="17">
        <f t="shared" si="10"/>
        <v>1</v>
      </c>
      <c r="AM96" s="17">
        <f>VLOOKUP(AK96,Sheet1!$A$2:$B$25,2,FALSE)</f>
        <v>0</v>
      </c>
    </row>
    <row r="97" spans="1:39" s="17" customFormat="1" x14ac:dyDescent="0.25">
      <c r="A97" s="21">
        <v>44592.958333333336</v>
      </c>
      <c r="B97" s="17">
        <v>4.0199999999999996</v>
      </c>
      <c r="C97" s="17">
        <v>0</v>
      </c>
      <c r="D97" s="17">
        <v>4.0199999999999996</v>
      </c>
      <c r="E97" s="17">
        <v>0</v>
      </c>
      <c r="F97" s="17">
        <v>0</v>
      </c>
      <c r="G97" s="17">
        <v>0</v>
      </c>
      <c r="H97" s="17">
        <v>1.59</v>
      </c>
      <c r="I97" s="17">
        <v>0</v>
      </c>
      <c r="J97" s="17">
        <v>1.82</v>
      </c>
      <c r="K97" s="17">
        <v>0</v>
      </c>
      <c r="L97" s="17">
        <v>0</v>
      </c>
      <c r="M97" s="17">
        <v>0</v>
      </c>
      <c r="N97" s="17">
        <v>0</v>
      </c>
      <c r="O97" s="17">
        <v>0</v>
      </c>
      <c r="P97" s="17">
        <v>0</v>
      </c>
      <c r="Q97" s="17">
        <v>0</v>
      </c>
      <c r="R97" s="17">
        <v>0</v>
      </c>
      <c r="S97" s="17">
        <v>0</v>
      </c>
      <c r="T97" s="17">
        <v>0</v>
      </c>
      <c r="U97" s="17">
        <v>1.67</v>
      </c>
      <c r="V97" s="17">
        <v>0</v>
      </c>
      <c r="W97" s="17">
        <v>1.07</v>
      </c>
      <c r="X97" s="17">
        <v>0</v>
      </c>
      <c r="Y97" s="17">
        <v>0</v>
      </c>
      <c r="Z97" s="17">
        <v>0</v>
      </c>
      <c r="AA97" s="17">
        <v>0</v>
      </c>
      <c r="AB97" s="17">
        <v>0</v>
      </c>
      <c r="AC97" s="17">
        <v>0</v>
      </c>
      <c r="AD97" s="17">
        <v>0</v>
      </c>
      <c r="AE97" s="17">
        <v>0</v>
      </c>
      <c r="AF97" s="17">
        <v>0</v>
      </c>
      <c r="AG97" s="17">
        <v>0</v>
      </c>
      <c r="AH97" s="17">
        <v>0</v>
      </c>
      <c r="AI97" s="17">
        <f t="shared" si="7"/>
        <v>1</v>
      </c>
      <c r="AJ97" s="17">
        <f t="shared" si="8"/>
        <v>31</v>
      </c>
      <c r="AK97" s="17">
        <f t="shared" si="9"/>
        <v>23</v>
      </c>
      <c r="AL97" s="17">
        <f t="shared" si="10"/>
        <v>1</v>
      </c>
      <c r="AM97" s="17">
        <f>VLOOKUP(AK97,Sheet1!$A$2:$B$25,2,FALSE)</f>
        <v>0</v>
      </c>
    </row>
    <row r="98" spans="1:39" s="17" customFormat="1" x14ac:dyDescent="0.25">
      <c r="A98" s="21">
        <v>44592.96875</v>
      </c>
      <c r="B98" s="17">
        <v>4.1100000000000003</v>
      </c>
      <c r="C98" s="17">
        <v>0.2021</v>
      </c>
      <c r="D98" s="17">
        <v>3.91</v>
      </c>
      <c r="E98" s="17">
        <v>0</v>
      </c>
      <c r="F98" s="17">
        <v>0</v>
      </c>
      <c r="G98" s="17">
        <v>0</v>
      </c>
      <c r="H98" s="17">
        <v>1.29</v>
      </c>
      <c r="I98" s="17">
        <v>0</v>
      </c>
      <c r="J98" s="17">
        <v>1.71</v>
      </c>
      <c r="K98" s="17">
        <v>0</v>
      </c>
      <c r="L98" s="17">
        <v>0</v>
      </c>
      <c r="M98" s="17">
        <v>0</v>
      </c>
      <c r="N98" s="17">
        <v>0</v>
      </c>
      <c r="O98" s="17">
        <v>0</v>
      </c>
      <c r="P98" s="17">
        <v>0</v>
      </c>
      <c r="Q98" s="17">
        <v>0</v>
      </c>
      <c r="R98" s="17">
        <v>0</v>
      </c>
      <c r="S98" s="17">
        <v>0</v>
      </c>
      <c r="T98" s="17">
        <v>0</v>
      </c>
      <c r="U98" s="17">
        <v>1.68</v>
      </c>
      <c r="V98" s="17">
        <v>0</v>
      </c>
      <c r="W98" s="17">
        <v>1.07</v>
      </c>
      <c r="X98" s="17">
        <v>0</v>
      </c>
      <c r="Y98" s="17">
        <v>0</v>
      </c>
      <c r="Z98" s="17">
        <v>0</v>
      </c>
      <c r="AA98" s="17">
        <v>0</v>
      </c>
      <c r="AB98" s="17">
        <v>0</v>
      </c>
      <c r="AC98" s="17">
        <v>0</v>
      </c>
      <c r="AD98" s="17">
        <v>0</v>
      </c>
      <c r="AE98" s="17">
        <v>0</v>
      </c>
      <c r="AF98" s="17">
        <v>0</v>
      </c>
      <c r="AG98" s="17">
        <v>0</v>
      </c>
      <c r="AH98" s="17">
        <v>0</v>
      </c>
      <c r="AI98" s="17">
        <f t="shared" si="7"/>
        <v>1</v>
      </c>
      <c r="AJ98" s="17">
        <f t="shared" si="8"/>
        <v>31</v>
      </c>
      <c r="AK98" s="17">
        <f t="shared" si="9"/>
        <v>23</v>
      </c>
      <c r="AL98" s="17">
        <f t="shared" si="10"/>
        <v>1</v>
      </c>
      <c r="AM98" s="17">
        <f>VLOOKUP(AK98,Sheet1!$A$2:$B$25,2,FALSE)</f>
        <v>0</v>
      </c>
    </row>
    <row r="99" spans="1:39" s="17" customFormat="1" x14ac:dyDescent="0.25">
      <c r="A99" s="21">
        <v>44592.979166666664</v>
      </c>
      <c r="B99" s="17">
        <v>4</v>
      </c>
      <c r="C99" s="17">
        <v>0</v>
      </c>
      <c r="D99" s="17">
        <v>4</v>
      </c>
      <c r="E99" s="17">
        <v>0</v>
      </c>
      <c r="F99" s="17">
        <v>0</v>
      </c>
      <c r="G99" s="17">
        <v>0</v>
      </c>
      <c r="H99" s="17">
        <v>1.04</v>
      </c>
      <c r="I99" s="17">
        <v>0</v>
      </c>
      <c r="J99" s="17">
        <v>1.69</v>
      </c>
      <c r="K99" s="17">
        <v>0</v>
      </c>
      <c r="L99" s="17">
        <v>0</v>
      </c>
      <c r="M99" s="17">
        <v>0</v>
      </c>
      <c r="N99" s="17">
        <v>0</v>
      </c>
      <c r="O99" s="17">
        <v>0</v>
      </c>
      <c r="P99" s="17">
        <v>0</v>
      </c>
      <c r="Q99" s="17">
        <v>0</v>
      </c>
      <c r="R99" s="17">
        <v>0</v>
      </c>
      <c r="S99" s="17">
        <v>0</v>
      </c>
      <c r="T99" s="17">
        <v>0</v>
      </c>
      <c r="U99" s="17">
        <v>1.68</v>
      </c>
      <c r="V99" s="17">
        <v>0</v>
      </c>
      <c r="W99" s="17">
        <v>1.08</v>
      </c>
      <c r="X99" s="17">
        <v>0</v>
      </c>
      <c r="Y99" s="17">
        <v>0</v>
      </c>
      <c r="Z99" s="17">
        <v>0</v>
      </c>
      <c r="AA99" s="17">
        <v>0</v>
      </c>
      <c r="AB99" s="17">
        <v>0</v>
      </c>
      <c r="AC99" s="17">
        <v>0</v>
      </c>
      <c r="AD99" s="17">
        <v>0</v>
      </c>
      <c r="AE99" s="17">
        <v>0</v>
      </c>
      <c r="AF99" s="17">
        <v>0</v>
      </c>
      <c r="AG99" s="17">
        <v>0</v>
      </c>
      <c r="AH99" s="17">
        <v>0</v>
      </c>
      <c r="AI99" s="17">
        <f t="shared" si="7"/>
        <v>1</v>
      </c>
      <c r="AJ99" s="17">
        <f t="shared" si="8"/>
        <v>31</v>
      </c>
      <c r="AK99" s="17">
        <f t="shared" si="9"/>
        <v>23</v>
      </c>
      <c r="AL99" s="17">
        <f t="shared" si="10"/>
        <v>1</v>
      </c>
      <c r="AM99" s="17">
        <f>VLOOKUP(AK99,Sheet1!$A$2:$B$25,2,FALSE)</f>
        <v>0</v>
      </c>
    </row>
    <row r="100" spans="1:39" s="17" customFormat="1" x14ac:dyDescent="0.25">
      <c r="A100" s="21">
        <v>44592.989583333336</v>
      </c>
      <c r="B100" s="17">
        <v>4.01</v>
      </c>
      <c r="C100" s="17">
        <v>0</v>
      </c>
      <c r="D100" s="17">
        <v>4.01</v>
      </c>
      <c r="E100" s="17">
        <v>0</v>
      </c>
      <c r="F100" s="17">
        <v>0</v>
      </c>
      <c r="G100" s="17">
        <v>0</v>
      </c>
      <c r="H100" s="17">
        <v>1.39</v>
      </c>
      <c r="I100" s="17">
        <v>0</v>
      </c>
      <c r="J100" s="17">
        <v>1.69</v>
      </c>
      <c r="K100" s="17">
        <v>0</v>
      </c>
      <c r="L100" s="17">
        <v>0</v>
      </c>
      <c r="M100" s="17">
        <v>0</v>
      </c>
      <c r="N100" s="17">
        <v>0</v>
      </c>
      <c r="O100" s="17">
        <v>0</v>
      </c>
      <c r="P100" s="17">
        <v>0</v>
      </c>
      <c r="Q100" s="17">
        <v>0</v>
      </c>
      <c r="R100" s="17">
        <v>0</v>
      </c>
      <c r="S100" s="17">
        <v>0</v>
      </c>
      <c r="T100" s="17">
        <v>0</v>
      </c>
      <c r="U100" s="17">
        <v>1.68</v>
      </c>
      <c r="V100" s="17">
        <v>0</v>
      </c>
      <c r="W100" s="17">
        <v>1.08</v>
      </c>
      <c r="X100" s="17">
        <v>0</v>
      </c>
      <c r="Y100" s="17">
        <v>0</v>
      </c>
      <c r="Z100" s="17">
        <v>0</v>
      </c>
      <c r="AA100" s="17">
        <v>0</v>
      </c>
      <c r="AB100" s="17">
        <v>0</v>
      </c>
      <c r="AC100" s="17">
        <v>0</v>
      </c>
      <c r="AD100" s="17">
        <v>0</v>
      </c>
      <c r="AE100" s="17">
        <v>0</v>
      </c>
      <c r="AF100" s="17">
        <v>0</v>
      </c>
      <c r="AG100" s="17">
        <v>0</v>
      </c>
      <c r="AH100" s="17">
        <v>0</v>
      </c>
      <c r="AI100" s="17">
        <f t="shared" si="7"/>
        <v>1</v>
      </c>
      <c r="AJ100" s="17">
        <f t="shared" si="8"/>
        <v>31</v>
      </c>
      <c r="AK100" s="17">
        <f t="shared" si="9"/>
        <v>23</v>
      </c>
      <c r="AL100" s="17">
        <f t="shared" si="10"/>
        <v>1</v>
      </c>
      <c r="AM100" s="17">
        <f>VLOOKUP(AK100,Sheet1!$A$2:$B$25,2,FALSE)</f>
        <v>0</v>
      </c>
    </row>
    <row r="101" spans="1:39" s="25" customFormat="1" x14ac:dyDescent="0.25">
      <c r="A101" s="24">
        <f>MAX(B102:B197)</f>
        <v>903.99</v>
      </c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</row>
    <row r="102" spans="1:39" s="17" customFormat="1" x14ac:dyDescent="0.25">
      <c r="A102" s="21">
        <v>44593</v>
      </c>
      <c r="B102" s="17">
        <v>4.2300000000000004</v>
      </c>
      <c r="C102" s="17">
        <v>0.1855</v>
      </c>
      <c r="D102" s="17">
        <v>4.04</v>
      </c>
      <c r="E102" s="17">
        <v>0</v>
      </c>
      <c r="F102" s="17">
        <v>0</v>
      </c>
      <c r="G102" s="17">
        <v>0</v>
      </c>
      <c r="H102" s="17">
        <v>1.17</v>
      </c>
      <c r="I102" s="17">
        <v>0</v>
      </c>
      <c r="J102" s="17">
        <v>1.68</v>
      </c>
      <c r="K102" s="17">
        <v>0</v>
      </c>
      <c r="L102" s="17">
        <v>0</v>
      </c>
      <c r="M102" s="17">
        <v>0</v>
      </c>
      <c r="N102" s="17">
        <v>0</v>
      </c>
      <c r="O102" s="17">
        <v>0</v>
      </c>
      <c r="P102" s="17">
        <v>0</v>
      </c>
      <c r="Q102" s="17">
        <v>0</v>
      </c>
      <c r="R102" s="17">
        <v>0</v>
      </c>
      <c r="S102" s="17">
        <v>0</v>
      </c>
      <c r="T102" s="17">
        <v>0</v>
      </c>
      <c r="U102" s="17">
        <v>1.68</v>
      </c>
      <c r="V102" s="17">
        <v>0</v>
      </c>
      <c r="W102" s="17">
        <v>1.07</v>
      </c>
      <c r="X102" s="17">
        <v>0</v>
      </c>
      <c r="Y102" s="17">
        <v>0</v>
      </c>
      <c r="Z102" s="17">
        <v>0</v>
      </c>
      <c r="AA102" s="17">
        <v>0</v>
      </c>
      <c r="AB102" s="17">
        <v>0</v>
      </c>
      <c r="AC102" s="17">
        <v>0</v>
      </c>
      <c r="AD102" s="17">
        <v>0</v>
      </c>
      <c r="AE102" s="17">
        <v>0</v>
      </c>
      <c r="AF102" s="17">
        <v>0</v>
      </c>
      <c r="AG102" s="17">
        <v>0</v>
      </c>
      <c r="AH102" s="17">
        <v>0</v>
      </c>
      <c r="AI102" s="17">
        <f t="shared" si="7"/>
        <v>2</v>
      </c>
      <c r="AJ102" s="17">
        <f t="shared" si="8"/>
        <v>1</v>
      </c>
      <c r="AK102" s="17">
        <f t="shared" si="9"/>
        <v>0</v>
      </c>
      <c r="AL102" s="17">
        <f t="shared" si="10"/>
        <v>1</v>
      </c>
      <c r="AM102" s="17">
        <f>VLOOKUP(AK102,Sheet1!$A$2:$B$25,2,FALSE)</f>
        <v>0</v>
      </c>
    </row>
    <row r="103" spans="1:39" s="17" customFormat="1" x14ac:dyDescent="0.25">
      <c r="A103" s="21">
        <v>44593.010416666664</v>
      </c>
      <c r="B103" s="17">
        <v>3.91</v>
      </c>
      <c r="C103" s="17">
        <v>0</v>
      </c>
      <c r="D103" s="17">
        <v>3.91</v>
      </c>
      <c r="E103" s="17">
        <v>0</v>
      </c>
      <c r="F103" s="17">
        <v>0</v>
      </c>
      <c r="G103" s="17">
        <v>0</v>
      </c>
      <c r="H103" s="17">
        <v>1.07</v>
      </c>
      <c r="I103" s="17">
        <v>0</v>
      </c>
      <c r="J103" s="17">
        <v>1.63</v>
      </c>
      <c r="K103" s="17">
        <v>0</v>
      </c>
      <c r="L103" s="17">
        <v>0</v>
      </c>
      <c r="M103" s="17">
        <v>0</v>
      </c>
      <c r="N103" s="17">
        <v>0</v>
      </c>
      <c r="O103" s="17">
        <v>0</v>
      </c>
      <c r="P103" s="17">
        <v>0</v>
      </c>
      <c r="Q103" s="17">
        <v>0</v>
      </c>
      <c r="R103" s="17">
        <v>0</v>
      </c>
      <c r="S103" s="17">
        <v>0</v>
      </c>
      <c r="T103" s="17">
        <v>0</v>
      </c>
      <c r="U103" s="17">
        <v>1.67</v>
      </c>
      <c r="V103" s="17">
        <v>0</v>
      </c>
      <c r="W103" s="17">
        <v>1.07</v>
      </c>
      <c r="X103" s="17">
        <v>0</v>
      </c>
      <c r="Y103" s="17">
        <v>0</v>
      </c>
      <c r="Z103" s="17">
        <v>0</v>
      </c>
      <c r="AA103" s="17">
        <v>0</v>
      </c>
      <c r="AB103" s="17">
        <v>0</v>
      </c>
      <c r="AC103" s="17">
        <v>0</v>
      </c>
      <c r="AD103" s="17">
        <v>0</v>
      </c>
      <c r="AE103" s="17">
        <v>0</v>
      </c>
      <c r="AF103" s="17">
        <v>0</v>
      </c>
      <c r="AG103" s="17">
        <v>0</v>
      </c>
      <c r="AH103" s="17">
        <v>0</v>
      </c>
      <c r="AI103" s="17">
        <f t="shared" si="7"/>
        <v>2</v>
      </c>
      <c r="AJ103" s="17">
        <f t="shared" si="8"/>
        <v>1</v>
      </c>
      <c r="AK103" s="17">
        <f t="shared" si="9"/>
        <v>0</v>
      </c>
      <c r="AL103" s="17">
        <f t="shared" si="10"/>
        <v>1</v>
      </c>
      <c r="AM103" s="17">
        <f>VLOOKUP(AK103,Sheet1!$A$2:$B$25,2,FALSE)</f>
        <v>0</v>
      </c>
    </row>
    <row r="104" spans="1:39" s="17" customFormat="1" x14ac:dyDescent="0.25">
      <c r="A104" s="21">
        <v>44593.020833333336</v>
      </c>
      <c r="B104" s="17">
        <v>4.05</v>
      </c>
      <c r="C104" s="17">
        <v>0.2021</v>
      </c>
      <c r="D104" s="17">
        <v>3.84</v>
      </c>
      <c r="E104" s="17">
        <v>0</v>
      </c>
      <c r="F104" s="17">
        <v>0</v>
      </c>
      <c r="G104" s="17">
        <v>0</v>
      </c>
      <c r="H104" s="17">
        <v>1.43</v>
      </c>
      <c r="I104" s="17">
        <v>0</v>
      </c>
      <c r="J104" s="17">
        <v>1.68</v>
      </c>
      <c r="K104" s="17">
        <v>0</v>
      </c>
      <c r="L104" s="17">
        <v>0</v>
      </c>
      <c r="M104" s="17">
        <v>0</v>
      </c>
      <c r="N104" s="17">
        <v>0</v>
      </c>
      <c r="O104" s="17">
        <v>0</v>
      </c>
      <c r="P104" s="17">
        <v>0</v>
      </c>
      <c r="Q104" s="17">
        <v>0</v>
      </c>
      <c r="R104" s="17">
        <v>0</v>
      </c>
      <c r="S104" s="17">
        <v>0</v>
      </c>
      <c r="T104" s="17">
        <v>0</v>
      </c>
      <c r="U104" s="17">
        <v>1.67</v>
      </c>
      <c r="V104" s="17">
        <v>0</v>
      </c>
      <c r="W104" s="17">
        <v>1.07</v>
      </c>
      <c r="X104" s="17">
        <v>0</v>
      </c>
      <c r="Y104" s="17">
        <v>0</v>
      </c>
      <c r="Z104" s="17">
        <v>0</v>
      </c>
      <c r="AA104" s="17">
        <v>0</v>
      </c>
      <c r="AB104" s="17">
        <v>0</v>
      </c>
      <c r="AC104" s="17">
        <v>0</v>
      </c>
      <c r="AD104" s="17">
        <v>0</v>
      </c>
      <c r="AE104" s="17">
        <v>0</v>
      </c>
      <c r="AF104" s="17">
        <v>0</v>
      </c>
      <c r="AG104" s="17">
        <v>0</v>
      </c>
      <c r="AH104" s="17">
        <v>0</v>
      </c>
      <c r="AI104" s="17">
        <f t="shared" si="7"/>
        <v>2</v>
      </c>
      <c r="AJ104" s="17">
        <f t="shared" si="8"/>
        <v>1</v>
      </c>
      <c r="AK104" s="17">
        <f t="shared" si="9"/>
        <v>0</v>
      </c>
      <c r="AL104" s="17">
        <f t="shared" si="10"/>
        <v>1</v>
      </c>
      <c r="AM104" s="17">
        <f>VLOOKUP(AK104,Sheet1!$A$2:$B$25,2,FALSE)</f>
        <v>0</v>
      </c>
    </row>
    <row r="105" spans="1:39" s="17" customFormat="1" x14ac:dyDescent="0.25">
      <c r="A105" s="21">
        <v>44593.03125</v>
      </c>
      <c r="B105" s="17">
        <v>4.0199999999999996</v>
      </c>
      <c r="C105" s="17">
        <v>0</v>
      </c>
      <c r="D105" s="17">
        <v>4.0199999999999996</v>
      </c>
      <c r="E105" s="17">
        <v>0</v>
      </c>
      <c r="F105" s="17">
        <v>0</v>
      </c>
      <c r="G105" s="17">
        <v>0</v>
      </c>
      <c r="H105" s="17">
        <v>1.4</v>
      </c>
      <c r="I105" s="17">
        <v>0</v>
      </c>
      <c r="J105" s="17">
        <v>1.67</v>
      </c>
      <c r="K105" s="17">
        <v>0</v>
      </c>
      <c r="L105" s="17">
        <v>0</v>
      </c>
      <c r="M105" s="17">
        <v>0</v>
      </c>
      <c r="N105" s="17">
        <v>0</v>
      </c>
      <c r="O105" s="17">
        <v>0</v>
      </c>
      <c r="P105" s="17">
        <v>0</v>
      </c>
      <c r="Q105" s="17">
        <v>0</v>
      </c>
      <c r="R105" s="17">
        <v>0</v>
      </c>
      <c r="S105" s="17">
        <v>0</v>
      </c>
      <c r="T105" s="17">
        <v>0</v>
      </c>
      <c r="U105" s="17">
        <v>1.71</v>
      </c>
      <c r="V105" s="17">
        <v>0</v>
      </c>
      <c r="W105" s="17">
        <v>1.0900000000000001</v>
      </c>
      <c r="X105" s="17">
        <v>0</v>
      </c>
      <c r="Y105" s="17">
        <v>0</v>
      </c>
      <c r="Z105" s="17">
        <v>0</v>
      </c>
      <c r="AA105" s="17">
        <v>0</v>
      </c>
      <c r="AB105" s="17">
        <v>0</v>
      </c>
      <c r="AC105" s="17">
        <v>0</v>
      </c>
      <c r="AD105" s="17">
        <v>0</v>
      </c>
      <c r="AE105" s="17">
        <v>0</v>
      </c>
      <c r="AF105" s="17">
        <v>0</v>
      </c>
      <c r="AG105" s="17">
        <v>0</v>
      </c>
      <c r="AH105" s="17">
        <v>0</v>
      </c>
      <c r="AI105" s="17">
        <f t="shared" si="7"/>
        <v>2</v>
      </c>
      <c r="AJ105" s="17">
        <f t="shared" si="8"/>
        <v>1</v>
      </c>
      <c r="AK105" s="17">
        <f t="shared" si="9"/>
        <v>0</v>
      </c>
      <c r="AL105" s="17">
        <f t="shared" si="10"/>
        <v>1</v>
      </c>
      <c r="AM105" s="17">
        <f>VLOOKUP(AK105,Sheet1!$A$2:$B$25,2,FALSE)</f>
        <v>0</v>
      </c>
    </row>
    <row r="106" spans="1:39" s="17" customFormat="1" x14ac:dyDescent="0.25">
      <c r="A106" s="21">
        <v>44593.041666666664</v>
      </c>
      <c r="B106" s="17">
        <v>4.16</v>
      </c>
      <c r="C106" s="17">
        <v>0</v>
      </c>
      <c r="D106" s="17">
        <v>4.16</v>
      </c>
      <c r="E106" s="17">
        <v>0</v>
      </c>
      <c r="F106" s="17">
        <v>0</v>
      </c>
      <c r="G106" s="17">
        <v>0</v>
      </c>
      <c r="H106" s="17">
        <v>1.03</v>
      </c>
      <c r="I106" s="17">
        <v>0</v>
      </c>
      <c r="J106" s="17">
        <v>1.65</v>
      </c>
      <c r="K106" s="17">
        <v>0</v>
      </c>
      <c r="L106" s="17">
        <v>0</v>
      </c>
      <c r="M106" s="17">
        <v>0</v>
      </c>
      <c r="N106" s="17">
        <v>0</v>
      </c>
      <c r="O106" s="17">
        <v>0</v>
      </c>
      <c r="P106" s="17">
        <v>0</v>
      </c>
      <c r="Q106" s="17">
        <v>0</v>
      </c>
      <c r="R106" s="17">
        <v>0</v>
      </c>
      <c r="S106" s="17">
        <v>0</v>
      </c>
      <c r="T106" s="17">
        <v>0</v>
      </c>
      <c r="U106" s="17">
        <v>1.71</v>
      </c>
      <c r="V106" s="17">
        <v>0</v>
      </c>
      <c r="W106" s="17">
        <v>1.1100000000000001</v>
      </c>
      <c r="X106" s="17">
        <v>0</v>
      </c>
      <c r="Y106" s="17">
        <v>0</v>
      </c>
      <c r="Z106" s="17">
        <v>0</v>
      </c>
      <c r="AA106" s="17">
        <v>0</v>
      </c>
      <c r="AB106" s="17">
        <v>0</v>
      </c>
      <c r="AC106" s="17">
        <v>0</v>
      </c>
      <c r="AD106" s="17">
        <v>0</v>
      </c>
      <c r="AE106" s="17">
        <v>0</v>
      </c>
      <c r="AF106" s="17">
        <v>0</v>
      </c>
      <c r="AG106" s="17">
        <v>0</v>
      </c>
      <c r="AH106" s="17">
        <v>0</v>
      </c>
      <c r="AI106" s="17">
        <f t="shared" si="7"/>
        <v>2</v>
      </c>
      <c r="AJ106" s="17">
        <f t="shared" si="8"/>
        <v>1</v>
      </c>
      <c r="AK106" s="17">
        <f t="shared" si="9"/>
        <v>1</v>
      </c>
      <c r="AL106" s="17">
        <f t="shared" si="10"/>
        <v>1</v>
      </c>
      <c r="AM106" s="17">
        <f>VLOOKUP(AK106,Sheet1!$A$2:$B$25,2,FALSE)</f>
        <v>0</v>
      </c>
    </row>
    <row r="107" spans="1:39" s="17" customFormat="1" x14ac:dyDescent="0.25">
      <c r="A107" s="21">
        <v>44593.052083333336</v>
      </c>
      <c r="B107" s="17">
        <v>3.97</v>
      </c>
      <c r="C107" s="17">
        <v>0</v>
      </c>
      <c r="D107" s="17">
        <v>3.97</v>
      </c>
      <c r="E107" s="17">
        <v>0</v>
      </c>
      <c r="F107" s="17">
        <v>0</v>
      </c>
      <c r="G107" s="17">
        <v>0</v>
      </c>
      <c r="H107" s="17">
        <v>1.41</v>
      </c>
      <c r="I107" s="17">
        <v>0</v>
      </c>
      <c r="J107" s="17">
        <v>1.67</v>
      </c>
      <c r="K107" s="17">
        <v>0</v>
      </c>
      <c r="L107" s="17">
        <v>0</v>
      </c>
      <c r="M107" s="17">
        <v>0</v>
      </c>
      <c r="N107" s="17">
        <v>0</v>
      </c>
      <c r="O107" s="17">
        <v>0</v>
      </c>
      <c r="P107" s="17">
        <v>0</v>
      </c>
      <c r="Q107" s="17">
        <v>0</v>
      </c>
      <c r="R107" s="17">
        <v>0</v>
      </c>
      <c r="S107" s="17">
        <v>0</v>
      </c>
      <c r="T107" s="17">
        <v>0</v>
      </c>
      <c r="U107" s="17">
        <v>1.7</v>
      </c>
      <c r="V107" s="17">
        <v>0</v>
      </c>
      <c r="W107" s="17">
        <v>1.0900000000000001</v>
      </c>
      <c r="X107" s="17">
        <v>0</v>
      </c>
      <c r="Y107" s="17">
        <v>0</v>
      </c>
      <c r="Z107" s="17">
        <v>0</v>
      </c>
      <c r="AA107" s="17">
        <v>0</v>
      </c>
      <c r="AB107" s="17">
        <v>0</v>
      </c>
      <c r="AC107" s="17">
        <v>0</v>
      </c>
      <c r="AD107" s="17">
        <v>0</v>
      </c>
      <c r="AE107" s="17">
        <v>0</v>
      </c>
      <c r="AF107" s="17">
        <v>0</v>
      </c>
      <c r="AG107" s="17">
        <v>0</v>
      </c>
      <c r="AH107" s="17">
        <v>0</v>
      </c>
      <c r="AI107" s="17">
        <f t="shared" si="7"/>
        <v>2</v>
      </c>
      <c r="AJ107" s="17">
        <f t="shared" si="8"/>
        <v>1</v>
      </c>
      <c r="AK107" s="17">
        <f t="shared" si="9"/>
        <v>1</v>
      </c>
      <c r="AL107" s="17">
        <f t="shared" si="10"/>
        <v>1</v>
      </c>
      <c r="AM107" s="17">
        <f>VLOOKUP(AK107,Sheet1!$A$2:$B$25,2,FALSE)</f>
        <v>0</v>
      </c>
    </row>
    <row r="108" spans="1:39" s="17" customFormat="1" x14ac:dyDescent="0.25">
      <c r="A108" s="21">
        <v>44593.0625</v>
      </c>
      <c r="B108" s="17">
        <v>3.93</v>
      </c>
      <c r="C108" s="17">
        <v>0</v>
      </c>
      <c r="D108" s="17">
        <v>3.93</v>
      </c>
      <c r="E108" s="17">
        <v>0</v>
      </c>
      <c r="F108" s="17">
        <v>0</v>
      </c>
      <c r="G108" s="17">
        <v>0</v>
      </c>
      <c r="H108" s="17">
        <v>1.3</v>
      </c>
      <c r="I108" s="17">
        <v>0</v>
      </c>
      <c r="J108" s="17">
        <v>1.62</v>
      </c>
      <c r="K108" s="17">
        <v>0</v>
      </c>
      <c r="L108" s="17">
        <v>0</v>
      </c>
      <c r="M108" s="17">
        <v>0</v>
      </c>
      <c r="N108" s="17">
        <v>0</v>
      </c>
      <c r="O108" s="17">
        <v>0</v>
      </c>
      <c r="P108" s="17">
        <v>0</v>
      </c>
      <c r="Q108" s="17">
        <v>0</v>
      </c>
      <c r="R108" s="17">
        <v>0</v>
      </c>
      <c r="S108" s="17">
        <v>0</v>
      </c>
      <c r="T108" s="17">
        <v>0</v>
      </c>
      <c r="U108" s="17">
        <v>1.68</v>
      </c>
      <c r="V108" s="17">
        <v>0</v>
      </c>
      <c r="W108" s="17">
        <v>1.08</v>
      </c>
      <c r="X108" s="17">
        <v>0</v>
      </c>
      <c r="Y108" s="17">
        <v>0</v>
      </c>
      <c r="Z108" s="17">
        <v>0</v>
      </c>
      <c r="AA108" s="17">
        <v>0</v>
      </c>
      <c r="AB108" s="17">
        <v>0</v>
      </c>
      <c r="AC108" s="17">
        <v>0</v>
      </c>
      <c r="AD108" s="17">
        <v>0</v>
      </c>
      <c r="AE108" s="17">
        <v>0</v>
      </c>
      <c r="AF108" s="17">
        <v>0</v>
      </c>
      <c r="AG108" s="17">
        <v>0</v>
      </c>
      <c r="AH108" s="17">
        <v>0</v>
      </c>
      <c r="AI108" s="17">
        <f t="shared" si="7"/>
        <v>2</v>
      </c>
      <c r="AJ108" s="17">
        <f t="shared" si="8"/>
        <v>1</v>
      </c>
      <c r="AK108" s="17">
        <f t="shared" si="9"/>
        <v>1</v>
      </c>
      <c r="AL108" s="17">
        <f t="shared" si="10"/>
        <v>1</v>
      </c>
      <c r="AM108" s="17">
        <f>VLOOKUP(AK108,Sheet1!$A$2:$B$25,2,FALSE)</f>
        <v>0</v>
      </c>
    </row>
    <row r="109" spans="1:39" s="17" customFormat="1" x14ac:dyDescent="0.25">
      <c r="A109" s="21">
        <v>44593.072916666664</v>
      </c>
      <c r="B109" s="17">
        <v>3.94</v>
      </c>
      <c r="C109" s="17">
        <v>0</v>
      </c>
      <c r="D109" s="17">
        <v>3.94</v>
      </c>
      <c r="E109" s="17">
        <v>0</v>
      </c>
      <c r="F109" s="17">
        <v>0</v>
      </c>
      <c r="G109" s="17">
        <v>0</v>
      </c>
      <c r="H109" s="17">
        <v>1.45</v>
      </c>
      <c r="I109" s="17">
        <v>0</v>
      </c>
      <c r="J109" s="17">
        <v>1.6</v>
      </c>
      <c r="K109" s="17">
        <v>0</v>
      </c>
      <c r="L109" s="17">
        <v>0</v>
      </c>
      <c r="M109" s="17">
        <v>0</v>
      </c>
      <c r="N109" s="17">
        <v>0</v>
      </c>
      <c r="O109" s="17">
        <v>0</v>
      </c>
      <c r="P109" s="17">
        <v>0</v>
      </c>
      <c r="Q109" s="17">
        <v>0</v>
      </c>
      <c r="R109" s="17">
        <v>0</v>
      </c>
      <c r="S109" s="17">
        <v>0</v>
      </c>
      <c r="T109" s="17">
        <v>0</v>
      </c>
      <c r="U109" s="17">
        <v>1.69</v>
      </c>
      <c r="V109" s="17">
        <v>0</v>
      </c>
      <c r="W109" s="17">
        <v>1.08</v>
      </c>
      <c r="X109" s="17">
        <v>0</v>
      </c>
      <c r="Y109" s="17">
        <v>0</v>
      </c>
      <c r="Z109" s="17">
        <v>0</v>
      </c>
      <c r="AA109" s="17">
        <v>0</v>
      </c>
      <c r="AB109" s="17">
        <v>0</v>
      </c>
      <c r="AC109" s="17">
        <v>0</v>
      </c>
      <c r="AD109" s="17">
        <v>0</v>
      </c>
      <c r="AE109" s="17">
        <v>0</v>
      </c>
      <c r="AF109" s="17">
        <v>0</v>
      </c>
      <c r="AG109" s="17">
        <v>0</v>
      </c>
      <c r="AH109" s="17">
        <v>0</v>
      </c>
      <c r="AI109" s="17">
        <f t="shared" si="7"/>
        <v>2</v>
      </c>
      <c r="AJ109" s="17">
        <f t="shared" si="8"/>
        <v>1</v>
      </c>
      <c r="AK109" s="17">
        <f t="shared" si="9"/>
        <v>1</v>
      </c>
      <c r="AL109" s="17">
        <f t="shared" si="10"/>
        <v>1</v>
      </c>
      <c r="AM109" s="17">
        <f>VLOOKUP(AK109,Sheet1!$A$2:$B$25,2,FALSE)</f>
        <v>0</v>
      </c>
    </row>
    <row r="110" spans="1:39" s="17" customFormat="1" x14ac:dyDescent="0.25">
      <c r="A110" s="21">
        <v>44593.083333333336</v>
      </c>
      <c r="B110" s="17">
        <v>3.91</v>
      </c>
      <c r="C110" s="17">
        <v>0</v>
      </c>
      <c r="D110" s="17">
        <v>3.91</v>
      </c>
      <c r="E110" s="17">
        <v>0</v>
      </c>
      <c r="F110" s="17">
        <v>0</v>
      </c>
      <c r="G110" s="17">
        <v>0</v>
      </c>
      <c r="H110" s="17">
        <v>1.37</v>
      </c>
      <c r="I110" s="17">
        <v>0</v>
      </c>
      <c r="J110" s="17">
        <v>1.64</v>
      </c>
      <c r="K110" s="17">
        <v>0</v>
      </c>
      <c r="L110" s="17">
        <v>0</v>
      </c>
      <c r="M110" s="17">
        <v>0</v>
      </c>
      <c r="N110" s="17">
        <v>0</v>
      </c>
      <c r="O110" s="17">
        <v>0</v>
      </c>
      <c r="P110" s="17">
        <v>0</v>
      </c>
      <c r="Q110" s="17">
        <v>0</v>
      </c>
      <c r="R110" s="17">
        <v>0</v>
      </c>
      <c r="S110" s="17">
        <v>0</v>
      </c>
      <c r="T110" s="17">
        <v>0</v>
      </c>
      <c r="U110" s="17">
        <v>1.71</v>
      </c>
      <c r="V110" s="17">
        <v>0</v>
      </c>
      <c r="W110" s="17">
        <v>1.0900000000000001</v>
      </c>
      <c r="X110" s="17">
        <v>0</v>
      </c>
      <c r="Y110" s="17">
        <v>0</v>
      </c>
      <c r="Z110" s="17">
        <v>0</v>
      </c>
      <c r="AA110" s="17">
        <v>0</v>
      </c>
      <c r="AB110" s="17">
        <v>0</v>
      </c>
      <c r="AC110" s="17">
        <v>0</v>
      </c>
      <c r="AD110" s="17">
        <v>0</v>
      </c>
      <c r="AE110" s="17">
        <v>0</v>
      </c>
      <c r="AF110" s="17">
        <v>0</v>
      </c>
      <c r="AG110" s="17">
        <v>0</v>
      </c>
      <c r="AH110" s="17">
        <v>0</v>
      </c>
      <c r="AI110" s="17">
        <f t="shared" si="7"/>
        <v>2</v>
      </c>
      <c r="AJ110" s="17">
        <f t="shared" si="8"/>
        <v>1</v>
      </c>
      <c r="AK110" s="17">
        <f t="shared" si="9"/>
        <v>2</v>
      </c>
      <c r="AL110" s="17">
        <f t="shared" si="10"/>
        <v>1</v>
      </c>
      <c r="AM110" s="17">
        <f>VLOOKUP(AK110,Sheet1!$A$2:$B$25,2,FALSE)</f>
        <v>0</v>
      </c>
    </row>
    <row r="111" spans="1:39" s="17" customFormat="1" x14ac:dyDescent="0.25">
      <c r="A111" s="21">
        <v>44593.09375</v>
      </c>
      <c r="B111" s="17">
        <v>4.13</v>
      </c>
      <c r="C111" s="17">
        <v>0.2021</v>
      </c>
      <c r="D111" s="17">
        <v>3.93</v>
      </c>
      <c r="E111" s="17">
        <v>0</v>
      </c>
      <c r="F111" s="17">
        <v>0</v>
      </c>
      <c r="G111" s="17">
        <v>0</v>
      </c>
      <c r="H111" s="17">
        <v>1.37</v>
      </c>
      <c r="I111" s="17">
        <v>0</v>
      </c>
      <c r="J111" s="17">
        <v>1.67</v>
      </c>
      <c r="K111" s="17">
        <v>0</v>
      </c>
      <c r="L111" s="17">
        <v>0</v>
      </c>
      <c r="M111" s="17">
        <v>0</v>
      </c>
      <c r="N111" s="17">
        <v>0</v>
      </c>
      <c r="O111" s="17">
        <v>0</v>
      </c>
      <c r="P111" s="17">
        <v>0</v>
      </c>
      <c r="Q111" s="17">
        <v>0</v>
      </c>
      <c r="R111" s="17">
        <v>0</v>
      </c>
      <c r="S111" s="17">
        <v>0</v>
      </c>
      <c r="T111" s="17">
        <v>0</v>
      </c>
      <c r="U111" s="17">
        <v>1.7</v>
      </c>
      <c r="V111" s="17">
        <v>0</v>
      </c>
      <c r="W111" s="17">
        <v>1.0900000000000001</v>
      </c>
      <c r="X111" s="17">
        <v>0</v>
      </c>
      <c r="Y111" s="17">
        <v>0</v>
      </c>
      <c r="Z111" s="17">
        <v>0</v>
      </c>
      <c r="AA111" s="17">
        <v>0</v>
      </c>
      <c r="AB111" s="17">
        <v>0</v>
      </c>
      <c r="AC111" s="17">
        <v>0</v>
      </c>
      <c r="AD111" s="17">
        <v>0</v>
      </c>
      <c r="AE111" s="17">
        <v>0</v>
      </c>
      <c r="AF111" s="17">
        <v>0</v>
      </c>
      <c r="AG111" s="17">
        <v>0</v>
      </c>
      <c r="AH111" s="17">
        <v>0</v>
      </c>
      <c r="AI111" s="17">
        <f t="shared" si="7"/>
        <v>2</v>
      </c>
      <c r="AJ111" s="17">
        <f t="shared" si="8"/>
        <v>1</v>
      </c>
      <c r="AK111" s="17">
        <f t="shared" si="9"/>
        <v>2</v>
      </c>
      <c r="AL111" s="17">
        <f t="shared" si="10"/>
        <v>1</v>
      </c>
      <c r="AM111" s="17">
        <f>VLOOKUP(AK111,Sheet1!$A$2:$B$25,2,FALSE)</f>
        <v>0</v>
      </c>
    </row>
    <row r="112" spans="1:39" s="17" customFormat="1" x14ac:dyDescent="0.25">
      <c r="A112" s="21">
        <v>44593.104166666664</v>
      </c>
      <c r="B112" s="17">
        <v>3.99</v>
      </c>
      <c r="C112" s="17">
        <v>0</v>
      </c>
      <c r="D112" s="17">
        <v>3.99</v>
      </c>
      <c r="E112" s="17">
        <v>0</v>
      </c>
      <c r="F112" s="17">
        <v>0</v>
      </c>
      <c r="G112" s="17">
        <v>0</v>
      </c>
      <c r="H112" s="17">
        <v>1.38</v>
      </c>
      <c r="I112" s="17">
        <v>0</v>
      </c>
      <c r="J112" s="17">
        <v>1.69</v>
      </c>
      <c r="K112" s="17">
        <v>0</v>
      </c>
      <c r="L112" s="17">
        <v>0</v>
      </c>
      <c r="M112" s="17">
        <v>0</v>
      </c>
      <c r="N112" s="17">
        <v>0</v>
      </c>
      <c r="O112" s="17">
        <v>0</v>
      </c>
      <c r="P112" s="17">
        <v>0</v>
      </c>
      <c r="Q112" s="17">
        <v>0</v>
      </c>
      <c r="R112" s="17">
        <v>0</v>
      </c>
      <c r="S112" s="17">
        <v>0</v>
      </c>
      <c r="T112" s="17">
        <v>0</v>
      </c>
      <c r="U112" s="17">
        <v>1.7</v>
      </c>
      <c r="V112" s="17">
        <v>0</v>
      </c>
      <c r="W112" s="17">
        <v>1.0900000000000001</v>
      </c>
      <c r="X112" s="17">
        <v>0</v>
      </c>
      <c r="Y112" s="17">
        <v>0</v>
      </c>
      <c r="Z112" s="17">
        <v>0</v>
      </c>
      <c r="AA112" s="17">
        <v>0</v>
      </c>
      <c r="AB112" s="17">
        <v>0</v>
      </c>
      <c r="AC112" s="17">
        <v>0</v>
      </c>
      <c r="AD112" s="17">
        <v>0</v>
      </c>
      <c r="AE112" s="17">
        <v>0</v>
      </c>
      <c r="AF112" s="17">
        <v>0</v>
      </c>
      <c r="AG112" s="17">
        <v>0</v>
      </c>
      <c r="AH112" s="17">
        <v>0</v>
      </c>
      <c r="AI112" s="17">
        <f t="shared" si="7"/>
        <v>2</v>
      </c>
      <c r="AJ112" s="17">
        <f t="shared" si="8"/>
        <v>1</v>
      </c>
      <c r="AK112" s="17">
        <f t="shared" si="9"/>
        <v>2</v>
      </c>
      <c r="AL112" s="17">
        <f t="shared" si="10"/>
        <v>1</v>
      </c>
      <c r="AM112" s="17">
        <f>VLOOKUP(AK112,Sheet1!$A$2:$B$25,2,FALSE)</f>
        <v>0</v>
      </c>
    </row>
    <row r="113" spans="1:39" s="17" customFormat="1" x14ac:dyDescent="0.25">
      <c r="A113" s="21">
        <v>44593.114583333336</v>
      </c>
      <c r="B113" s="17">
        <v>4.0999999999999996</v>
      </c>
      <c r="C113" s="17">
        <v>0.2021</v>
      </c>
      <c r="D113" s="17">
        <v>3.89</v>
      </c>
      <c r="E113" s="17">
        <v>0</v>
      </c>
      <c r="F113" s="17">
        <v>0</v>
      </c>
      <c r="G113" s="17">
        <v>0</v>
      </c>
      <c r="H113" s="17">
        <v>1.04</v>
      </c>
      <c r="I113" s="17">
        <v>0</v>
      </c>
      <c r="J113" s="17">
        <v>1.64</v>
      </c>
      <c r="K113" s="17">
        <v>0</v>
      </c>
      <c r="L113" s="17">
        <v>0</v>
      </c>
      <c r="M113" s="17">
        <v>0</v>
      </c>
      <c r="N113" s="17">
        <v>0</v>
      </c>
      <c r="O113" s="17">
        <v>0</v>
      </c>
      <c r="P113" s="17">
        <v>0</v>
      </c>
      <c r="Q113" s="17">
        <v>0</v>
      </c>
      <c r="R113" s="17">
        <v>0</v>
      </c>
      <c r="S113" s="17">
        <v>0</v>
      </c>
      <c r="T113" s="17">
        <v>0</v>
      </c>
      <c r="U113" s="17">
        <v>1.7</v>
      </c>
      <c r="V113" s="17">
        <v>0</v>
      </c>
      <c r="W113" s="17">
        <v>1.0900000000000001</v>
      </c>
      <c r="X113" s="17">
        <v>0</v>
      </c>
      <c r="Y113" s="17">
        <v>0</v>
      </c>
      <c r="Z113" s="17">
        <v>0</v>
      </c>
      <c r="AA113" s="17">
        <v>0</v>
      </c>
      <c r="AB113" s="17">
        <v>0</v>
      </c>
      <c r="AC113" s="17">
        <v>0</v>
      </c>
      <c r="AD113" s="17">
        <v>0</v>
      </c>
      <c r="AE113" s="17">
        <v>0</v>
      </c>
      <c r="AF113" s="17">
        <v>0</v>
      </c>
      <c r="AG113" s="17">
        <v>0</v>
      </c>
      <c r="AH113" s="17">
        <v>0</v>
      </c>
      <c r="AI113" s="17">
        <f t="shared" si="7"/>
        <v>2</v>
      </c>
      <c r="AJ113" s="17">
        <f t="shared" si="8"/>
        <v>1</v>
      </c>
      <c r="AK113" s="17">
        <f t="shared" si="9"/>
        <v>2</v>
      </c>
      <c r="AL113" s="17">
        <f t="shared" si="10"/>
        <v>1</v>
      </c>
      <c r="AM113" s="17">
        <f>VLOOKUP(AK113,Sheet1!$A$2:$B$25,2,FALSE)</f>
        <v>0</v>
      </c>
    </row>
    <row r="114" spans="1:39" s="17" customFormat="1" x14ac:dyDescent="0.25">
      <c r="A114" s="21">
        <v>44593.125</v>
      </c>
      <c r="B114" s="17">
        <v>4</v>
      </c>
      <c r="C114" s="17">
        <v>0</v>
      </c>
      <c r="D114" s="17">
        <v>4</v>
      </c>
      <c r="E114" s="17">
        <v>0</v>
      </c>
      <c r="F114" s="17">
        <v>0</v>
      </c>
      <c r="G114" s="17">
        <v>0</v>
      </c>
      <c r="H114" s="17">
        <v>1.37</v>
      </c>
      <c r="I114" s="17">
        <v>0</v>
      </c>
      <c r="J114" s="17">
        <v>1.28</v>
      </c>
      <c r="K114" s="17">
        <v>0</v>
      </c>
      <c r="L114" s="17">
        <v>0</v>
      </c>
      <c r="M114" s="17">
        <v>0</v>
      </c>
      <c r="N114" s="17">
        <v>0</v>
      </c>
      <c r="O114" s="17">
        <v>0</v>
      </c>
      <c r="P114" s="17">
        <v>0</v>
      </c>
      <c r="Q114" s="17">
        <v>0</v>
      </c>
      <c r="R114" s="17">
        <v>0</v>
      </c>
      <c r="S114" s="17">
        <v>0</v>
      </c>
      <c r="T114" s="17">
        <v>0</v>
      </c>
      <c r="U114" s="17">
        <v>1.7</v>
      </c>
      <c r="V114" s="17">
        <v>0</v>
      </c>
      <c r="W114" s="17">
        <v>1.0900000000000001</v>
      </c>
      <c r="X114" s="17">
        <v>0</v>
      </c>
      <c r="Y114" s="17">
        <v>0</v>
      </c>
      <c r="Z114" s="17">
        <v>0</v>
      </c>
      <c r="AA114" s="17">
        <v>0</v>
      </c>
      <c r="AB114" s="17">
        <v>0</v>
      </c>
      <c r="AC114" s="17">
        <v>0</v>
      </c>
      <c r="AD114" s="17">
        <v>0</v>
      </c>
      <c r="AE114" s="17">
        <v>0</v>
      </c>
      <c r="AF114" s="17">
        <v>0</v>
      </c>
      <c r="AG114" s="17">
        <v>0</v>
      </c>
      <c r="AH114" s="17">
        <v>0</v>
      </c>
      <c r="AI114" s="17">
        <f t="shared" si="7"/>
        <v>2</v>
      </c>
      <c r="AJ114" s="17">
        <f t="shared" si="8"/>
        <v>1</v>
      </c>
      <c r="AK114" s="17">
        <f t="shared" si="9"/>
        <v>3</v>
      </c>
      <c r="AL114" s="17">
        <f t="shared" si="10"/>
        <v>1</v>
      </c>
      <c r="AM114" s="17">
        <f>VLOOKUP(AK114,Sheet1!$A$2:$B$25,2,FALSE)</f>
        <v>0</v>
      </c>
    </row>
    <row r="115" spans="1:39" s="17" customFormat="1" x14ac:dyDescent="0.25">
      <c r="A115" s="21">
        <v>44593.135416666664</v>
      </c>
      <c r="B115" s="17">
        <v>4.0999999999999996</v>
      </c>
      <c r="C115" s="17">
        <v>0</v>
      </c>
      <c r="D115" s="17">
        <v>4.0999999999999996</v>
      </c>
      <c r="E115" s="17">
        <v>0</v>
      </c>
      <c r="F115" s="17">
        <v>0</v>
      </c>
      <c r="G115" s="17">
        <v>0</v>
      </c>
      <c r="H115" s="17">
        <v>1.37</v>
      </c>
      <c r="I115" s="17">
        <v>0</v>
      </c>
      <c r="J115" s="17">
        <v>1.65</v>
      </c>
      <c r="K115" s="17">
        <v>0</v>
      </c>
      <c r="L115" s="17">
        <v>0</v>
      </c>
      <c r="M115" s="17">
        <v>0</v>
      </c>
      <c r="N115" s="17">
        <v>0</v>
      </c>
      <c r="O115" s="17">
        <v>0</v>
      </c>
      <c r="P115" s="17">
        <v>0</v>
      </c>
      <c r="Q115" s="17">
        <v>0</v>
      </c>
      <c r="R115" s="17">
        <v>0</v>
      </c>
      <c r="S115" s="17">
        <v>0</v>
      </c>
      <c r="T115" s="17">
        <v>0</v>
      </c>
      <c r="U115" s="17">
        <v>1.74</v>
      </c>
      <c r="V115" s="17">
        <v>0</v>
      </c>
      <c r="W115" s="17">
        <v>1.1200000000000001</v>
      </c>
      <c r="X115" s="17">
        <v>0</v>
      </c>
      <c r="Y115" s="17">
        <v>0</v>
      </c>
      <c r="Z115" s="17">
        <v>0</v>
      </c>
      <c r="AA115" s="17">
        <v>0</v>
      </c>
      <c r="AB115" s="17">
        <v>0</v>
      </c>
      <c r="AC115" s="17">
        <v>0</v>
      </c>
      <c r="AD115" s="17">
        <v>0</v>
      </c>
      <c r="AE115" s="17">
        <v>0</v>
      </c>
      <c r="AF115" s="17">
        <v>0</v>
      </c>
      <c r="AG115" s="17">
        <v>0</v>
      </c>
      <c r="AH115" s="17">
        <v>0</v>
      </c>
      <c r="AI115" s="17">
        <f t="shared" si="7"/>
        <v>2</v>
      </c>
      <c r="AJ115" s="17">
        <f t="shared" si="8"/>
        <v>1</v>
      </c>
      <c r="AK115" s="17">
        <f t="shared" si="9"/>
        <v>3</v>
      </c>
      <c r="AL115" s="17">
        <f t="shared" si="10"/>
        <v>1</v>
      </c>
      <c r="AM115" s="17">
        <f>VLOOKUP(AK115,Sheet1!$A$2:$B$25,2,FALSE)</f>
        <v>0</v>
      </c>
    </row>
    <row r="116" spans="1:39" s="17" customFormat="1" x14ac:dyDescent="0.25">
      <c r="A116" s="21">
        <v>44593.145833333336</v>
      </c>
      <c r="B116" s="17">
        <v>4.2699999999999996</v>
      </c>
      <c r="C116" s="17">
        <v>0.2021</v>
      </c>
      <c r="D116" s="17">
        <v>4.0599999999999996</v>
      </c>
      <c r="E116" s="17">
        <v>0</v>
      </c>
      <c r="F116" s="17">
        <v>0</v>
      </c>
      <c r="G116" s="17">
        <v>0</v>
      </c>
      <c r="H116" s="17">
        <v>1.38</v>
      </c>
      <c r="I116" s="17">
        <v>0</v>
      </c>
      <c r="J116" s="17">
        <v>1.65</v>
      </c>
      <c r="K116" s="17">
        <v>0</v>
      </c>
      <c r="L116" s="17">
        <v>0</v>
      </c>
      <c r="M116" s="17">
        <v>0</v>
      </c>
      <c r="N116" s="17">
        <v>0</v>
      </c>
      <c r="O116" s="17">
        <v>0</v>
      </c>
      <c r="P116" s="17">
        <v>0</v>
      </c>
      <c r="Q116" s="17">
        <v>0</v>
      </c>
      <c r="R116" s="17">
        <v>0</v>
      </c>
      <c r="S116" s="17">
        <v>0</v>
      </c>
      <c r="T116" s="17">
        <v>0</v>
      </c>
      <c r="U116" s="17">
        <v>1.74</v>
      </c>
      <c r="V116" s="17">
        <v>0</v>
      </c>
      <c r="W116" s="17">
        <v>1.1299999999999999</v>
      </c>
      <c r="X116" s="17">
        <v>0</v>
      </c>
      <c r="Y116" s="17">
        <v>0</v>
      </c>
      <c r="Z116" s="17">
        <v>0</v>
      </c>
      <c r="AA116" s="17">
        <v>0</v>
      </c>
      <c r="AB116" s="17">
        <v>0</v>
      </c>
      <c r="AC116" s="17">
        <v>0</v>
      </c>
      <c r="AD116" s="17">
        <v>0</v>
      </c>
      <c r="AE116" s="17">
        <v>0</v>
      </c>
      <c r="AF116" s="17">
        <v>0</v>
      </c>
      <c r="AG116" s="17">
        <v>0</v>
      </c>
      <c r="AH116" s="17">
        <v>0</v>
      </c>
      <c r="AI116" s="17">
        <f t="shared" si="7"/>
        <v>2</v>
      </c>
      <c r="AJ116" s="17">
        <f t="shared" si="8"/>
        <v>1</v>
      </c>
      <c r="AK116" s="17">
        <f t="shared" si="9"/>
        <v>3</v>
      </c>
      <c r="AL116" s="17">
        <f t="shared" si="10"/>
        <v>1</v>
      </c>
      <c r="AM116" s="17">
        <f>VLOOKUP(AK116,Sheet1!$A$2:$B$25,2,FALSE)</f>
        <v>0</v>
      </c>
    </row>
    <row r="117" spans="1:39" s="17" customFormat="1" x14ac:dyDescent="0.25">
      <c r="A117" s="21">
        <v>44593.15625</v>
      </c>
      <c r="B117" s="17">
        <v>70.069999999999993</v>
      </c>
      <c r="C117" s="17">
        <v>44.24</v>
      </c>
      <c r="D117" s="17">
        <v>4.05</v>
      </c>
      <c r="E117" s="17">
        <v>22.94</v>
      </c>
      <c r="F117" s="17">
        <v>0</v>
      </c>
      <c r="G117" s="17">
        <v>0</v>
      </c>
      <c r="H117" s="17">
        <v>1.4</v>
      </c>
      <c r="I117" s="17">
        <v>15.92</v>
      </c>
      <c r="J117" s="17">
        <v>24.42</v>
      </c>
      <c r="K117" s="17">
        <v>0</v>
      </c>
      <c r="L117" s="17">
        <v>4.28</v>
      </c>
      <c r="M117" s="17">
        <v>0</v>
      </c>
      <c r="N117" s="17">
        <v>0</v>
      </c>
      <c r="O117" s="17">
        <v>9.35</v>
      </c>
      <c r="P117" s="17">
        <v>1.66</v>
      </c>
      <c r="Q117" s="17">
        <v>9.61</v>
      </c>
      <c r="R117" s="17">
        <v>0</v>
      </c>
      <c r="S117" s="17">
        <v>1.42</v>
      </c>
      <c r="T117" s="17">
        <v>0</v>
      </c>
      <c r="U117" s="17">
        <v>1.69</v>
      </c>
      <c r="V117" s="17">
        <v>1.38</v>
      </c>
      <c r="W117" s="17">
        <v>1.0900000000000001</v>
      </c>
      <c r="X117" s="17">
        <v>0</v>
      </c>
      <c r="Y117" s="17">
        <v>0.70420000000000005</v>
      </c>
      <c r="Z117" s="17">
        <v>0.69550000000000001</v>
      </c>
      <c r="AA117" s="17">
        <v>0</v>
      </c>
      <c r="AB117" s="17">
        <v>0</v>
      </c>
      <c r="AC117" s="17">
        <v>0</v>
      </c>
      <c r="AD117" s="17">
        <v>0</v>
      </c>
      <c r="AE117" s="17">
        <v>0</v>
      </c>
      <c r="AF117" s="17">
        <v>0</v>
      </c>
      <c r="AG117" s="17">
        <v>0</v>
      </c>
      <c r="AH117" s="17">
        <v>0</v>
      </c>
      <c r="AI117" s="17">
        <f t="shared" si="7"/>
        <v>2</v>
      </c>
      <c r="AJ117" s="17">
        <f t="shared" si="8"/>
        <v>1</v>
      </c>
      <c r="AK117" s="17">
        <f t="shared" si="9"/>
        <v>3</v>
      </c>
      <c r="AL117" s="17">
        <f t="shared" si="10"/>
        <v>1</v>
      </c>
      <c r="AM117" s="17">
        <f>VLOOKUP(AK117,Sheet1!$A$2:$B$25,2,FALSE)</f>
        <v>0</v>
      </c>
    </row>
    <row r="118" spans="1:39" s="17" customFormat="1" x14ac:dyDescent="0.25">
      <c r="A118" s="21">
        <v>44593.166666666664</v>
      </c>
      <c r="B118" s="17">
        <v>563.42999999999995</v>
      </c>
      <c r="C118" s="17">
        <v>310.69</v>
      </c>
      <c r="D118" s="17">
        <v>113.14</v>
      </c>
      <c r="E118" s="17">
        <v>173.14</v>
      </c>
      <c r="F118" s="17">
        <v>55.82</v>
      </c>
      <c r="G118" s="17">
        <v>0</v>
      </c>
      <c r="H118" s="17">
        <v>62.09</v>
      </c>
      <c r="I118" s="17">
        <v>83.45</v>
      </c>
      <c r="J118" s="17">
        <v>175.1</v>
      </c>
      <c r="K118" s="17">
        <v>0</v>
      </c>
      <c r="L118" s="17">
        <v>45.21</v>
      </c>
      <c r="M118" s="17">
        <v>24.81</v>
      </c>
      <c r="N118" s="17">
        <v>0</v>
      </c>
      <c r="O118" s="17">
        <v>69.22</v>
      </c>
      <c r="P118" s="17">
        <v>13.64</v>
      </c>
      <c r="Q118" s="17">
        <v>70.010000000000005</v>
      </c>
      <c r="R118" s="17">
        <v>0</v>
      </c>
      <c r="S118" s="17">
        <v>18.2</v>
      </c>
      <c r="T118" s="17">
        <v>0</v>
      </c>
      <c r="U118" s="17">
        <v>1.5</v>
      </c>
      <c r="V118" s="17">
        <v>10.25</v>
      </c>
      <c r="W118" s="17">
        <v>0.98919999999999997</v>
      </c>
      <c r="X118" s="17">
        <v>0.79659999999999997</v>
      </c>
      <c r="Y118" s="17">
        <v>6.48</v>
      </c>
      <c r="Z118" s="17">
        <v>2.79</v>
      </c>
      <c r="AA118" s="17">
        <v>3.99</v>
      </c>
      <c r="AB118" s="17">
        <v>0</v>
      </c>
      <c r="AC118" s="17">
        <v>0</v>
      </c>
      <c r="AD118" s="17">
        <v>0</v>
      </c>
      <c r="AE118" s="17">
        <v>0</v>
      </c>
      <c r="AF118" s="17">
        <v>0</v>
      </c>
      <c r="AG118" s="17">
        <v>0</v>
      </c>
      <c r="AH118" s="17">
        <v>0</v>
      </c>
      <c r="AI118" s="17">
        <f t="shared" si="7"/>
        <v>2</v>
      </c>
      <c r="AJ118" s="17">
        <f t="shared" si="8"/>
        <v>1</v>
      </c>
      <c r="AK118" s="17">
        <f t="shared" si="9"/>
        <v>4</v>
      </c>
      <c r="AL118" s="17">
        <f t="shared" si="10"/>
        <v>1</v>
      </c>
      <c r="AM118" s="17">
        <f>VLOOKUP(AK118,Sheet1!$A$2:$B$25,2,FALSE)</f>
        <v>1</v>
      </c>
    </row>
    <row r="119" spans="1:39" s="17" customFormat="1" x14ac:dyDescent="0.25">
      <c r="A119" s="21">
        <v>44593.177083333336</v>
      </c>
      <c r="B119" s="17">
        <v>767.53</v>
      </c>
      <c r="C119" s="17">
        <v>267.08999999999997</v>
      </c>
      <c r="D119" s="17">
        <v>337.85</v>
      </c>
      <c r="E119" s="17">
        <v>168.2</v>
      </c>
      <c r="F119" s="17">
        <v>169.53</v>
      </c>
      <c r="G119" s="17">
        <v>53.82</v>
      </c>
      <c r="H119" s="17">
        <v>167.69</v>
      </c>
      <c r="I119" s="17">
        <v>56.15</v>
      </c>
      <c r="J119" s="17">
        <v>111.18</v>
      </c>
      <c r="K119" s="17">
        <v>15.95</v>
      </c>
      <c r="L119" s="17">
        <v>57.71</v>
      </c>
      <c r="M119" s="17">
        <v>77.22</v>
      </c>
      <c r="N119" s="17">
        <v>0</v>
      </c>
      <c r="O119" s="17">
        <v>45.97</v>
      </c>
      <c r="P119" s="17">
        <v>19.010000000000002</v>
      </c>
      <c r="Q119" s="17">
        <v>51.07</v>
      </c>
      <c r="R119" s="17">
        <v>13.35</v>
      </c>
      <c r="S119" s="17">
        <v>14.67</v>
      </c>
      <c r="T119" s="17">
        <v>0</v>
      </c>
      <c r="U119" s="17">
        <v>1.42</v>
      </c>
      <c r="V119" s="17">
        <v>1.52</v>
      </c>
      <c r="W119" s="17">
        <v>0.92920000000000003</v>
      </c>
      <c r="X119" s="17">
        <v>1.32</v>
      </c>
      <c r="Y119" s="17">
        <v>3.59</v>
      </c>
      <c r="Z119" s="17">
        <v>0</v>
      </c>
      <c r="AA119" s="17">
        <v>9.76</v>
      </c>
      <c r="AB119" s="17">
        <v>0</v>
      </c>
      <c r="AC119" s="17">
        <v>2.75</v>
      </c>
      <c r="AD119" s="17">
        <v>0</v>
      </c>
      <c r="AE119" s="17">
        <v>0</v>
      </c>
      <c r="AF119" s="17">
        <v>0</v>
      </c>
      <c r="AG119" s="17">
        <v>0</v>
      </c>
      <c r="AH119" s="17">
        <v>0</v>
      </c>
      <c r="AI119" s="17">
        <f t="shared" si="7"/>
        <v>2</v>
      </c>
      <c r="AJ119" s="17">
        <f t="shared" si="8"/>
        <v>1</v>
      </c>
      <c r="AK119" s="17">
        <f t="shared" si="9"/>
        <v>4</v>
      </c>
      <c r="AL119" s="17">
        <f t="shared" si="10"/>
        <v>1</v>
      </c>
      <c r="AM119" s="17">
        <f>VLOOKUP(AK119,Sheet1!$A$2:$B$25,2,FALSE)</f>
        <v>1</v>
      </c>
    </row>
    <row r="120" spans="1:39" s="17" customFormat="1" x14ac:dyDescent="0.25">
      <c r="A120" s="21">
        <v>44593.1875</v>
      </c>
      <c r="B120" s="17">
        <v>797.56</v>
      </c>
      <c r="C120" s="17">
        <v>222.73</v>
      </c>
      <c r="D120" s="17">
        <v>282.33</v>
      </c>
      <c r="E120" s="17">
        <v>166.98</v>
      </c>
      <c r="F120" s="17">
        <v>168.18</v>
      </c>
      <c r="G120" s="17">
        <v>174.3</v>
      </c>
      <c r="H120" s="17">
        <v>124.54</v>
      </c>
      <c r="I120" s="17">
        <v>55.19</v>
      </c>
      <c r="J120" s="17">
        <v>51.32</v>
      </c>
      <c r="K120" s="17">
        <v>60.42</v>
      </c>
      <c r="L120" s="17">
        <v>59.69</v>
      </c>
      <c r="M120" s="17">
        <v>54.56</v>
      </c>
      <c r="N120" s="17">
        <v>0</v>
      </c>
      <c r="O120" s="17">
        <v>19.989999999999998</v>
      </c>
      <c r="P120" s="17">
        <v>23.5</v>
      </c>
      <c r="Q120" s="17">
        <v>22.76</v>
      </c>
      <c r="R120" s="17">
        <v>45.32</v>
      </c>
      <c r="S120" s="17">
        <v>16.7</v>
      </c>
      <c r="T120" s="17">
        <v>11.05</v>
      </c>
      <c r="U120" s="17">
        <v>1.42</v>
      </c>
      <c r="V120" s="17">
        <v>0.9173</v>
      </c>
      <c r="W120" s="17">
        <v>0.93159999999999998</v>
      </c>
      <c r="X120" s="17">
        <v>2.4300000000000002</v>
      </c>
      <c r="Y120" s="17">
        <v>2.75</v>
      </c>
      <c r="Z120" s="17">
        <v>1.76</v>
      </c>
      <c r="AA120" s="17">
        <v>11.17</v>
      </c>
      <c r="AB120" s="17">
        <v>0</v>
      </c>
      <c r="AC120" s="17">
        <v>3.78</v>
      </c>
      <c r="AD120" s="17">
        <v>0</v>
      </c>
      <c r="AE120" s="17">
        <v>0.1484</v>
      </c>
      <c r="AF120" s="17">
        <v>0</v>
      </c>
      <c r="AG120" s="17">
        <v>0</v>
      </c>
      <c r="AH120" s="17">
        <v>0</v>
      </c>
      <c r="AI120" s="17">
        <f t="shared" si="7"/>
        <v>2</v>
      </c>
      <c r="AJ120" s="17">
        <f t="shared" si="8"/>
        <v>1</v>
      </c>
      <c r="AK120" s="17">
        <f t="shared" si="9"/>
        <v>4</v>
      </c>
      <c r="AL120" s="17">
        <f t="shared" si="10"/>
        <v>1</v>
      </c>
      <c r="AM120" s="17">
        <f>VLOOKUP(AK120,Sheet1!$A$2:$B$25,2,FALSE)</f>
        <v>1</v>
      </c>
    </row>
    <row r="121" spans="1:39" s="17" customFormat="1" x14ac:dyDescent="0.25">
      <c r="A121" s="21">
        <v>44593.197916666664</v>
      </c>
      <c r="B121" s="17">
        <v>735.54</v>
      </c>
      <c r="C121" s="17">
        <v>217.26</v>
      </c>
      <c r="D121" s="17">
        <v>226.99</v>
      </c>
      <c r="E121" s="17">
        <v>168.47</v>
      </c>
      <c r="F121" s="17">
        <v>169.88</v>
      </c>
      <c r="G121" s="17">
        <v>163.51</v>
      </c>
      <c r="H121" s="17">
        <v>56.52</v>
      </c>
      <c r="I121" s="17">
        <v>55.59</v>
      </c>
      <c r="J121" s="17">
        <v>38.9</v>
      </c>
      <c r="K121" s="17">
        <v>61.27</v>
      </c>
      <c r="L121" s="17">
        <v>61.64</v>
      </c>
      <c r="M121" s="17">
        <v>48.94</v>
      </c>
      <c r="N121" s="17">
        <v>0</v>
      </c>
      <c r="O121" s="17">
        <v>16.71</v>
      </c>
      <c r="P121" s="17">
        <v>25.96</v>
      </c>
      <c r="Q121" s="17">
        <v>15.63</v>
      </c>
      <c r="R121" s="17">
        <v>33.68</v>
      </c>
      <c r="S121" s="17">
        <v>14.53</v>
      </c>
      <c r="T121" s="17">
        <v>14.55</v>
      </c>
      <c r="U121" s="17">
        <v>1.45</v>
      </c>
      <c r="V121" s="17">
        <v>5.26</v>
      </c>
      <c r="W121" s="17">
        <v>0.95050000000000001</v>
      </c>
      <c r="X121" s="17">
        <v>8.86</v>
      </c>
      <c r="Y121" s="17">
        <v>4.5999999999999996</v>
      </c>
      <c r="Z121" s="17">
        <v>1.64</v>
      </c>
      <c r="AA121" s="17">
        <v>11.33</v>
      </c>
      <c r="AB121" s="17">
        <v>0</v>
      </c>
      <c r="AC121" s="17">
        <v>0</v>
      </c>
      <c r="AD121" s="17">
        <v>0</v>
      </c>
      <c r="AE121" s="17">
        <v>0</v>
      </c>
      <c r="AF121" s="17">
        <v>0</v>
      </c>
      <c r="AG121" s="17">
        <v>0</v>
      </c>
      <c r="AH121" s="17">
        <v>0</v>
      </c>
      <c r="AI121" s="17">
        <f t="shared" si="7"/>
        <v>2</v>
      </c>
      <c r="AJ121" s="17">
        <f t="shared" si="8"/>
        <v>1</v>
      </c>
      <c r="AK121" s="17">
        <f t="shared" si="9"/>
        <v>4</v>
      </c>
      <c r="AL121" s="17">
        <f t="shared" si="10"/>
        <v>1</v>
      </c>
      <c r="AM121" s="17">
        <f>VLOOKUP(AK121,Sheet1!$A$2:$B$25,2,FALSE)</f>
        <v>1</v>
      </c>
    </row>
    <row r="122" spans="1:39" s="17" customFormat="1" x14ac:dyDescent="0.25">
      <c r="A122" s="21">
        <v>44593.208333333336</v>
      </c>
      <c r="B122" s="17">
        <v>676.35</v>
      </c>
      <c r="C122" s="17">
        <v>212.42</v>
      </c>
      <c r="D122" s="17">
        <v>210.16</v>
      </c>
      <c r="E122" s="17">
        <v>166.18</v>
      </c>
      <c r="F122" s="17">
        <v>168.05</v>
      </c>
      <c r="G122" s="17">
        <v>136.28</v>
      </c>
      <c r="H122" s="17">
        <v>39.83</v>
      </c>
      <c r="I122" s="17">
        <v>56.44</v>
      </c>
      <c r="J122" s="17">
        <v>34.26</v>
      </c>
      <c r="K122" s="17">
        <v>59.84</v>
      </c>
      <c r="L122" s="17">
        <v>60.6</v>
      </c>
      <c r="M122" s="17">
        <v>42.73</v>
      </c>
      <c r="N122" s="17">
        <v>0</v>
      </c>
      <c r="O122" s="17">
        <v>15.14</v>
      </c>
      <c r="P122" s="17">
        <v>25.96</v>
      </c>
      <c r="Q122" s="17">
        <v>14</v>
      </c>
      <c r="R122" s="17">
        <v>11.68</v>
      </c>
      <c r="S122" s="17">
        <v>8.7899999999999991</v>
      </c>
      <c r="T122" s="17">
        <v>17.95</v>
      </c>
      <c r="U122" s="17">
        <v>1.56</v>
      </c>
      <c r="V122" s="17">
        <v>1.48</v>
      </c>
      <c r="W122" s="17">
        <v>1.03</v>
      </c>
      <c r="X122" s="17">
        <v>5.65</v>
      </c>
      <c r="Y122" s="17">
        <v>0.51160000000000005</v>
      </c>
      <c r="Z122" s="17">
        <v>0</v>
      </c>
      <c r="AA122" s="17">
        <v>11.71</v>
      </c>
      <c r="AB122" s="17">
        <v>0</v>
      </c>
      <c r="AC122" s="17">
        <v>4.8899999999999997</v>
      </c>
      <c r="AD122" s="17">
        <v>2.06</v>
      </c>
      <c r="AE122" s="17">
        <v>0</v>
      </c>
      <c r="AF122" s="17">
        <v>0</v>
      </c>
      <c r="AG122" s="17">
        <v>0</v>
      </c>
      <c r="AH122" s="17">
        <v>0</v>
      </c>
      <c r="AI122" s="17">
        <f t="shared" si="7"/>
        <v>2</v>
      </c>
      <c r="AJ122" s="17">
        <f t="shared" si="8"/>
        <v>1</v>
      </c>
      <c r="AK122" s="17">
        <f t="shared" si="9"/>
        <v>5</v>
      </c>
      <c r="AL122" s="17">
        <f t="shared" si="10"/>
        <v>1</v>
      </c>
      <c r="AM122" s="17">
        <f>VLOOKUP(AK122,Sheet1!$A$2:$B$25,2,FALSE)</f>
        <v>1</v>
      </c>
    </row>
    <row r="123" spans="1:39" s="17" customFormat="1" x14ac:dyDescent="0.25">
      <c r="A123" s="21">
        <v>44593.21875</v>
      </c>
      <c r="B123" s="17">
        <v>698.85</v>
      </c>
      <c r="C123" s="17">
        <v>222.26</v>
      </c>
      <c r="D123" s="17">
        <v>210.01</v>
      </c>
      <c r="E123" s="17">
        <v>165.33</v>
      </c>
      <c r="F123" s="17">
        <v>167.41</v>
      </c>
      <c r="G123" s="17">
        <v>132.97999999999999</v>
      </c>
      <c r="H123" s="17">
        <v>43.12</v>
      </c>
      <c r="I123" s="17">
        <v>57.23</v>
      </c>
      <c r="J123" s="17">
        <v>32.880000000000003</v>
      </c>
      <c r="K123" s="17">
        <v>59.28</v>
      </c>
      <c r="L123" s="17">
        <v>60.15</v>
      </c>
      <c r="M123" s="17">
        <v>33.15</v>
      </c>
      <c r="N123" s="17">
        <v>16.28</v>
      </c>
      <c r="O123" s="17">
        <v>16.260000000000002</v>
      </c>
      <c r="P123" s="17">
        <v>26.06</v>
      </c>
      <c r="Q123" s="17">
        <v>12.91</v>
      </c>
      <c r="R123" s="17">
        <v>9.98</v>
      </c>
      <c r="S123" s="17">
        <v>10.94</v>
      </c>
      <c r="T123" s="17">
        <v>13.75</v>
      </c>
      <c r="U123" s="17">
        <v>1.84</v>
      </c>
      <c r="V123" s="17">
        <v>2.37</v>
      </c>
      <c r="W123" s="17">
        <v>1.22</v>
      </c>
      <c r="X123" s="17">
        <v>5.17</v>
      </c>
      <c r="Y123" s="17">
        <v>4.83</v>
      </c>
      <c r="Z123" s="17">
        <v>4.9400000000000004</v>
      </c>
      <c r="AA123" s="17">
        <v>9.2200000000000006</v>
      </c>
      <c r="AB123" s="17">
        <v>4.3600000000000003</v>
      </c>
      <c r="AC123" s="17">
        <v>0.3876</v>
      </c>
      <c r="AD123" s="17">
        <v>8.11</v>
      </c>
      <c r="AE123" s="17">
        <v>0</v>
      </c>
      <c r="AF123" s="17">
        <v>0</v>
      </c>
      <c r="AG123" s="17">
        <v>0</v>
      </c>
      <c r="AH123" s="17">
        <v>0</v>
      </c>
      <c r="AI123" s="17">
        <f t="shared" si="7"/>
        <v>2</v>
      </c>
      <c r="AJ123" s="17">
        <f t="shared" si="8"/>
        <v>1</v>
      </c>
      <c r="AK123" s="17">
        <f t="shared" si="9"/>
        <v>5</v>
      </c>
      <c r="AL123" s="17">
        <f t="shared" si="10"/>
        <v>1</v>
      </c>
      <c r="AM123" s="17">
        <f>VLOOKUP(AK123,Sheet1!$A$2:$B$25,2,FALSE)</f>
        <v>1</v>
      </c>
    </row>
    <row r="124" spans="1:39" s="17" customFormat="1" x14ac:dyDescent="0.25">
      <c r="A124" s="21">
        <v>44593.229166666664</v>
      </c>
      <c r="B124" s="17">
        <v>708.7</v>
      </c>
      <c r="C124" s="17">
        <v>227.12</v>
      </c>
      <c r="D124" s="17">
        <v>208.84</v>
      </c>
      <c r="E124" s="17">
        <v>165.03</v>
      </c>
      <c r="F124" s="17">
        <v>166.96</v>
      </c>
      <c r="G124" s="17">
        <v>140.87</v>
      </c>
      <c r="H124" s="17">
        <v>47.14</v>
      </c>
      <c r="I124" s="17">
        <v>58.16</v>
      </c>
      <c r="J124" s="17">
        <v>31.66</v>
      </c>
      <c r="K124" s="17">
        <v>59.16</v>
      </c>
      <c r="L124" s="17">
        <v>62.42</v>
      </c>
      <c r="M124" s="17">
        <v>29.85</v>
      </c>
      <c r="N124" s="17">
        <v>22.14</v>
      </c>
      <c r="O124" s="17">
        <v>13.59</v>
      </c>
      <c r="P124" s="17">
        <v>27.03</v>
      </c>
      <c r="Q124" s="17">
        <v>12.34</v>
      </c>
      <c r="R124" s="17">
        <v>14.45</v>
      </c>
      <c r="S124" s="17">
        <v>16.34</v>
      </c>
      <c r="T124" s="17">
        <v>17.91</v>
      </c>
      <c r="U124" s="17">
        <v>1.85</v>
      </c>
      <c r="V124" s="17">
        <v>6.41</v>
      </c>
      <c r="W124" s="17">
        <v>1.26</v>
      </c>
      <c r="X124" s="17">
        <v>7.84</v>
      </c>
      <c r="Y124" s="17">
        <v>3.56</v>
      </c>
      <c r="Z124" s="17">
        <v>2.14</v>
      </c>
      <c r="AA124" s="17">
        <v>4.8899999999999997</v>
      </c>
      <c r="AB124" s="17">
        <v>1.5</v>
      </c>
      <c r="AC124" s="17">
        <v>0</v>
      </c>
      <c r="AD124" s="17">
        <v>4.01</v>
      </c>
      <c r="AE124" s="17">
        <v>0.80759999999999998</v>
      </c>
      <c r="AF124" s="17">
        <v>0</v>
      </c>
      <c r="AG124" s="17">
        <v>0</v>
      </c>
      <c r="AH124" s="17">
        <v>0</v>
      </c>
      <c r="AI124" s="17">
        <f t="shared" si="7"/>
        <v>2</v>
      </c>
      <c r="AJ124" s="17">
        <f t="shared" si="8"/>
        <v>1</v>
      </c>
      <c r="AK124" s="17">
        <f t="shared" si="9"/>
        <v>5</v>
      </c>
      <c r="AL124" s="17">
        <f t="shared" si="10"/>
        <v>1</v>
      </c>
      <c r="AM124" s="17">
        <f>VLOOKUP(AK124,Sheet1!$A$2:$B$25,2,FALSE)</f>
        <v>1</v>
      </c>
    </row>
    <row r="125" spans="1:39" s="17" customFormat="1" x14ac:dyDescent="0.25">
      <c r="A125" s="21">
        <v>44593.239583333336</v>
      </c>
      <c r="B125" s="17">
        <v>644.99</v>
      </c>
      <c r="C125" s="17">
        <v>227.69</v>
      </c>
      <c r="D125" s="17">
        <v>254.52</v>
      </c>
      <c r="E125" s="17">
        <v>166.34</v>
      </c>
      <c r="F125" s="17">
        <v>190.78</v>
      </c>
      <c r="G125" s="17">
        <v>30.25</v>
      </c>
      <c r="H125" s="17">
        <v>75.739999999999995</v>
      </c>
      <c r="I125" s="17">
        <v>57.77</v>
      </c>
      <c r="J125" s="17">
        <v>31.89</v>
      </c>
      <c r="K125" s="17">
        <v>0</v>
      </c>
      <c r="L125" s="17">
        <v>61.08</v>
      </c>
      <c r="M125" s="17">
        <v>31.56</v>
      </c>
      <c r="N125" s="17">
        <v>25.04</v>
      </c>
      <c r="O125" s="17">
        <v>18.940000000000001</v>
      </c>
      <c r="P125" s="17">
        <v>25.19</v>
      </c>
      <c r="Q125" s="17">
        <v>11.07</v>
      </c>
      <c r="R125" s="17">
        <v>8.1300000000000008</v>
      </c>
      <c r="S125" s="17">
        <v>12.64</v>
      </c>
      <c r="T125" s="17">
        <v>17.29</v>
      </c>
      <c r="U125" s="17">
        <v>1.85</v>
      </c>
      <c r="V125" s="17">
        <v>7.79</v>
      </c>
      <c r="W125" s="17">
        <v>3.62</v>
      </c>
      <c r="X125" s="17">
        <v>3.9</v>
      </c>
      <c r="Y125" s="17">
        <v>2.72</v>
      </c>
      <c r="Z125" s="17">
        <v>3.97</v>
      </c>
      <c r="AA125" s="17">
        <v>8.0399999999999991</v>
      </c>
      <c r="AB125" s="17">
        <v>10.51</v>
      </c>
      <c r="AC125" s="17">
        <v>0</v>
      </c>
      <c r="AD125" s="17">
        <v>0</v>
      </c>
      <c r="AE125" s="17">
        <v>3.0800000000000001E-2</v>
      </c>
      <c r="AF125" s="17">
        <v>0</v>
      </c>
      <c r="AG125" s="17">
        <v>0</v>
      </c>
      <c r="AH125" s="17">
        <v>0</v>
      </c>
      <c r="AI125" s="17">
        <f t="shared" si="7"/>
        <v>2</v>
      </c>
      <c r="AJ125" s="17">
        <f t="shared" si="8"/>
        <v>1</v>
      </c>
      <c r="AK125" s="17">
        <f t="shared" si="9"/>
        <v>5</v>
      </c>
      <c r="AL125" s="17">
        <f t="shared" si="10"/>
        <v>1</v>
      </c>
      <c r="AM125" s="17">
        <f>VLOOKUP(AK125,Sheet1!$A$2:$B$25,2,FALSE)</f>
        <v>1</v>
      </c>
    </row>
    <row r="126" spans="1:39" s="17" customFormat="1" x14ac:dyDescent="0.25">
      <c r="A126" s="21">
        <v>44593.25</v>
      </c>
      <c r="B126" s="17">
        <v>803.6</v>
      </c>
      <c r="C126" s="17">
        <v>244.47</v>
      </c>
      <c r="D126" s="17">
        <v>261.16000000000003</v>
      </c>
      <c r="E126" s="17">
        <v>168.38</v>
      </c>
      <c r="F126" s="17">
        <v>196</v>
      </c>
      <c r="G126" s="17">
        <v>157.65</v>
      </c>
      <c r="H126" s="17">
        <v>75.81</v>
      </c>
      <c r="I126" s="17">
        <v>57.9</v>
      </c>
      <c r="J126" s="17">
        <v>46.04</v>
      </c>
      <c r="K126" s="17">
        <v>64.180000000000007</v>
      </c>
      <c r="L126" s="17">
        <v>60.23</v>
      </c>
      <c r="M126" s="17">
        <v>29.25</v>
      </c>
      <c r="N126" s="17">
        <v>29.58</v>
      </c>
      <c r="O126" s="17">
        <v>18.07</v>
      </c>
      <c r="P126" s="17">
        <v>23.96</v>
      </c>
      <c r="Q126" s="17">
        <v>13.18</v>
      </c>
      <c r="R126" s="17">
        <v>19.850000000000001</v>
      </c>
      <c r="S126" s="17">
        <v>11.97</v>
      </c>
      <c r="T126" s="17">
        <v>15.02</v>
      </c>
      <c r="U126" s="17">
        <v>2.12</v>
      </c>
      <c r="V126" s="17">
        <v>6.48</v>
      </c>
      <c r="W126" s="17">
        <v>4.46</v>
      </c>
      <c r="X126" s="17">
        <v>0.45629999999999998</v>
      </c>
      <c r="Y126" s="17">
        <v>5.14</v>
      </c>
      <c r="Z126" s="17">
        <v>4.3099999999999996</v>
      </c>
      <c r="AA126" s="17">
        <v>9.3800000000000008</v>
      </c>
      <c r="AB126" s="17">
        <v>10.48</v>
      </c>
      <c r="AC126" s="17">
        <v>0</v>
      </c>
      <c r="AD126" s="17">
        <v>10.24</v>
      </c>
      <c r="AE126" s="17">
        <v>2.85</v>
      </c>
      <c r="AF126" s="17">
        <v>0</v>
      </c>
      <c r="AG126" s="17">
        <v>0</v>
      </c>
      <c r="AH126" s="17">
        <v>0</v>
      </c>
      <c r="AI126" s="17">
        <f t="shared" si="7"/>
        <v>2</v>
      </c>
      <c r="AJ126" s="17">
        <f t="shared" si="8"/>
        <v>1</v>
      </c>
      <c r="AK126" s="17">
        <f t="shared" si="9"/>
        <v>6</v>
      </c>
      <c r="AL126" s="17">
        <f t="shared" si="10"/>
        <v>1</v>
      </c>
      <c r="AM126" s="17">
        <f>VLOOKUP(AK126,Sheet1!$A$2:$B$25,2,FALSE)</f>
        <v>1</v>
      </c>
    </row>
    <row r="127" spans="1:39" s="17" customFormat="1" x14ac:dyDescent="0.25">
      <c r="A127" s="21">
        <v>44593.260416666664</v>
      </c>
      <c r="B127" s="17">
        <v>880.13</v>
      </c>
      <c r="C127" s="17">
        <v>288.14</v>
      </c>
      <c r="D127" s="17">
        <v>251.58</v>
      </c>
      <c r="E127" s="17">
        <v>194.81</v>
      </c>
      <c r="F127" s="17">
        <v>190.77</v>
      </c>
      <c r="G127" s="17">
        <v>165.16</v>
      </c>
      <c r="H127" s="17">
        <v>68.41</v>
      </c>
      <c r="I127" s="17">
        <v>70.010000000000005</v>
      </c>
      <c r="J127" s="17">
        <v>69.98</v>
      </c>
      <c r="K127" s="17">
        <v>69.92</v>
      </c>
      <c r="L127" s="17">
        <v>49.27</v>
      </c>
      <c r="M127" s="17">
        <v>29.84</v>
      </c>
      <c r="N127" s="17">
        <v>31.17</v>
      </c>
      <c r="O127" s="17">
        <v>20.9</v>
      </c>
      <c r="P127" s="17">
        <v>23.8</v>
      </c>
      <c r="Q127" s="17">
        <v>13.88</v>
      </c>
      <c r="R127" s="17">
        <v>19.39</v>
      </c>
      <c r="S127" s="17">
        <v>15.23</v>
      </c>
      <c r="T127" s="17">
        <v>14.76</v>
      </c>
      <c r="U127" s="17">
        <v>6.07</v>
      </c>
      <c r="V127" s="17">
        <v>6.01</v>
      </c>
      <c r="W127" s="17">
        <v>4.3499999999999996</v>
      </c>
      <c r="X127" s="17">
        <v>11.07</v>
      </c>
      <c r="Y127" s="17">
        <v>7.85</v>
      </c>
      <c r="Z127" s="17">
        <v>8.36</v>
      </c>
      <c r="AA127" s="17">
        <v>10.19</v>
      </c>
      <c r="AB127" s="17">
        <v>11.18</v>
      </c>
      <c r="AC127" s="17">
        <v>0</v>
      </c>
      <c r="AD127" s="17">
        <v>11.55</v>
      </c>
      <c r="AE127" s="17">
        <v>3.34</v>
      </c>
      <c r="AF127" s="17">
        <v>0</v>
      </c>
      <c r="AG127" s="17">
        <v>0</v>
      </c>
      <c r="AH127" s="17">
        <v>0</v>
      </c>
      <c r="AI127" s="17">
        <f t="shared" si="7"/>
        <v>2</v>
      </c>
      <c r="AJ127" s="17">
        <f t="shared" si="8"/>
        <v>1</v>
      </c>
      <c r="AK127" s="17">
        <f t="shared" si="9"/>
        <v>6</v>
      </c>
      <c r="AL127" s="17">
        <f t="shared" si="10"/>
        <v>1</v>
      </c>
      <c r="AM127" s="17">
        <f>VLOOKUP(AK127,Sheet1!$A$2:$B$25,2,FALSE)</f>
        <v>1</v>
      </c>
    </row>
    <row r="128" spans="1:39" s="17" customFormat="1" x14ac:dyDescent="0.25">
      <c r="A128" s="21">
        <v>44593.270833333336</v>
      </c>
      <c r="B128" s="17">
        <v>903.99</v>
      </c>
      <c r="C128" s="17">
        <v>296.77</v>
      </c>
      <c r="D128" s="17">
        <v>269.20999999999998</v>
      </c>
      <c r="E128" s="17">
        <v>195.72</v>
      </c>
      <c r="F128" s="17">
        <v>196.83</v>
      </c>
      <c r="G128" s="17">
        <v>166.23</v>
      </c>
      <c r="H128" s="17">
        <v>78.06</v>
      </c>
      <c r="I128" s="17">
        <v>69.489999999999995</v>
      </c>
      <c r="J128" s="17">
        <v>80.459999999999994</v>
      </c>
      <c r="K128" s="17">
        <v>69.34</v>
      </c>
      <c r="L128" s="17">
        <v>38.53</v>
      </c>
      <c r="M128" s="17">
        <v>31.36</v>
      </c>
      <c r="N128" s="17">
        <v>31.89</v>
      </c>
      <c r="O128" s="17">
        <v>26.57</v>
      </c>
      <c r="P128" s="17">
        <v>23.26</v>
      </c>
      <c r="Q128" s="17">
        <v>14.85</v>
      </c>
      <c r="R128" s="17">
        <v>19.75</v>
      </c>
      <c r="S128" s="17">
        <v>18.43</v>
      </c>
      <c r="T128" s="17">
        <v>16.25</v>
      </c>
      <c r="U128" s="17">
        <v>6.71</v>
      </c>
      <c r="V128" s="17">
        <v>7.06</v>
      </c>
      <c r="W128" s="17">
        <v>4.5999999999999996</v>
      </c>
      <c r="X128" s="17">
        <v>13.28</v>
      </c>
      <c r="Y128" s="17">
        <v>7.98</v>
      </c>
      <c r="Z128" s="17">
        <v>8.34</v>
      </c>
      <c r="AA128" s="17">
        <v>10.72</v>
      </c>
      <c r="AB128" s="17">
        <v>10.93</v>
      </c>
      <c r="AC128" s="17">
        <v>0</v>
      </c>
      <c r="AD128" s="17">
        <v>2.29</v>
      </c>
      <c r="AE128" s="17">
        <v>3.32</v>
      </c>
      <c r="AF128" s="17">
        <v>0</v>
      </c>
      <c r="AG128" s="17">
        <v>0</v>
      </c>
      <c r="AH128" s="17">
        <v>0</v>
      </c>
      <c r="AI128" s="17">
        <f t="shared" si="7"/>
        <v>2</v>
      </c>
      <c r="AJ128" s="17">
        <f t="shared" si="8"/>
        <v>1</v>
      </c>
      <c r="AK128" s="17">
        <f t="shared" si="9"/>
        <v>6</v>
      </c>
      <c r="AL128" s="17">
        <f t="shared" si="10"/>
        <v>1</v>
      </c>
      <c r="AM128" s="17">
        <f>VLOOKUP(AK128,Sheet1!$A$2:$B$25,2,FALSE)</f>
        <v>1</v>
      </c>
    </row>
    <row r="129" spans="1:39" s="17" customFormat="1" x14ac:dyDescent="0.25">
      <c r="A129" s="21">
        <v>44593.28125</v>
      </c>
      <c r="B129" s="17">
        <v>862.62</v>
      </c>
      <c r="C129" s="17">
        <v>284.16000000000003</v>
      </c>
      <c r="D129" s="17">
        <v>259.62</v>
      </c>
      <c r="E129" s="17">
        <v>193.51</v>
      </c>
      <c r="F129" s="17">
        <v>192.28</v>
      </c>
      <c r="G129" s="17">
        <v>162.61000000000001</v>
      </c>
      <c r="H129" s="17">
        <v>78.569999999999993</v>
      </c>
      <c r="I129" s="17">
        <v>59.92</v>
      </c>
      <c r="J129" s="17">
        <v>72.92</v>
      </c>
      <c r="K129" s="17">
        <v>69.069999999999993</v>
      </c>
      <c r="L129" s="17">
        <v>37.03</v>
      </c>
      <c r="M129" s="17">
        <v>28.38</v>
      </c>
      <c r="N129" s="17">
        <v>30.05</v>
      </c>
      <c r="O129" s="17">
        <v>25.49</v>
      </c>
      <c r="P129" s="17">
        <v>20.76</v>
      </c>
      <c r="Q129" s="17">
        <v>14.18</v>
      </c>
      <c r="R129" s="17">
        <v>20.010000000000002</v>
      </c>
      <c r="S129" s="17">
        <v>14.02</v>
      </c>
      <c r="T129" s="17">
        <v>11.83</v>
      </c>
      <c r="U129" s="17">
        <v>6.41</v>
      </c>
      <c r="V129" s="17">
        <v>12.52</v>
      </c>
      <c r="W129" s="17">
        <v>4.41</v>
      </c>
      <c r="X129" s="17">
        <v>11.94</v>
      </c>
      <c r="Y129" s="17">
        <v>7.84</v>
      </c>
      <c r="Z129" s="17">
        <v>8.23</v>
      </c>
      <c r="AA129" s="17">
        <v>10.41</v>
      </c>
      <c r="AB129" s="17">
        <v>10.59</v>
      </c>
      <c r="AC129" s="17">
        <v>0</v>
      </c>
      <c r="AD129" s="17">
        <v>0</v>
      </c>
      <c r="AE129" s="17">
        <v>3.14</v>
      </c>
      <c r="AF129" s="17">
        <v>0</v>
      </c>
      <c r="AG129" s="17">
        <v>0</v>
      </c>
      <c r="AH129" s="17">
        <v>0</v>
      </c>
      <c r="AI129" s="17">
        <f t="shared" si="7"/>
        <v>2</v>
      </c>
      <c r="AJ129" s="17">
        <f t="shared" si="8"/>
        <v>1</v>
      </c>
      <c r="AK129" s="17">
        <f t="shared" si="9"/>
        <v>6</v>
      </c>
      <c r="AL129" s="17">
        <f t="shared" si="10"/>
        <v>1</v>
      </c>
      <c r="AM129" s="17">
        <f>VLOOKUP(AK129,Sheet1!$A$2:$B$25,2,FALSE)</f>
        <v>1</v>
      </c>
    </row>
    <row r="130" spans="1:39" s="17" customFormat="1" x14ac:dyDescent="0.25">
      <c r="A130" s="21">
        <v>44593.291666666664</v>
      </c>
      <c r="B130" s="17">
        <v>806.02</v>
      </c>
      <c r="C130" s="17">
        <v>219.61</v>
      </c>
      <c r="D130" s="17">
        <v>258.36</v>
      </c>
      <c r="E130" s="17">
        <v>141.65</v>
      </c>
      <c r="F130" s="17">
        <v>195.92</v>
      </c>
      <c r="G130" s="17">
        <v>163.53</v>
      </c>
      <c r="H130" s="17">
        <v>77.819999999999993</v>
      </c>
      <c r="I130" s="17">
        <v>69.709999999999994</v>
      </c>
      <c r="J130" s="17">
        <v>47.54</v>
      </c>
      <c r="K130" s="17">
        <v>68.86</v>
      </c>
      <c r="L130" s="17">
        <v>38.700000000000003</v>
      </c>
      <c r="M130" s="17">
        <v>24.68</v>
      </c>
      <c r="N130" s="17">
        <v>29.45</v>
      </c>
      <c r="O130" s="17">
        <v>16.670000000000002</v>
      </c>
      <c r="P130" s="17">
        <v>19.37</v>
      </c>
      <c r="Q130" s="17">
        <v>9.31</v>
      </c>
      <c r="R130" s="17">
        <v>20.260000000000002</v>
      </c>
      <c r="S130" s="17">
        <v>12.78</v>
      </c>
      <c r="T130" s="17">
        <v>10.77</v>
      </c>
      <c r="U130" s="17">
        <v>4.3499999999999996</v>
      </c>
      <c r="V130" s="17">
        <v>14.3</v>
      </c>
      <c r="W130" s="17">
        <v>4.3499999999999996</v>
      </c>
      <c r="X130" s="17">
        <v>11.06</v>
      </c>
      <c r="Y130" s="17">
        <v>7.97</v>
      </c>
      <c r="Z130" s="17">
        <v>8.19</v>
      </c>
      <c r="AA130" s="17">
        <v>10.11</v>
      </c>
      <c r="AB130" s="17">
        <v>11.03</v>
      </c>
      <c r="AC130" s="17">
        <v>0</v>
      </c>
      <c r="AD130" s="17">
        <v>0</v>
      </c>
      <c r="AE130" s="17">
        <v>3.13</v>
      </c>
      <c r="AF130" s="17">
        <v>0</v>
      </c>
      <c r="AG130" s="17">
        <v>0</v>
      </c>
      <c r="AH130" s="17">
        <v>0</v>
      </c>
      <c r="AI130" s="17">
        <f t="shared" si="7"/>
        <v>2</v>
      </c>
      <c r="AJ130" s="17">
        <f t="shared" si="8"/>
        <v>1</v>
      </c>
      <c r="AK130" s="17">
        <f t="shared" si="9"/>
        <v>7</v>
      </c>
      <c r="AL130" s="17">
        <f t="shared" si="10"/>
        <v>1</v>
      </c>
      <c r="AM130" s="17">
        <f>VLOOKUP(AK130,Sheet1!$A$2:$B$25,2,FALSE)</f>
        <v>1</v>
      </c>
    </row>
    <row r="131" spans="1:39" s="17" customFormat="1" x14ac:dyDescent="0.25">
      <c r="A131" s="21">
        <v>44593.302083333336</v>
      </c>
      <c r="B131" s="17">
        <v>858.18</v>
      </c>
      <c r="C131" s="17">
        <v>290.3</v>
      </c>
      <c r="D131" s="17">
        <v>255.94</v>
      </c>
      <c r="E131" s="17">
        <v>196.51</v>
      </c>
      <c r="F131" s="17">
        <v>195.56</v>
      </c>
      <c r="G131" s="17">
        <v>163.91</v>
      </c>
      <c r="H131" s="17">
        <v>76.45</v>
      </c>
      <c r="I131" s="17">
        <v>59.93</v>
      </c>
      <c r="J131" s="17">
        <v>82</v>
      </c>
      <c r="K131" s="17">
        <v>69.13</v>
      </c>
      <c r="L131" s="17">
        <v>38.21</v>
      </c>
      <c r="M131" s="17">
        <v>19.739999999999998</v>
      </c>
      <c r="N131" s="17">
        <v>29.21</v>
      </c>
      <c r="O131" s="17">
        <v>28.57</v>
      </c>
      <c r="P131" s="17">
        <v>19.690000000000001</v>
      </c>
      <c r="Q131" s="17">
        <v>15.09</v>
      </c>
      <c r="R131" s="17">
        <v>19.55</v>
      </c>
      <c r="S131" s="17">
        <v>11.55</v>
      </c>
      <c r="T131" s="17">
        <v>11.98</v>
      </c>
      <c r="U131" s="17">
        <v>6.38</v>
      </c>
      <c r="V131" s="17">
        <v>8.52</v>
      </c>
      <c r="W131" s="17">
        <v>4.3</v>
      </c>
      <c r="X131" s="17">
        <v>10.8</v>
      </c>
      <c r="Y131" s="17">
        <v>8.16</v>
      </c>
      <c r="Z131" s="17">
        <v>8.41</v>
      </c>
      <c r="AA131" s="17">
        <v>10.130000000000001</v>
      </c>
      <c r="AB131" s="17">
        <v>10.83</v>
      </c>
      <c r="AC131" s="17">
        <v>0</v>
      </c>
      <c r="AD131" s="17">
        <v>0</v>
      </c>
      <c r="AE131" s="17">
        <v>3.08</v>
      </c>
      <c r="AF131" s="17">
        <v>0</v>
      </c>
      <c r="AG131" s="17">
        <v>0</v>
      </c>
      <c r="AH131" s="17">
        <v>0</v>
      </c>
      <c r="AI131" s="17">
        <f t="shared" si="7"/>
        <v>2</v>
      </c>
      <c r="AJ131" s="17">
        <f t="shared" si="8"/>
        <v>1</v>
      </c>
      <c r="AK131" s="17">
        <f t="shared" si="9"/>
        <v>7</v>
      </c>
      <c r="AL131" s="17">
        <f t="shared" si="10"/>
        <v>1</v>
      </c>
      <c r="AM131" s="17">
        <f>VLOOKUP(AK131,Sheet1!$A$2:$B$25,2,FALSE)</f>
        <v>1</v>
      </c>
    </row>
    <row r="132" spans="1:39" s="17" customFormat="1" x14ac:dyDescent="0.25">
      <c r="A132" s="21">
        <v>44593.3125</v>
      </c>
      <c r="B132" s="17">
        <v>868.46</v>
      </c>
      <c r="C132" s="17">
        <v>293.02</v>
      </c>
      <c r="D132" s="17">
        <v>255.11</v>
      </c>
      <c r="E132" s="17">
        <v>194.1</v>
      </c>
      <c r="F132" s="17">
        <v>193.05</v>
      </c>
      <c r="G132" s="17">
        <v>164.07</v>
      </c>
      <c r="H132" s="17">
        <v>76.239999999999995</v>
      </c>
      <c r="I132" s="17">
        <v>60.98</v>
      </c>
      <c r="J132" s="17">
        <v>79.8</v>
      </c>
      <c r="K132" s="17">
        <v>67.25</v>
      </c>
      <c r="L132" s="17">
        <v>41.11</v>
      </c>
      <c r="M132" s="17">
        <v>20.58</v>
      </c>
      <c r="N132" s="17">
        <v>28.42</v>
      </c>
      <c r="O132" s="17">
        <v>27.42</v>
      </c>
      <c r="P132" s="17">
        <v>19.12</v>
      </c>
      <c r="Q132" s="17">
        <v>11.49</v>
      </c>
      <c r="R132" s="17">
        <v>19.68</v>
      </c>
      <c r="S132" s="17">
        <v>10.38</v>
      </c>
      <c r="T132" s="17">
        <v>12.35</v>
      </c>
      <c r="U132" s="17">
        <v>6.49</v>
      </c>
      <c r="V132" s="17">
        <v>12.29</v>
      </c>
      <c r="W132" s="17">
        <v>4.45</v>
      </c>
      <c r="X132" s="17">
        <v>11.13</v>
      </c>
      <c r="Y132" s="17">
        <v>6.24</v>
      </c>
      <c r="Z132" s="17">
        <v>8.61</v>
      </c>
      <c r="AA132" s="17">
        <v>9.41</v>
      </c>
      <c r="AB132" s="17">
        <v>10.55</v>
      </c>
      <c r="AC132" s="17">
        <v>7.54</v>
      </c>
      <c r="AD132" s="17">
        <v>0</v>
      </c>
      <c r="AE132" s="17">
        <v>2.99</v>
      </c>
      <c r="AF132" s="17">
        <v>0</v>
      </c>
      <c r="AG132" s="17">
        <v>0</v>
      </c>
      <c r="AH132" s="17">
        <v>0</v>
      </c>
      <c r="AI132" s="17">
        <f t="shared" si="7"/>
        <v>2</v>
      </c>
      <c r="AJ132" s="17">
        <f t="shared" si="8"/>
        <v>1</v>
      </c>
      <c r="AK132" s="17">
        <f t="shared" si="9"/>
        <v>7</v>
      </c>
      <c r="AL132" s="17">
        <f t="shared" si="10"/>
        <v>1</v>
      </c>
      <c r="AM132" s="17">
        <f>VLOOKUP(AK132,Sheet1!$A$2:$B$25,2,FALSE)</f>
        <v>1</v>
      </c>
    </row>
    <row r="133" spans="1:39" s="17" customFormat="1" x14ac:dyDescent="0.25">
      <c r="A133" s="21">
        <v>44593.322916666664</v>
      </c>
      <c r="B133" s="17">
        <v>894.2</v>
      </c>
      <c r="C133" s="17">
        <v>299.74</v>
      </c>
      <c r="D133" s="17">
        <v>267.72000000000003</v>
      </c>
      <c r="E133" s="17">
        <v>195.06</v>
      </c>
      <c r="F133" s="17">
        <v>192.25</v>
      </c>
      <c r="G133" s="17">
        <v>162.53</v>
      </c>
      <c r="H133" s="17">
        <v>75.3</v>
      </c>
      <c r="I133" s="17">
        <v>78.44</v>
      </c>
      <c r="J133" s="17">
        <v>76.16</v>
      </c>
      <c r="K133" s="17">
        <v>68.66</v>
      </c>
      <c r="L133" s="17">
        <v>57.82</v>
      </c>
      <c r="M133" s="17">
        <v>20.149999999999999</v>
      </c>
      <c r="N133" s="17">
        <v>29.07</v>
      </c>
      <c r="O133" s="17">
        <v>23.7</v>
      </c>
      <c r="P133" s="17">
        <v>19.46</v>
      </c>
      <c r="Q133" s="17">
        <v>14.81</v>
      </c>
      <c r="R133" s="17">
        <v>20.7</v>
      </c>
      <c r="S133" s="17">
        <v>12.82</v>
      </c>
      <c r="T133" s="17">
        <v>11.97</v>
      </c>
      <c r="U133" s="17">
        <v>6.23</v>
      </c>
      <c r="V133" s="17">
        <v>7.79</v>
      </c>
      <c r="W133" s="17">
        <v>4.3600000000000003</v>
      </c>
      <c r="X133" s="17">
        <v>3.65</v>
      </c>
      <c r="Y133" s="17">
        <v>8.27</v>
      </c>
      <c r="Z133" s="17">
        <v>7.65</v>
      </c>
      <c r="AA133" s="17">
        <v>9.2799999999999994</v>
      </c>
      <c r="AB133" s="17">
        <v>11.03</v>
      </c>
      <c r="AC133" s="17">
        <v>5.82</v>
      </c>
      <c r="AD133" s="17">
        <v>0</v>
      </c>
      <c r="AE133" s="17">
        <v>3.19</v>
      </c>
      <c r="AF133" s="17">
        <v>0</v>
      </c>
      <c r="AG133" s="17">
        <v>0.1066</v>
      </c>
      <c r="AH133" s="17">
        <v>0</v>
      </c>
      <c r="AI133" s="17">
        <f t="shared" si="7"/>
        <v>2</v>
      </c>
      <c r="AJ133" s="17">
        <f t="shared" si="8"/>
        <v>1</v>
      </c>
      <c r="AK133" s="17">
        <f t="shared" si="9"/>
        <v>7</v>
      </c>
      <c r="AL133" s="17">
        <f t="shared" si="10"/>
        <v>1</v>
      </c>
      <c r="AM133" s="17">
        <f>VLOOKUP(AK133,Sheet1!$A$2:$B$25,2,FALSE)</f>
        <v>1</v>
      </c>
    </row>
    <row r="134" spans="1:39" s="17" customFormat="1" x14ac:dyDescent="0.25">
      <c r="A134" s="21">
        <v>44593.333333333336</v>
      </c>
      <c r="B134" s="17">
        <v>897.23</v>
      </c>
      <c r="C134" s="17">
        <v>301.75</v>
      </c>
      <c r="D134" s="17">
        <v>273.82</v>
      </c>
      <c r="E134" s="17">
        <v>196.89</v>
      </c>
      <c r="F134" s="17">
        <v>194.46</v>
      </c>
      <c r="G134" s="17">
        <v>162.41</v>
      </c>
      <c r="H134" s="17">
        <v>75.41</v>
      </c>
      <c r="I134" s="17">
        <v>66.959999999999994</v>
      </c>
      <c r="J134" s="17">
        <v>79.37</v>
      </c>
      <c r="K134" s="17">
        <v>68.69</v>
      </c>
      <c r="L134" s="17">
        <v>57.58</v>
      </c>
      <c r="M134" s="17">
        <v>22.73</v>
      </c>
      <c r="N134" s="17">
        <v>26.85</v>
      </c>
      <c r="O134" s="17">
        <v>25.16</v>
      </c>
      <c r="P134" s="17">
        <v>18.36</v>
      </c>
      <c r="Q134" s="17">
        <v>14.08</v>
      </c>
      <c r="R134" s="17">
        <v>20.11</v>
      </c>
      <c r="S134" s="17">
        <v>17.78</v>
      </c>
      <c r="T134" s="17">
        <v>11.64</v>
      </c>
      <c r="U134" s="17">
        <v>6.23</v>
      </c>
      <c r="V134" s="17">
        <v>12.02</v>
      </c>
      <c r="W134" s="17">
        <v>4.55</v>
      </c>
      <c r="X134" s="17">
        <v>7.79</v>
      </c>
      <c r="Y134" s="17">
        <v>7.25</v>
      </c>
      <c r="Z134" s="17">
        <v>8.2799999999999994</v>
      </c>
      <c r="AA134" s="17">
        <v>9.66</v>
      </c>
      <c r="AB134" s="17">
        <v>11.14</v>
      </c>
      <c r="AC134" s="17">
        <v>0</v>
      </c>
      <c r="AD134" s="17">
        <v>0</v>
      </c>
      <c r="AE134" s="17">
        <v>3.15</v>
      </c>
      <c r="AF134" s="17">
        <v>0</v>
      </c>
      <c r="AG134" s="17">
        <v>0</v>
      </c>
      <c r="AH134" s="17">
        <v>0</v>
      </c>
      <c r="AI134" s="17">
        <f t="shared" ref="AI134:AI197" si="11">WEEKDAY(A134,2)</f>
        <v>2</v>
      </c>
      <c r="AJ134" s="17">
        <f t="shared" ref="AJ134:AJ197" si="12">DAY(A134)</f>
        <v>1</v>
      </c>
      <c r="AK134" s="17">
        <f t="shared" ref="AK134:AK197" si="13">HOUR(A134)</f>
        <v>8</v>
      </c>
      <c r="AL134" s="17">
        <f t="shared" ref="AL134:AL197" si="14">IF(AI134&gt;=6,0,1)</f>
        <v>1</v>
      </c>
      <c r="AM134" s="17">
        <f>VLOOKUP(AK134,Sheet1!$A$2:$B$25,2,FALSE)</f>
        <v>1</v>
      </c>
    </row>
    <row r="135" spans="1:39" s="17" customFormat="1" x14ac:dyDescent="0.25">
      <c r="A135" s="21">
        <v>44593.34375</v>
      </c>
      <c r="B135" s="17">
        <v>886.72</v>
      </c>
      <c r="C135" s="17">
        <v>298.37</v>
      </c>
      <c r="D135" s="17">
        <v>263.61</v>
      </c>
      <c r="E135" s="17">
        <v>194.19</v>
      </c>
      <c r="F135" s="17">
        <v>192.89</v>
      </c>
      <c r="G135" s="17">
        <v>162.35</v>
      </c>
      <c r="H135" s="17">
        <v>76.459999999999994</v>
      </c>
      <c r="I135" s="17">
        <v>82.34</v>
      </c>
      <c r="J135" s="17">
        <v>79.31</v>
      </c>
      <c r="K135" s="17">
        <v>69.510000000000005</v>
      </c>
      <c r="L135" s="17">
        <v>55.69</v>
      </c>
      <c r="M135" s="17">
        <v>22.79</v>
      </c>
      <c r="N135" s="17">
        <v>23.73</v>
      </c>
      <c r="O135" s="17">
        <v>29.75</v>
      </c>
      <c r="P135" s="17">
        <v>18.11</v>
      </c>
      <c r="Q135" s="17">
        <v>11.15</v>
      </c>
      <c r="R135" s="17">
        <v>20.69</v>
      </c>
      <c r="S135" s="17">
        <v>17.48</v>
      </c>
      <c r="T135" s="17">
        <v>11.04</v>
      </c>
      <c r="U135" s="17">
        <v>6.35</v>
      </c>
      <c r="V135" s="17">
        <v>10.130000000000001</v>
      </c>
      <c r="W135" s="17">
        <v>4.55</v>
      </c>
      <c r="X135" s="17">
        <v>5.28</v>
      </c>
      <c r="Y135" s="17">
        <v>0</v>
      </c>
      <c r="Z135" s="17">
        <v>8.2200000000000006</v>
      </c>
      <c r="AA135" s="17">
        <v>10.02</v>
      </c>
      <c r="AB135" s="17">
        <v>10.81</v>
      </c>
      <c r="AC135" s="17">
        <v>0</v>
      </c>
      <c r="AD135" s="17">
        <v>0</v>
      </c>
      <c r="AE135" s="17">
        <v>2.95</v>
      </c>
      <c r="AF135" s="17">
        <v>0</v>
      </c>
      <c r="AG135" s="17">
        <v>0</v>
      </c>
      <c r="AH135" s="17">
        <v>0</v>
      </c>
      <c r="AI135" s="17">
        <f t="shared" si="11"/>
        <v>2</v>
      </c>
      <c r="AJ135" s="17">
        <f t="shared" si="12"/>
        <v>1</v>
      </c>
      <c r="AK135" s="17">
        <f t="shared" si="13"/>
        <v>8</v>
      </c>
      <c r="AL135" s="17">
        <f t="shared" si="14"/>
        <v>1</v>
      </c>
      <c r="AM135" s="17">
        <f>VLOOKUP(AK135,Sheet1!$A$2:$B$25,2,FALSE)</f>
        <v>1</v>
      </c>
    </row>
    <row r="136" spans="1:39" s="17" customFormat="1" x14ac:dyDescent="0.25">
      <c r="A136" s="21">
        <v>44593.354166666664</v>
      </c>
      <c r="B136" s="17">
        <v>857.38</v>
      </c>
      <c r="C136" s="17">
        <v>288.16000000000003</v>
      </c>
      <c r="D136" s="17">
        <v>259.99</v>
      </c>
      <c r="E136" s="17">
        <v>196.04</v>
      </c>
      <c r="F136" s="17">
        <v>193.71</v>
      </c>
      <c r="G136" s="17">
        <v>164.09</v>
      </c>
      <c r="H136" s="17">
        <v>75.73</v>
      </c>
      <c r="I136" s="17">
        <v>61.09</v>
      </c>
      <c r="J136" s="17">
        <v>77.430000000000007</v>
      </c>
      <c r="K136" s="17">
        <v>68.28</v>
      </c>
      <c r="L136" s="17">
        <v>46.86</v>
      </c>
      <c r="M136" s="17">
        <v>24.03</v>
      </c>
      <c r="N136" s="17">
        <v>24.71</v>
      </c>
      <c r="O136" s="17">
        <v>28.55</v>
      </c>
      <c r="P136" s="17">
        <v>18.68</v>
      </c>
      <c r="Q136" s="17">
        <v>14</v>
      </c>
      <c r="R136" s="17">
        <v>20.41</v>
      </c>
      <c r="S136" s="17">
        <v>19.09</v>
      </c>
      <c r="T136" s="17">
        <v>14.97</v>
      </c>
      <c r="U136" s="17">
        <v>6.26</v>
      </c>
      <c r="V136" s="17">
        <v>6.02</v>
      </c>
      <c r="W136" s="17">
        <v>4.3899999999999997</v>
      </c>
      <c r="X136" s="17">
        <v>9.34</v>
      </c>
      <c r="Y136" s="17">
        <v>2.74</v>
      </c>
      <c r="Z136" s="17">
        <v>8.17</v>
      </c>
      <c r="AA136" s="17">
        <v>10.02</v>
      </c>
      <c r="AB136" s="17">
        <v>9.99</v>
      </c>
      <c r="AC136" s="17">
        <v>0</v>
      </c>
      <c r="AD136" s="17">
        <v>0</v>
      </c>
      <c r="AE136" s="17">
        <v>3.16</v>
      </c>
      <c r="AF136" s="17">
        <v>0</v>
      </c>
      <c r="AG136" s="17">
        <v>0</v>
      </c>
      <c r="AH136" s="17">
        <v>0</v>
      </c>
      <c r="AI136" s="17">
        <f t="shared" si="11"/>
        <v>2</v>
      </c>
      <c r="AJ136" s="17">
        <f t="shared" si="12"/>
        <v>1</v>
      </c>
      <c r="AK136" s="17">
        <f t="shared" si="13"/>
        <v>8</v>
      </c>
      <c r="AL136" s="17">
        <f t="shared" si="14"/>
        <v>1</v>
      </c>
      <c r="AM136" s="17">
        <f>VLOOKUP(AK136,Sheet1!$A$2:$B$25,2,FALSE)</f>
        <v>1</v>
      </c>
    </row>
    <row r="137" spans="1:39" s="17" customFormat="1" x14ac:dyDescent="0.25">
      <c r="A137" s="21">
        <v>44593.364583333336</v>
      </c>
      <c r="B137" s="17">
        <v>886.91</v>
      </c>
      <c r="C137" s="17">
        <v>288.60000000000002</v>
      </c>
      <c r="D137" s="17">
        <v>261.85000000000002</v>
      </c>
      <c r="E137" s="17">
        <v>197.11</v>
      </c>
      <c r="F137" s="17">
        <v>194.98</v>
      </c>
      <c r="G137" s="17">
        <v>162.82</v>
      </c>
      <c r="H137" s="17">
        <v>76.39</v>
      </c>
      <c r="I137" s="17">
        <v>79.900000000000006</v>
      </c>
      <c r="J137" s="17">
        <v>80.45</v>
      </c>
      <c r="K137" s="17">
        <v>68.11</v>
      </c>
      <c r="L137" s="17">
        <v>41.02</v>
      </c>
      <c r="M137" s="17">
        <v>23.25</v>
      </c>
      <c r="N137" s="17">
        <v>23.67</v>
      </c>
      <c r="O137" s="17">
        <v>25.89</v>
      </c>
      <c r="P137" s="17">
        <v>17.809999999999999</v>
      </c>
      <c r="Q137" s="17">
        <v>12.8</v>
      </c>
      <c r="R137" s="17">
        <v>19.36</v>
      </c>
      <c r="S137" s="17">
        <v>18.8</v>
      </c>
      <c r="T137" s="17">
        <v>10.88</v>
      </c>
      <c r="U137" s="17">
        <v>6.14</v>
      </c>
      <c r="V137" s="17">
        <v>13.43</v>
      </c>
      <c r="W137" s="17">
        <v>4.3899999999999997</v>
      </c>
      <c r="X137" s="17">
        <v>11.77</v>
      </c>
      <c r="Y137" s="17">
        <v>4.71</v>
      </c>
      <c r="Z137" s="17">
        <v>8.1300000000000008</v>
      </c>
      <c r="AA137" s="17">
        <v>9.09</v>
      </c>
      <c r="AB137" s="17">
        <v>10</v>
      </c>
      <c r="AC137" s="17">
        <v>0</v>
      </c>
      <c r="AD137" s="17">
        <v>0</v>
      </c>
      <c r="AE137" s="17">
        <v>2.98</v>
      </c>
      <c r="AF137" s="17">
        <v>0</v>
      </c>
      <c r="AG137" s="17">
        <v>0</v>
      </c>
      <c r="AH137" s="17">
        <v>0</v>
      </c>
      <c r="AI137" s="17">
        <f t="shared" si="11"/>
        <v>2</v>
      </c>
      <c r="AJ137" s="17">
        <f t="shared" si="12"/>
        <v>1</v>
      </c>
      <c r="AK137" s="17">
        <f t="shared" si="13"/>
        <v>8</v>
      </c>
      <c r="AL137" s="17">
        <f t="shared" si="14"/>
        <v>1</v>
      </c>
      <c r="AM137" s="17">
        <f>VLOOKUP(AK137,Sheet1!$A$2:$B$25,2,FALSE)</f>
        <v>1</v>
      </c>
    </row>
    <row r="138" spans="1:39" s="17" customFormat="1" x14ac:dyDescent="0.25">
      <c r="A138" s="21">
        <v>44593.375</v>
      </c>
      <c r="B138" s="17">
        <v>850.74</v>
      </c>
      <c r="C138" s="17">
        <v>265.10000000000002</v>
      </c>
      <c r="D138" s="17">
        <v>261.62</v>
      </c>
      <c r="E138" s="17">
        <v>188.74</v>
      </c>
      <c r="F138" s="17">
        <v>195.21</v>
      </c>
      <c r="G138" s="17">
        <v>163.75</v>
      </c>
      <c r="H138" s="17">
        <v>75.42</v>
      </c>
      <c r="I138" s="17">
        <v>68.45</v>
      </c>
      <c r="J138" s="17">
        <v>67.239999999999995</v>
      </c>
      <c r="K138" s="17">
        <v>68.290000000000006</v>
      </c>
      <c r="L138" s="17">
        <v>33.619999999999997</v>
      </c>
      <c r="M138" s="17">
        <v>20.65</v>
      </c>
      <c r="N138" s="17">
        <v>21.49</v>
      </c>
      <c r="O138" s="17">
        <v>24.2</v>
      </c>
      <c r="P138" s="17">
        <v>18.420000000000002</v>
      </c>
      <c r="Q138" s="17">
        <v>10.71</v>
      </c>
      <c r="R138" s="17">
        <v>19.34</v>
      </c>
      <c r="S138" s="17">
        <v>20.190000000000001</v>
      </c>
      <c r="T138" s="17">
        <v>11.32</v>
      </c>
      <c r="U138" s="17">
        <v>5.4</v>
      </c>
      <c r="V138" s="17">
        <v>13.55</v>
      </c>
      <c r="W138" s="17">
        <v>4.2699999999999996</v>
      </c>
      <c r="X138" s="17">
        <v>9.15</v>
      </c>
      <c r="Y138" s="17">
        <v>2.0699999999999998</v>
      </c>
      <c r="Z138" s="17">
        <v>8.31</v>
      </c>
      <c r="AA138" s="17">
        <v>9.23</v>
      </c>
      <c r="AB138" s="17">
        <v>10.9</v>
      </c>
      <c r="AC138" s="17">
        <v>0</v>
      </c>
      <c r="AD138" s="17">
        <v>0</v>
      </c>
      <c r="AE138" s="17">
        <v>2.99</v>
      </c>
      <c r="AF138" s="17">
        <v>0</v>
      </c>
      <c r="AG138" s="17">
        <v>0</v>
      </c>
      <c r="AH138" s="17">
        <v>0</v>
      </c>
      <c r="AI138" s="17">
        <f t="shared" si="11"/>
        <v>2</v>
      </c>
      <c r="AJ138" s="17">
        <f t="shared" si="12"/>
        <v>1</v>
      </c>
      <c r="AK138" s="17">
        <f t="shared" si="13"/>
        <v>9</v>
      </c>
      <c r="AL138" s="17">
        <f t="shared" si="14"/>
        <v>1</v>
      </c>
      <c r="AM138" s="17">
        <f>VLOOKUP(AK138,Sheet1!$A$2:$B$25,2,FALSE)</f>
        <v>1</v>
      </c>
    </row>
    <row r="139" spans="1:39" s="17" customFormat="1" x14ac:dyDescent="0.25">
      <c r="A139" s="21">
        <v>44593.385416666664</v>
      </c>
      <c r="B139" s="17">
        <v>791.34</v>
      </c>
      <c r="C139" s="17">
        <v>233.99</v>
      </c>
      <c r="D139" s="17">
        <v>260.39</v>
      </c>
      <c r="E139" s="17">
        <v>175.61</v>
      </c>
      <c r="F139" s="17">
        <v>195.38</v>
      </c>
      <c r="G139" s="17">
        <v>163.9</v>
      </c>
      <c r="H139" s="17">
        <v>79.36</v>
      </c>
      <c r="I139" s="17">
        <v>59.42</v>
      </c>
      <c r="J139" s="17">
        <v>45.36</v>
      </c>
      <c r="K139" s="17">
        <v>68.75</v>
      </c>
      <c r="L139" s="17">
        <v>35.520000000000003</v>
      </c>
      <c r="M139" s="17">
        <v>17.66</v>
      </c>
      <c r="N139" s="17">
        <v>22.66</v>
      </c>
      <c r="O139" s="17">
        <v>18.190000000000001</v>
      </c>
      <c r="P139" s="17">
        <v>17.350000000000001</v>
      </c>
      <c r="Q139" s="17">
        <v>9.2200000000000006</v>
      </c>
      <c r="R139" s="17">
        <v>18.62</v>
      </c>
      <c r="S139" s="17">
        <v>11.34</v>
      </c>
      <c r="T139" s="17">
        <v>12.77</v>
      </c>
      <c r="U139" s="17">
        <v>3.53</v>
      </c>
      <c r="V139" s="17">
        <v>11.84</v>
      </c>
      <c r="W139" s="17">
        <v>4.17</v>
      </c>
      <c r="X139" s="17">
        <v>1.03</v>
      </c>
      <c r="Y139" s="17">
        <v>6.39</v>
      </c>
      <c r="Z139" s="17">
        <v>7.88</v>
      </c>
      <c r="AA139" s="17">
        <v>7.84</v>
      </c>
      <c r="AB139" s="17">
        <v>9.9700000000000006</v>
      </c>
      <c r="AC139" s="17">
        <v>0</v>
      </c>
      <c r="AD139" s="17">
        <v>0</v>
      </c>
      <c r="AE139" s="17">
        <v>2.94</v>
      </c>
      <c r="AF139" s="17">
        <v>0</v>
      </c>
      <c r="AG139" s="17">
        <v>0</v>
      </c>
      <c r="AH139" s="17">
        <v>0</v>
      </c>
      <c r="AI139" s="17">
        <f t="shared" si="11"/>
        <v>2</v>
      </c>
      <c r="AJ139" s="17">
        <f t="shared" si="12"/>
        <v>1</v>
      </c>
      <c r="AK139" s="17">
        <f t="shared" si="13"/>
        <v>9</v>
      </c>
      <c r="AL139" s="17">
        <f t="shared" si="14"/>
        <v>1</v>
      </c>
      <c r="AM139" s="17">
        <f>VLOOKUP(AK139,Sheet1!$A$2:$B$25,2,FALSE)</f>
        <v>1</v>
      </c>
    </row>
    <row r="140" spans="1:39" s="17" customFormat="1" x14ac:dyDescent="0.25">
      <c r="A140" s="21">
        <v>44593.395833333336</v>
      </c>
      <c r="B140" s="17">
        <v>856.12</v>
      </c>
      <c r="C140" s="17">
        <v>285.91000000000003</v>
      </c>
      <c r="D140" s="17">
        <v>261.60000000000002</v>
      </c>
      <c r="E140" s="17">
        <v>197.69</v>
      </c>
      <c r="F140" s="17">
        <v>193.66</v>
      </c>
      <c r="G140" s="17">
        <v>166.02</v>
      </c>
      <c r="H140" s="17">
        <v>75.760000000000005</v>
      </c>
      <c r="I140" s="17">
        <v>58.65</v>
      </c>
      <c r="J140" s="17">
        <v>76.55</v>
      </c>
      <c r="K140" s="17">
        <v>69.3</v>
      </c>
      <c r="L140" s="17">
        <v>36.39</v>
      </c>
      <c r="M140" s="17">
        <v>20.82</v>
      </c>
      <c r="N140" s="17">
        <v>19.88</v>
      </c>
      <c r="O140" s="17">
        <v>23.1</v>
      </c>
      <c r="P140" s="17">
        <v>19.329999999999998</v>
      </c>
      <c r="Q140" s="17">
        <v>13.78</v>
      </c>
      <c r="R140" s="17">
        <v>18.61</v>
      </c>
      <c r="S140" s="17">
        <v>13.77</v>
      </c>
      <c r="T140" s="17">
        <v>14.26</v>
      </c>
      <c r="U140" s="17">
        <v>6.09</v>
      </c>
      <c r="V140" s="17">
        <v>12.56</v>
      </c>
      <c r="W140" s="17">
        <v>4.17</v>
      </c>
      <c r="X140" s="17">
        <v>2.35</v>
      </c>
      <c r="Y140" s="17">
        <v>8.36</v>
      </c>
      <c r="Z140" s="17">
        <v>8.1999999999999993</v>
      </c>
      <c r="AA140" s="17">
        <v>9.56</v>
      </c>
      <c r="AB140" s="17">
        <v>9.81</v>
      </c>
      <c r="AC140" s="17">
        <v>0</v>
      </c>
      <c r="AD140" s="17">
        <v>0</v>
      </c>
      <c r="AE140" s="17">
        <v>3.23</v>
      </c>
      <c r="AF140" s="17">
        <v>0</v>
      </c>
      <c r="AG140" s="17">
        <v>0</v>
      </c>
      <c r="AH140" s="17">
        <v>0</v>
      </c>
      <c r="AI140" s="17">
        <f t="shared" si="11"/>
        <v>2</v>
      </c>
      <c r="AJ140" s="17">
        <f t="shared" si="12"/>
        <v>1</v>
      </c>
      <c r="AK140" s="17">
        <f t="shared" si="13"/>
        <v>9</v>
      </c>
      <c r="AL140" s="17">
        <f t="shared" si="14"/>
        <v>1</v>
      </c>
      <c r="AM140" s="17">
        <f>VLOOKUP(AK140,Sheet1!$A$2:$B$25,2,FALSE)</f>
        <v>1</v>
      </c>
    </row>
    <row r="141" spans="1:39" s="17" customFormat="1" x14ac:dyDescent="0.25">
      <c r="A141" s="21">
        <v>44593.40625</v>
      </c>
      <c r="B141" s="17">
        <v>878.15</v>
      </c>
      <c r="C141" s="17">
        <v>287.49</v>
      </c>
      <c r="D141" s="17">
        <v>259.42</v>
      </c>
      <c r="E141" s="17">
        <v>195.06</v>
      </c>
      <c r="F141" s="17">
        <v>194.6</v>
      </c>
      <c r="G141" s="17">
        <v>165.88</v>
      </c>
      <c r="H141" s="17">
        <v>76.69</v>
      </c>
      <c r="I141" s="17">
        <v>81.709999999999994</v>
      </c>
      <c r="J141" s="17">
        <v>79.430000000000007</v>
      </c>
      <c r="K141" s="17">
        <v>69.599999999999994</v>
      </c>
      <c r="L141" s="17">
        <v>43.82</v>
      </c>
      <c r="M141" s="17">
        <v>21.13</v>
      </c>
      <c r="N141" s="17">
        <v>22.73</v>
      </c>
      <c r="O141" s="17">
        <v>28.02</v>
      </c>
      <c r="P141" s="17">
        <v>18.420000000000002</v>
      </c>
      <c r="Q141" s="17">
        <v>13.1</v>
      </c>
      <c r="R141" s="17">
        <v>19.27</v>
      </c>
      <c r="S141" s="17">
        <v>10.58</v>
      </c>
      <c r="T141" s="17">
        <v>16.86</v>
      </c>
      <c r="U141" s="17">
        <v>6.25</v>
      </c>
      <c r="V141" s="17">
        <v>12.28</v>
      </c>
      <c r="W141" s="17">
        <v>4.33</v>
      </c>
      <c r="X141" s="17">
        <v>8.16</v>
      </c>
      <c r="Y141" s="17">
        <v>8.5</v>
      </c>
      <c r="Z141" s="17">
        <v>8.11</v>
      </c>
      <c r="AA141" s="17">
        <v>7.4</v>
      </c>
      <c r="AB141" s="17">
        <v>10.19</v>
      </c>
      <c r="AC141" s="17">
        <v>0</v>
      </c>
      <c r="AD141" s="17">
        <v>0</v>
      </c>
      <c r="AE141" s="17">
        <v>3.12</v>
      </c>
      <c r="AF141" s="17">
        <v>0</v>
      </c>
      <c r="AG141" s="17">
        <v>0</v>
      </c>
      <c r="AH141" s="17">
        <v>0</v>
      </c>
      <c r="AI141" s="17">
        <f t="shared" si="11"/>
        <v>2</v>
      </c>
      <c r="AJ141" s="17">
        <f t="shared" si="12"/>
        <v>1</v>
      </c>
      <c r="AK141" s="17">
        <f t="shared" si="13"/>
        <v>9</v>
      </c>
      <c r="AL141" s="17">
        <f t="shared" si="14"/>
        <v>1</v>
      </c>
      <c r="AM141" s="17">
        <f>VLOOKUP(AK141,Sheet1!$A$2:$B$25,2,FALSE)</f>
        <v>1</v>
      </c>
    </row>
    <row r="142" spans="1:39" s="17" customFormat="1" x14ac:dyDescent="0.25">
      <c r="A142" s="21">
        <v>44593.416666666664</v>
      </c>
      <c r="B142" s="17">
        <v>841.26</v>
      </c>
      <c r="C142" s="17">
        <v>296.39</v>
      </c>
      <c r="D142" s="17">
        <v>259.82</v>
      </c>
      <c r="E142" s="17">
        <v>198.91</v>
      </c>
      <c r="F142" s="17">
        <v>197.2</v>
      </c>
      <c r="G142" s="17">
        <v>130.58000000000001</v>
      </c>
      <c r="H142" s="17">
        <v>75.28</v>
      </c>
      <c r="I142" s="17">
        <v>73.53</v>
      </c>
      <c r="J142" s="17">
        <v>78.62</v>
      </c>
      <c r="K142" s="17">
        <v>58.58</v>
      </c>
      <c r="L142" s="17">
        <v>54.02</v>
      </c>
      <c r="M142" s="17">
        <v>19.27</v>
      </c>
      <c r="N142" s="17">
        <v>19</v>
      </c>
      <c r="O142" s="17">
        <v>25.68</v>
      </c>
      <c r="P142" s="17">
        <v>18.88</v>
      </c>
      <c r="Q142" s="17">
        <v>11.86</v>
      </c>
      <c r="R142" s="17">
        <v>10.8</v>
      </c>
      <c r="S142" s="17">
        <v>17.260000000000002</v>
      </c>
      <c r="T142" s="17">
        <v>17.420000000000002</v>
      </c>
      <c r="U142" s="17">
        <v>6.19</v>
      </c>
      <c r="V142" s="17">
        <v>7.26</v>
      </c>
      <c r="W142" s="17">
        <v>4.3</v>
      </c>
      <c r="X142" s="17">
        <v>5.98</v>
      </c>
      <c r="Y142" s="17">
        <v>8.43</v>
      </c>
      <c r="Z142" s="17">
        <v>7.97</v>
      </c>
      <c r="AA142" s="17">
        <v>7.41</v>
      </c>
      <c r="AB142" s="17">
        <v>7.03</v>
      </c>
      <c r="AC142" s="17">
        <v>0.71599999999999997</v>
      </c>
      <c r="AD142" s="17">
        <v>0</v>
      </c>
      <c r="AE142" s="17">
        <v>1.36</v>
      </c>
      <c r="AF142" s="17">
        <v>0</v>
      </c>
      <c r="AG142" s="17">
        <v>0</v>
      </c>
      <c r="AH142" s="17">
        <v>0</v>
      </c>
      <c r="AI142" s="17">
        <f t="shared" si="11"/>
        <v>2</v>
      </c>
      <c r="AJ142" s="17">
        <f t="shared" si="12"/>
        <v>1</v>
      </c>
      <c r="AK142" s="17">
        <f t="shared" si="13"/>
        <v>10</v>
      </c>
      <c r="AL142" s="17">
        <f t="shared" si="14"/>
        <v>1</v>
      </c>
      <c r="AM142" s="17">
        <f>VLOOKUP(AK142,Sheet1!$A$2:$B$25,2,FALSE)</f>
        <v>1</v>
      </c>
    </row>
    <row r="143" spans="1:39" s="17" customFormat="1" x14ac:dyDescent="0.25">
      <c r="A143" s="21">
        <v>44593.427083333336</v>
      </c>
      <c r="B143" s="17">
        <v>756.23</v>
      </c>
      <c r="C143" s="17">
        <v>296.55</v>
      </c>
      <c r="D143" s="17">
        <v>201.63</v>
      </c>
      <c r="E143" s="17">
        <v>198.04</v>
      </c>
      <c r="F143" s="17">
        <v>176.7</v>
      </c>
      <c r="G143" s="17">
        <v>132.29</v>
      </c>
      <c r="H143" s="17">
        <v>29.59</v>
      </c>
      <c r="I143" s="17">
        <v>58.91</v>
      </c>
      <c r="J143" s="17">
        <v>76.34</v>
      </c>
      <c r="K143" s="17">
        <v>59.84</v>
      </c>
      <c r="L143" s="17">
        <v>55.15</v>
      </c>
      <c r="M143" s="17">
        <v>16.79</v>
      </c>
      <c r="N143" s="17">
        <v>19.34</v>
      </c>
      <c r="O143" s="17">
        <v>25.55</v>
      </c>
      <c r="P143" s="17">
        <v>17.329999999999998</v>
      </c>
      <c r="Q143" s="17">
        <v>15.53</v>
      </c>
      <c r="R143" s="17">
        <v>8.8800000000000008</v>
      </c>
      <c r="S143" s="17">
        <v>6.09</v>
      </c>
      <c r="T143" s="17">
        <v>13.02</v>
      </c>
      <c r="U143" s="17">
        <v>6.31</v>
      </c>
      <c r="V143" s="17">
        <v>8.15</v>
      </c>
      <c r="W143" s="17">
        <v>2.17</v>
      </c>
      <c r="X143" s="17">
        <v>9.57</v>
      </c>
      <c r="Y143" s="17">
        <v>8.02</v>
      </c>
      <c r="Z143" s="17">
        <v>8.25</v>
      </c>
      <c r="AA143" s="17">
        <v>7.64</v>
      </c>
      <c r="AB143" s="17">
        <v>1.79</v>
      </c>
      <c r="AC143" s="17">
        <v>0</v>
      </c>
      <c r="AD143" s="17">
        <v>0</v>
      </c>
      <c r="AE143" s="17">
        <v>0</v>
      </c>
      <c r="AF143" s="17">
        <v>0</v>
      </c>
      <c r="AG143" s="17">
        <v>1.4</v>
      </c>
      <c r="AH143" s="17">
        <v>0</v>
      </c>
      <c r="AI143" s="17">
        <f t="shared" si="11"/>
        <v>2</v>
      </c>
      <c r="AJ143" s="17">
        <f t="shared" si="12"/>
        <v>1</v>
      </c>
      <c r="AK143" s="17">
        <f t="shared" si="13"/>
        <v>10</v>
      </c>
      <c r="AL143" s="17">
        <f t="shared" si="14"/>
        <v>1</v>
      </c>
      <c r="AM143" s="17">
        <f>VLOOKUP(AK143,Sheet1!$A$2:$B$25,2,FALSE)</f>
        <v>1</v>
      </c>
    </row>
    <row r="144" spans="1:39" s="17" customFormat="1" x14ac:dyDescent="0.25">
      <c r="A144" s="21">
        <v>44593.4375</v>
      </c>
      <c r="B144" s="17">
        <v>793.82</v>
      </c>
      <c r="C144" s="17">
        <v>295.60000000000002</v>
      </c>
      <c r="D144" s="17">
        <v>244.94</v>
      </c>
      <c r="E144" s="17">
        <v>199.42</v>
      </c>
      <c r="F144" s="17">
        <v>172.06</v>
      </c>
      <c r="G144" s="17">
        <v>134.11000000000001</v>
      </c>
      <c r="H144" s="17">
        <v>54.01</v>
      </c>
      <c r="I144" s="17">
        <v>57.8</v>
      </c>
      <c r="J144" s="17">
        <v>79.400000000000006</v>
      </c>
      <c r="K144" s="17">
        <v>60.21</v>
      </c>
      <c r="L144" s="17">
        <v>54.13</v>
      </c>
      <c r="M144" s="17">
        <v>74.36</v>
      </c>
      <c r="N144" s="17">
        <v>21.68</v>
      </c>
      <c r="O144" s="17">
        <v>24.75</v>
      </c>
      <c r="P144" s="17">
        <v>18.91</v>
      </c>
      <c r="Q144" s="17">
        <v>14.03</v>
      </c>
      <c r="R144" s="17">
        <v>8.7799999999999994</v>
      </c>
      <c r="S144" s="17">
        <v>8.5500000000000007</v>
      </c>
      <c r="T144" s="17">
        <v>12.99</v>
      </c>
      <c r="U144" s="17">
        <v>6.43</v>
      </c>
      <c r="V144" s="17">
        <v>3.63</v>
      </c>
      <c r="W144" s="17">
        <v>1.33</v>
      </c>
      <c r="X144" s="17">
        <v>2.2200000000000002</v>
      </c>
      <c r="Y144" s="17">
        <v>7.99</v>
      </c>
      <c r="Z144" s="17">
        <v>8.1</v>
      </c>
      <c r="AA144" s="17">
        <v>7.33</v>
      </c>
      <c r="AB144" s="17">
        <v>4.6399999999999997</v>
      </c>
      <c r="AC144" s="17">
        <v>0</v>
      </c>
      <c r="AD144" s="17">
        <v>0</v>
      </c>
      <c r="AE144" s="17">
        <v>0</v>
      </c>
      <c r="AF144" s="17">
        <v>0</v>
      </c>
      <c r="AG144" s="17">
        <v>0</v>
      </c>
      <c r="AH144" s="17">
        <v>0</v>
      </c>
      <c r="AI144" s="17">
        <f t="shared" si="11"/>
        <v>2</v>
      </c>
      <c r="AJ144" s="17">
        <f t="shared" si="12"/>
        <v>1</v>
      </c>
      <c r="AK144" s="17">
        <f t="shared" si="13"/>
        <v>10</v>
      </c>
      <c r="AL144" s="17">
        <f t="shared" si="14"/>
        <v>1</v>
      </c>
      <c r="AM144" s="17">
        <f>VLOOKUP(AK144,Sheet1!$A$2:$B$25,2,FALSE)</f>
        <v>1</v>
      </c>
    </row>
    <row r="145" spans="1:39" s="17" customFormat="1" x14ac:dyDescent="0.25">
      <c r="A145" s="21">
        <v>44593.447916666664</v>
      </c>
      <c r="B145" s="17">
        <v>799.24</v>
      </c>
      <c r="C145" s="17">
        <v>292.51</v>
      </c>
      <c r="D145" s="17">
        <v>251.67</v>
      </c>
      <c r="E145" s="17">
        <v>198.43</v>
      </c>
      <c r="F145" s="17">
        <v>186.89</v>
      </c>
      <c r="G145" s="17">
        <v>132.15</v>
      </c>
      <c r="H145" s="17">
        <v>62.5</v>
      </c>
      <c r="I145" s="17">
        <v>57.54</v>
      </c>
      <c r="J145" s="17">
        <v>78.45</v>
      </c>
      <c r="K145" s="17">
        <v>60.05</v>
      </c>
      <c r="L145" s="17">
        <v>46.01</v>
      </c>
      <c r="M145" s="17">
        <v>49.03</v>
      </c>
      <c r="N145" s="17">
        <v>22.58</v>
      </c>
      <c r="O145" s="17">
        <v>25.86</v>
      </c>
      <c r="P145" s="17">
        <v>19.989999999999998</v>
      </c>
      <c r="Q145" s="17">
        <v>14.98</v>
      </c>
      <c r="R145" s="17">
        <v>8.9700000000000006</v>
      </c>
      <c r="S145" s="17">
        <v>7.66</v>
      </c>
      <c r="T145" s="17">
        <v>10.73</v>
      </c>
      <c r="U145" s="17">
        <v>6.6</v>
      </c>
      <c r="V145" s="17">
        <v>10.28</v>
      </c>
      <c r="W145" s="17">
        <v>3.17</v>
      </c>
      <c r="X145" s="17">
        <v>3.89</v>
      </c>
      <c r="Y145" s="17">
        <v>7.92</v>
      </c>
      <c r="Z145" s="17">
        <v>8.1300000000000008</v>
      </c>
      <c r="AA145" s="17">
        <v>7.49</v>
      </c>
      <c r="AB145" s="17">
        <v>0</v>
      </c>
      <c r="AC145" s="17">
        <v>0</v>
      </c>
      <c r="AD145" s="17">
        <v>0</v>
      </c>
      <c r="AE145" s="17">
        <v>0</v>
      </c>
      <c r="AF145" s="17">
        <v>0</v>
      </c>
      <c r="AG145" s="17">
        <v>0</v>
      </c>
      <c r="AH145" s="17">
        <v>0</v>
      </c>
      <c r="AI145" s="17">
        <f t="shared" si="11"/>
        <v>2</v>
      </c>
      <c r="AJ145" s="17">
        <f t="shared" si="12"/>
        <v>1</v>
      </c>
      <c r="AK145" s="17">
        <f t="shared" si="13"/>
        <v>10</v>
      </c>
      <c r="AL145" s="17">
        <f t="shared" si="14"/>
        <v>1</v>
      </c>
      <c r="AM145" s="17">
        <f>VLOOKUP(AK145,Sheet1!$A$2:$B$25,2,FALSE)</f>
        <v>1</v>
      </c>
    </row>
    <row r="146" spans="1:39" s="17" customFormat="1" x14ac:dyDescent="0.25">
      <c r="A146" s="21">
        <v>44593.458333333336</v>
      </c>
      <c r="B146" s="17">
        <v>812.98</v>
      </c>
      <c r="C146" s="17">
        <v>286.82</v>
      </c>
      <c r="D146" s="17">
        <v>263.05</v>
      </c>
      <c r="E146" s="17">
        <v>200.01</v>
      </c>
      <c r="F146" s="17">
        <v>198.31</v>
      </c>
      <c r="G146" s="17">
        <v>133.07</v>
      </c>
      <c r="H146" s="17">
        <v>76.59</v>
      </c>
      <c r="I146" s="17">
        <v>58.19</v>
      </c>
      <c r="J146" s="17">
        <v>75.66</v>
      </c>
      <c r="K146" s="17">
        <v>60.69</v>
      </c>
      <c r="L146" s="17">
        <v>41.4</v>
      </c>
      <c r="M146" s="17">
        <v>26.22</v>
      </c>
      <c r="N146" s="17">
        <v>21.49</v>
      </c>
      <c r="O146" s="17">
        <v>22.66</v>
      </c>
      <c r="P146" s="17">
        <v>19.850000000000001</v>
      </c>
      <c r="Q146" s="17">
        <v>15.08</v>
      </c>
      <c r="R146" s="17">
        <v>8.69</v>
      </c>
      <c r="S146" s="17">
        <v>13.6</v>
      </c>
      <c r="T146" s="17">
        <v>12.05</v>
      </c>
      <c r="U146" s="17">
        <v>6.24</v>
      </c>
      <c r="V146" s="17">
        <v>9.3699999999999992</v>
      </c>
      <c r="W146" s="17">
        <v>4.33</v>
      </c>
      <c r="X146" s="17">
        <v>5.23</v>
      </c>
      <c r="Y146" s="17">
        <v>8</v>
      </c>
      <c r="Z146" s="17">
        <v>8.24</v>
      </c>
      <c r="AA146" s="17">
        <v>7.54</v>
      </c>
      <c r="AB146" s="17">
        <v>0</v>
      </c>
      <c r="AC146" s="17">
        <v>0</v>
      </c>
      <c r="AD146" s="17">
        <v>0</v>
      </c>
      <c r="AE146" s="17">
        <v>0</v>
      </c>
      <c r="AF146" s="17">
        <v>0</v>
      </c>
      <c r="AG146" s="17">
        <v>0</v>
      </c>
      <c r="AH146" s="17">
        <v>0</v>
      </c>
      <c r="AI146" s="17">
        <f t="shared" si="11"/>
        <v>2</v>
      </c>
      <c r="AJ146" s="17">
        <f t="shared" si="12"/>
        <v>1</v>
      </c>
      <c r="AK146" s="17">
        <f t="shared" si="13"/>
        <v>11</v>
      </c>
      <c r="AL146" s="17">
        <f t="shared" si="14"/>
        <v>1</v>
      </c>
      <c r="AM146" s="17">
        <f>VLOOKUP(AK146,Sheet1!$A$2:$B$25,2,FALSE)</f>
        <v>1</v>
      </c>
    </row>
    <row r="147" spans="1:39" s="17" customFormat="1" x14ac:dyDescent="0.25">
      <c r="A147" s="21">
        <v>44593.46875</v>
      </c>
      <c r="B147" s="17">
        <v>806.49</v>
      </c>
      <c r="C147" s="17">
        <v>287.68</v>
      </c>
      <c r="D147" s="17">
        <v>256.17</v>
      </c>
      <c r="E147" s="17">
        <v>199.03</v>
      </c>
      <c r="F147" s="17">
        <v>196.89</v>
      </c>
      <c r="G147" s="17">
        <v>134.69999999999999</v>
      </c>
      <c r="H147" s="17">
        <v>75.400000000000006</v>
      </c>
      <c r="I147" s="17">
        <v>58.42</v>
      </c>
      <c r="J147" s="17">
        <v>78.599999999999994</v>
      </c>
      <c r="K147" s="17">
        <v>61.19</v>
      </c>
      <c r="L147" s="17">
        <v>36.78</v>
      </c>
      <c r="M147" s="17">
        <v>22.43</v>
      </c>
      <c r="N147" s="17">
        <v>20.46</v>
      </c>
      <c r="O147" s="17">
        <v>25.78</v>
      </c>
      <c r="P147" s="17">
        <v>19.25</v>
      </c>
      <c r="Q147" s="17">
        <v>15.38</v>
      </c>
      <c r="R147" s="17">
        <v>8.39</v>
      </c>
      <c r="S147" s="17">
        <v>10.210000000000001</v>
      </c>
      <c r="T147" s="17">
        <v>15.75</v>
      </c>
      <c r="U147" s="17">
        <v>6.29</v>
      </c>
      <c r="V147" s="17">
        <v>5.79</v>
      </c>
      <c r="W147" s="17">
        <v>4.0599999999999996</v>
      </c>
      <c r="X147" s="17">
        <v>4.5199999999999996</v>
      </c>
      <c r="Y147" s="17">
        <v>7.83</v>
      </c>
      <c r="Z147" s="17">
        <v>8.1300000000000008</v>
      </c>
      <c r="AA147" s="17">
        <v>7.32</v>
      </c>
      <c r="AB147" s="17">
        <v>0</v>
      </c>
      <c r="AC147" s="17">
        <v>6.46</v>
      </c>
      <c r="AD147" s="17">
        <v>0</v>
      </c>
      <c r="AE147" s="17">
        <v>0</v>
      </c>
      <c r="AF147" s="17">
        <v>0</v>
      </c>
      <c r="AG147" s="17">
        <v>0</v>
      </c>
      <c r="AH147" s="17">
        <v>0</v>
      </c>
      <c r="AI147" s="17">
        <f t="shared" si="11"/>
        <v>2</v>
      </c>
      <c r="AJ147" s="17">
        <f t="shared" si="12"/>
        <v>1</v>
      </c>
      <c r="AK147" s="17">
        <f t="shared" si="13"/>
        <v>11</v>
      </c>
      <c r="AL147" s="17">
        <f t="shared" si="14"/>
        <v>1</v>
      </c>
      <c r="AM147" s="17">
        <f>VLOOKUP(AK147,Sheet1!$A$2:$B$25,2,FALSE)</f>
        <v>1</v>
      </c>
    </row>
    <row r="148" spans="1:39" s="17" customFormat="1" x14ac:dyDescent="0.25">
      <c r="A148" s="21">
        <v>44593.479166666664</v>
      </c>
      <c r="B148" s="17">
        <v>802.27</v>
      </c>
      <c r="C148" s="17">
        <v>285.04000000000002</v>
      </c>
      <c r="D148" s="17">
        <v>258.31</v>
      </c>
      <c r="E148" s="17">
        <v>198.16</v>
      </c>
      <c r="F148" s="17">
        <v>196.75</v>
      </c>
      <c r="G148" s="17">
        <v>134.74</v>
      </c>
      <c r="H148" s="17">
        <v>73.89</v>
      </c>
      <c r="I148" s="17">
        <v>58.58</v>
      </c>
      <c r="J148" s="17">
        <v>76.33</v>
      </c>
      <c r="K148" s="17">
        <v>61.26</v>
      </c>
      <c r="L148" s="17">
        <v>37.17</v>
      </c>
      <c r="M148" s="17">
        <v>23.71</v>
      </c>
      <c r="N148" s="17">
        <v>20.43</v>
      </c>
      <c r="O148" s="17">
        <v>23.18</v>
      </c>
      <c r="P148" s="17">
        <v>17.36</v>
      </c>
      <c r="Q148" s="17">
        <v>13.89</v>
      </c>
      <c r="R148" s="17">
        <v>8.8699999999999992</v>
      </c>
      <c r="S148" s="17">
        <v>10.52</v>
      </c>
      <c r="T148" s="17">
        <v>15.66</v>
      </c>
      <c r="U148" s="17">
        <v>6.24</v>
      </c>
      <c r="V148" s="17">
        <v>5.92</v>
      </c>
      <c r="W148" s="17">
        <v>4.45</v>
      </c>
      <c r="X148" s="17">
        <v>6.12</v>
      </c>
      <c r="Y148" s="17">
        <v>8.09</v>
      </c>
      <c r="Z148" s="17">
        <v>8.18</v>
      </c>
      <c r="AA148" s="17">
        <v>7.44</v>
      </c>
      <c r="AB148" s="17">
        <v>0</v>
      </c>
      <c r="AC148" s="17">
        <v>1.99</v>
      </c>
      <c r="AD148" s="17">
        <v>0</v>
      </c>
      <c r="AE148" s="17">
        <v>0</v>
      </c>
      <c r="AF148" s="17">
        <v>0</v>
      </c>
      <c r="AG148" s="17">
        <v>0</v>
      </c>
      <c r="AH148" s="17">
        <v>0</v>
      </c>
      <c r="AI148" s="17">
        <f t="shared" si="11"/>
        <v>2</v>
      </c>
      <c r="AJ148" s="17">
        <f t="shared" si="12"/>
        <v>1</v>
      </c>
      <c r="AK148" s="17">
        <f t="shared" si="13"/>
        <v>11</v>
      </c>
      <c r="AL148" s="17">
        <f t="shared" si="14"/>
        <v>1</v>
      </c>
      <c r="AM148" s="17">
        <f>VLOOKUP(AK148,Sheet1!$A$2:$B$25,2,FALSE)</f>
        <v>1</v>
      </c>
    </row>
    <row r="149" spans="1:39" s="17" customFormat="1" x14ac:dyDescent="0.25">
      <c r="A149" s="21">
        <v>44593.489583333336</v>
      </c>
      <c r="B149" s="17">
        <v>819.33</v>
      </c>
      <c r="C149" s="17">
        <v>288.66000000000003</v>
      </c>
      <c r="D149" s="17">
        <v>259.18</v>
      </c>
      <c r="E149" s="17">
        <v>200.59</v>
      </c>
      <c r="F149" s="17">
        <v>200.11</v>
      </c>
      <c r="G149" s="17">
        <v>135.31</v>
      </c>
      <c r="H149" s="17">
        <v>73.27</v>
      </c>
      <c r="I149" s="17">
        <v>58.75</v>
      </c>
      <c r="J149" s="17">
        <v>78.3</v>
      </c>
      <c r="K149" s="17">
        <v>61.2</v>
      </c>
      <c r="L149" s="17">
        <v>38.909999999999997</v>
      </c>
      <c r="M149" s="17">
        <v>20.83</v>
      </c>
      <c r="N149" s="17">
        <v>21.27</v>
      </c>
      <c r="O149" s="17">
        <v>25.94</v>
      </c>
      <c r="P149" s="17">
        <v>12.18</v>
      </c>
      <c r="Q149" s="17">
        <v>14.51</v>
      </c>
      <c r="R149" s="17">
        <v>8.67</v>
      </c>
      <c r="S149" s="17">
        <v>14.86</v>
      </c>
      <c r="T149" s="17">
        <v>15.47</v>
      </c>
      <c r="U149" s="17">
        <v>6.61</v>
      </c>
      <c r="V149" s="17">
        <v>13.61</v>
      </c>
      <c r="W149" s="17">
        <v>4.3</v>
      </c>
      <c r="X149" s="17">
        <v>5.13</v>
      </c>
      <c r="Y149" s="17">
        <v>7.92</v>
      </c>
      <c r="Z149" s="17">
        <v>8.19</v>
      </c>
      <c r="AA149" s="17">
        <v>7.68</v>
      </c>
      <c r="AB149" s="17">
        <v>0</v>
      </c>
      <c r="AC149" s="17">
        <v>7.87</v>
      </c>
      <c r="AD149" s="17">
        <v>0</v>
      </c>
      <c r="AE149" s="17">
        <v>0</v>
      </c>
      <c r="AF149" s="17">
        <v>0</v>
      </c>
      <c r="AG149" s="17">
        <v>0</v>
      </c>
      <c r="AH149" s="17">
        <v>0</v>
      </c>
      <c r="AI149" s="17">
        <f t="shared" si="11"/>
        <v>2</v>
      </c>
      <c r="AJ149" s="17">
        <f t="shared" si="12"/>
        <v>1</v>
      </c>
      <c r="AK149" s="17">
        <f t="shared" si="13"/>
        <v>11</v>
      </c>
      <c r="AL149" s="17">
        <f t="shared" si="14"/>
        <v>1</v>
      </c>
      <c r="AM149" s="17">
        <f>VLOOKUP(AK149,Sheet1!$A$2:$B$25,2,FALSE)</f>
        <v>1</v>
      </c>
    </row>
    <row r="150" spans="1:39" s="17" customFormat="1" x14ac:dyDescent="0.25">
      <c r="A150" s="21">
        <v>44593.5</v>
      </c>
      <c r="B150" s="17">
        <v>829.84</v>
      </c>
      <c r="C150" s="17">
        <v>290.81</v>
      </c>
      <c r="D150" s="17">
        <v>261.27</v>
      </c>
      <c r="E150" s="17">
        <v>197.55</v>
      </c>
      <c r="F150" s="17">
        <v>195.75</v>
      </c>
      <c r="G150" s="17">
        <v>136.07</v>
      </c>
      <c r="H150" s="17">
        <v>75.47</v>
      </c>
      <c r="I150" s="17">
        <v>67.16</v>
      </c>
      <c r="J150" s="17">
        <v>77.94</v>
      </c>
      <c r="K150" s="17">
        <v>60.66</v>
      </c>
      <c r="L150" s="17">
        <v>43.15</v>
      </c>
      <c r="M150" s="17">
        <v>22.78</v>
      </c>
      <c r="N150" s="17">
        <v>23.93</v>
      </c>
      <c r="O150" s="17">
        <v>26.7</v>
      </c>
      <c r="P150" s="17">
        <v>18.88</v>
      </c>
      <c r="Q150" s="17">
        <v>14.87</v>
      </c>
      <c r="R150" s="17">
        <v>8.65</v>
      </c>
      <c r="S150" s="17">
        <v>14.24</v>
      </c>
      <c r="T150" s="17">
        <v>17.28</v>
      </c>
      <c r="U150" s="17">
        <v>6.56</v>
      </c>
      <c r="V150" s="17">
        <v>8.5</v>
      </c>
      <c r="W150" s="17">
        <v>4.3499999999999996</v>
      </c>
      <c r="X150" s="17">
        <v>7.39</v>
      </c>
      <c r="Y150" s="17">
        <v>7.98</v>
      </c>
      <c r="Z150" s="17">
        <v>8.3000000000000007</v>
      </c>
      <c r="AA150" s="17">
        <v>7.52</v>
      </c>
      <c r="AB150" s="17">
        <v>0</v>
      </c>
      <c r="AC150" s="17">
        <v>1.74</v>
      </c>
      <c r="AD150" s="17">
        <v>0</v>
      </c>
      <c r="AE150" s="17">
        <v>0</v>
      </c>
      <c r="AF150" s="17">
        <v>0</v>
      </c>
      <c r="AG150" s="17">
        <v>0</v>
      </c>
      <c r="AH150" s="17">
        <v>0</v>
      </c>
      <c r="AI150" s="17">
        <f t="shared" si="11"/>
        <v>2</v>
      </c>
      <c r="AJ150" s="17">
        <f t="shared" si="12"/>
        <v>1</v>
      </c>
      <c r="AK150" s="17">
        <f t="shared" si="13"/>
        <v>12</v>
      </c>
      <c r="AL150" s="17">
        <f t="shared" si="14"/>
        <v>1</v>
      </c>
      <c r="AM150" s="17">
        <f>VLOOKUP(AK150,Sheet1!$A$2:$B$25,2,FALSE)</f>
        <v>1</v>
      </c>
    </row>
    <row r="151" spans="1:39" s="17" customFormat="1" x14ac:dyDescent="0.25">
      <c r="A151" s="21">
        <v>44593.510416666664</v>
      </c>
      <c r="B151" s="17">
        <v>805.52</v>
      </c>
      <c r="C151" s="17">
        <v>295.76</v>
      </c>
      <c r="D151" s="17">
        <v>254.01</v>
      </c>
      <c r="E151" s="17">
        <v>199.05</v>
      </c>
      <c r="F151" s="17">
        <v>197.83</v>
      </c>
      <c r="G151" s="17">
        <v>135.99</v>
      </c>
      <c r="H151" s="17">
        <v>75.44</v>
      </c>
      <c r="I151" s="17">
        <v>65.42</v>
      </c>
      <c r="J151" s="17">
        <v>77.41</v>
      </c>
      <c r="K151" s="17">
        <v>61.23</v>
      </c>
      <c r="L151" s="17">
        <v>52.06</v>
      </c>
      <c r="M151" s="17">
        <v>19.23</v>
      </c>
      <c r="N151" s="17">
        <v>20.53</v>
      </c>
      <c r="O151" s="17">
        <v>23.72</v>
      </c>
      <c r="P151" s="17">
        <v>21.46</v>
      </c>
      <c r="Q151" s="17">
        <v>13.6</v>
      </c>
      <c r="R151" s="17">
        <v>8.8000000000000007</v>
      </c>
      <c r="S151" s="17">
        <v>1.21</v>
      </c>
      <c r="T151" s="17">
        <v>16.38</v>
      </c>
      <c r="U151" s="17">
        <v>6.56</v>
      </c>
      <c r="V151" s="17">
        <v>10.93</v>
      </c>
      <c r="W151" s="17">
        <v>4.25</v>
      </c>
      <c r="X151" s="17">
        <v>0</v>
      </c>
      <c r="Y151" s="17">
        <v>4.47</v>
      </c>
      <c r="Z151" s="17">
        <v>8.43</v>
      </c>
      <c r="AA151" s="17">
        <v>7.83</v>
      </c>
      <c r="AB151" s="17">
        <v>0</v>
      </c>
      <c r="AC151" s="17">
        <v>0</v>
      </c>
      <c r="AD151" s="17">
        <v>0</v>
      </c>
      <c r="AE151" s="17">
        <v>0</v>
      </c>
      <c r="AF151" s="17">
        <v>0</v>
      </c>
      <c r="AG151" s="17">
        <v>0</v>
      </c>
      <c r="AH151" s="17">
        <v>0</v>
      </c>
      <c r="AI151" s="17">
        <f t="shared" si="11"/>
        <v>2</v>
      </c>
      <c r="AJ151" s="17">
        <f t="shared" si="12"/>
        <v>1</v>
      </c>
      <c r="AK151" s="17">
        <f t="shared" si="13"/>
        <v>12</v>
      </c>
      <c r="AL151" s="17">
        <f t="shared" si="14"/>
        <v>1</v>
      </c>
      <c r="AM151" s="17">
        <f>VLOOKUP(AK151,Sheet1!$A$2:$B$25,2,FALSE)</f>
        <v>1</v>
      </c>
    </row>
    <row r="152" spans="1:39" s="17" customFormat="1" x14ac:dyDescent="0.25">
      <c r="A152" s="21">
        <v>44593.520833333336</v>
      </c>
      <c r="B152" s="17">
        <v>791.54</v>
      </c>
      <c r="C152" s="17">
        <v>293.62</v>
      </c>
      <c r="D152" s="17">
        <v>257.87</v>
      </c>
      <c r="E152" s="17">
        <v>199.36</v>
      </c>
      <c r="F152" s="17">
        <v>198.48</v>
      </c>
      <c r="G152" s="17">
        <v>136.26</v>
      </c>
      <c r="H152" s="17">
        <v>78.17</v>
      </c>
      <c r="I152" s="17">
        <v>58.97</v>
      </c>
      <c r="J152" s="17">
        <v>75.92</v>
      </c>
      <c r="K152" s="17">
        <v>61.2</v>
      </c>
      <c r="L152" s="17">
        <v>54.52</v>
      </c>
      <c r="M152" s="17">
        <v>16.82</v>
      </c>
      <c r="N152" s="17">
        <v>21.93</v>
      </c>
      <c r="O152" s="17">
        <v>28.96</v>
      </c>
      <c r="P152" s="17">
        <v>18.79</v>
      </c>
      <c r="Q152" s="17">
        <v>13.93</v>
      </c>
      <c r="R152" s="17">
        <v>8.76</v>
      </c>
      <c r="S152" s="17">
        <v>0</v>
      </c>
      <c r="T152" s="17">
        <v>16.920000000000002</v>
      </c>
      <c r="U152" s="17">
        <v>6.51</v>
      </c>
      <c r="V152" s="17">
        <v>1.98</v>
      </c>
      <c r="W152" s="17">
        <v>4.3</v>
      </c>
      <c r="X152" s="17">
        <v>0</v>
      </c>
      <c r="Y152" s="17">
        <v>8.0500000000000007</v>
      </c>
      <c r="Z152" s="17">
        <v>8.34</v>
      </c>
      <c r="AA152" s="17">
        <v>7.66</v>
      </c>
      <c r="AB152" s="17">
        <v>0</v>
      </c>
      <c r="AC152" s="17">
        <v>0</v>
      </c>
      <c r="AD152" s="17">
        <v>0</v>
      </c>
      <c r="AE152" s="17">
        <v>0</v>
      </c>
      <c r="AF152" s="17">
        <v>0</v>
      </c>
      <c r="AG152" s="17">
        <v>0</v>
      </c>
      <c r="AH152" s="17">
        <v>0</v>
      </c>
      <c r="AI152" s="17">
        <f t="shared" si="11"/>
        <v>2</v>
      </c>
      <c r="AJ152" s="17">
        <f t="shared" si="12"/>
        <v>1</v>
      </c>
      <c r="AK152" s="17">
        <f t="shared" si="13"/>
        <v>12</v>
      </c>
      <c r="AL152" s="17">
        <f t="shared" si="14"/>
        <v>1</v>
      </c>
      <c r="AM152" s="17">
        <f>VLOOKUP(AK152,Sheet1!$A$2:$B$25,2,FALSE)</f>
        <v>1</v>
      </c>
    </row>
    <row r="153" spans="1:39" s="17" customFormat="1" x14ac:dyDescent="0.25">
      <c r="A153" s="21">
        <v>44593.53125</v>
      </c>
      <c r="B153" s="17">
        <v>816.39</v>
      </c>
      <c r="C153" s="17">
        <v>299.31</v>
      </c>
      <c r="D153" s="17">
        <v>256.13</v>
      </c>
      <c r="E153" s="17">
        <v>198.99</v>
      </c>
      <c r="F153" s="17">
        <v>197.18</v>
      </c>
      <c r="G153" s="17">
        <v>135.72</v>
      </c>
      <c r="H153" s="17">
        <v>76.09</v>
      </c>
      <c r="I153" s="17">
        <v>73.56</v>
      </c>
      <c r="J153" s="17">
        <v>81.069999999999993</v>
      </c>
      <c r="K153" s="17">
        <v>61.46</v>
      </c>
      <c r="L153" s="17">
        <v>54.36</v>
      </c>
      <c r="M153" s="17">
        <v>19.04</v>
      </c>
      <c r="N153" s="17">
        <v>21.83</v>
      </c>
      <c r="O153" s="17">
        <v>26.44</v>
      </c>
      <c r="P153" s="17">
        <v>18.96</v>
      </c>
      <c r="Q153" s="17">
        <v>12.74</v>
      </c>
      <c r="R153" s="17">
        <v>8.6999999999999993</v>
      </c>
      <c r="S153" s="17">
        <v>0</v>
      </c>
      <c r="T153" s="17">
        <v>15.98</v>
      </c>
      <c r="U153" s="17">
        <v>6.25</v>
      </c>
      <c r="V153" s="17">
        <v>8.84</v>
      </c>
      <c r="W153" s="17">
        <v>4.57</v>
      </c>
      <c r="X153" s="17">
        <v>0</v>
      </c>
      <c r="Y153" s="17">
        <v>8.0399999999999991</v>
      </c>
      <c r="Z153" s="17">
        <v>8.15</v>
      </c>
      <c r="AA153" s="17">
        <v>7.68</v>
      </c>
      <c r="AB153" s="17">
        <v>0</v>
      </c>
      <c r="AC153" s="17">
        <v>0</v>
      </c>
      <c r="AD153" s="17">
        <v>0</v>
      </c>
      <c r="AE153" s="17">
        <v>0</v>
      </c>
      <c r="AF153" s="17">
        <v>0</v>
      </c>
      <c r="AG153" s="17">
        <v>0</v>
      </c>
      <c r="AH153" s="17">
        <v>0</v>
      </c>
      <c r="AI153" s="17">
        <f t="shared" si="11"/>
        <v>2</v>
      </c>
      <c r="AJ153" s="17">
        <f t="shared" si="12"/>
        <v>1</v>
      </c>
      <c r="AK153" s="17">
        <f t="shared" si="13"/>
        <v>12</v>
      </c>
      <c r="AL153" s="17">
        <f t="shared" si="14"/>
        <v>1</v>
      </c>
      <c r="AM153" s="17">
        <f>VLOOKUP(AK153,Sheet1!$A$2:$B$25,2,FALSE)</f>
        <v>1</v>
      </c>
    </row>
    <row r="154" spans="1:39" s="17" customFormat="1" x14ac:dyDescent="0.25">
      <c r="A154" s="21">
        <v>44593.541666666664</v>
      </c>
      <c r="B154" s="17">
        <v>764.56</v>
      </c>
      <c r="C154" s="17">
        <v>258.47000000000003</v>
      </c>
      <c r="D154" s="17">
        <v>258.05</v>
      </c>
      <c r="E154" s="17">
        <v>185.66</v>
      </c>
      <c r="F154" s="17">
        <v>197.84</v>
      </c>
      <c r="G154" s="17">
        <v>138.26</v>
      </c>
      <c r="H154" s="17">
        <v>78.459999999999994</v>
      </c>
      <c r="I154" s="17">
        <v>60.02</v>
      </c>
      <c r="J154" s="17">
        <v>54.79</v>
      </c>
      <c r="K154" s="17">
        <v>62.02</v>
      </c>
      <c r="L154" s="17">
        <v>48.96</v>
      </c>
      <c r="M154" s="17">
        <v>17.91</v>
      </c>
      <c r="N154" s="17">
        <v>21.8</v>
      </c>
      <c r="O154" s="17">
        <v>18.600000000000001</v>
      </c>
      <c r="P154" s="17">
        <v>20.13</v>
      </c>
      <c r="Q154" s="17">
        <v>9.61</v>
      </c>
      <c r="R154" s="17">
        <v>8.6</v>
      </c>
      <c r="S154" s="17">
        <v>0</v>
      </c>
      <c r="T154" s="17">
        <v>16.850000000000001</v>
      </c>
      <c r="U154" s="17">
        <v>4.62</v>
      </c>
      <c r="V154" s="17">
        <v>8.59</v>
      </c>
      <c r="W154" s="17">
        <v>4.46</v>
      </c>
      <c r="X154" s="17">
        <v>0</v>
      </c>
      <c r="Y154" s="17">
        <v>7.98</v>
      </c>
      <c r="Z154" s="17">
        <v>8.36</v>
      </c>
      <c r="AA154" s="17">
        <v>4.7</v>
      </c>
      <c r="AB154" s="17">
        <v>0</v>
      </c>
      <c r="AC154" s="17">
        <v>0</v>
      </c>
      <c r="AD154" s="17">
        <v>0</v>
      </c>
      <c r="AE154" s="17">
        <v>0</v>
      </c>
      <c r="AF154" s="17">
        <v>1.77</v>
      </c>
      <c r="AG154" s="17">
        <v>0</v>
      </c>
      <c r="AH154" s="17">
        <v>0</v>
      </c>
      <c r="AI154" s="17">
        <f t="shared" si="11"/>
        <v>2</v>
      </c>
      <c r="AJ154" s="17">
        <f t="shared" si="12"/>
        <v>1</v>
      </c>
      <c r="AK154" s="17">
        <f t="shared" si="13"/>
        <v>13</v>
      </c>
      <c r="AL154" s="17">
        <f t="shared" si="14"/>
        <v>1</v>
      </c>
      <c r="AM154" s="17">
        <f>VLOOKUP(AK154,Sheet1!$A$2:$B$25,2,FALSE)</f>
        <v>1</v>
      </c>
    </row>
    <row r="155" spans="1:39" s="17" customFormat="1" x14ac:dyDescent="0.25">
      <c r="A155" s="21">
        <v>44593.552083333336</v>
      </c>
      <c r="B155" s="17">
        <v>734.34</v>
      </c>
      <c r="C155" s="17">
        <v>236.88</v>
      </c>
      <c r="D155" s="17">
        <v>259.45999999999998</v>
      </c>
      <c r="E155" s="17">
        <v>178.54</v>
      </c>
      <c r="F155" s="17">
        <v>197.67</v>
      </c>
      <c r="G155" s="17">
        <v>137.96</v>
      </c>
      <c r="H155" s="17">
        <v>76.099999999999994</v>
      </c>
      <c r="I155" s="17">
        <v>58.35</v>
      </c>
      <c r="J155" s="17">
        <v>42.03</v>
      </c>
      <c r="K155" s="17">
        <v>62.36</v>
      </c>
      <c r="L155" s="17">
        <v>46.46</v>
      </c>
      <c r="M155" s="17">
        <v>19.329999999999998</v>
      </c>
      <c r="N155" s="17">
        <v>20.07</v>
      </c>
      <c r="O155" s="17">
        <v>13.61</v>
      </c>
      <c r="P155" s="17">
        <v>20.77</v>
      </c>
      <c r="Q155" s="17">
        <v>8.06</v>
      </c>
      <c r="R155" s="17">
        <v>8.58</v>
      </c>
      <c r="S155" s="17">
        <v>0</v>
      </c>
      <c r="T155" s="17">
        <v>15.62</v>
      </c>
      <c r="U155" s="17">
        <v>3.8</v>
      </c>
      <c r="V155" s="17">
        <v>6.75</v>
      </c>
      <c r="W155" s="17">
        <v>4.3899999999999997</v>
      </c>
      <c r="X155" s="17">
        <v>0</v>
      </c>
      <c r="Y155" s="17">
        <v>6.78</v>
      </c>
      <c r="Z155" s="17">
        <v>3.45</v>
      </c>
      <c r="AA155" s="17">
        <v>3.95</v>
      </c>
      <c r="AB155" s="17">
        <v>0</v>
      </c>
      <c r="AC155" s="17">
        <v>0</v>
      </c>
      <c r="AD155" s="17">
        <v>0</v>
      </c>
      <c r="AE155" s="17">
        <v>0</v>
      </c>
      <c r="AF155" s="17">
        <v>1.76</v>
      </c>
      <c r="AG155" s="17">
        <v>0</v>
      </c>
      <c r="AH155" s="17">
        <v>0</v>
      </c>
      <c r="AI155" s="17">
        <f t="shared" si="11"/>
        <v>2</v>
      </c>
      <c r="AJ155" s="17">
        <f t="shared" si="12"/>
        <v>1</v>
      </c>
      <c r="AK155" s="17">
        <f t="shared" si="13"/>
        <v>13</v>
      </c>
      <c r="AL155" s="17">
        <f t="shared" si="14"/>
        <v>1</v>
      </c>
      <c r="AM155" s="17">
        <f>VLOOKUP(AK155,Sheet1!$A$2:$B$25,2,FALSE)</f>
        <v>1</v>
      </c>
    </row>
    <row r="156" spans="1:39" s="17" customFormat="1" x14ac:dyDescent="0.25">
      <c r="A156" s="21">
        <v>44593.5625</v>
      </c>
      <c r="B156" s="17">
        <v>731.95</v>
      </c>
      <c r="C156" s="17">
        <v>239.04</v>
      </c>
      <c r="D156" s="17">
        <v>258.93</v>
      </c>
      <c r="E156" s="17">
        <v>180.31</v>
      </c>
      <c r="F156" s="17">
        <v>198.13</v>
      </c>
      <c r="G156" s="17">
        <v>138.19</v>
      </c>
      <c r="H156" s="17">
        <v>74.06</v>
      </c>
      <c r="I156" s="17">
        <v>57.76</v>
      </c>
      <c r="J156" s="17">
        <v>46.2</v>
      </c>
      <c r="K156" s="17">
        <v>61.88</v>
      </c>
      <c r="L156" s="17">
        <v>39.14</v>
      </c>
      <c r="M156" s="17">
        <v>20.100000000000001</v>
      </c>
      <c r="N156" s="17">
        <v>21.06</v>
      </c>
      <c r="O156" s="17">
        <v>16.93</v>
      </c>
      <c r="P156" s="17">
        <v>18.649999999999999</v>
      </c>
      <c r="Q156" s="17">
        <v>10.039999999999999</v>
      </c>
      <c r="R156" s="17">
        <v>8.6999999999999993</v>
      </c>
      <c r="S156" s="17">
        <v>0</v>
      </c>
      <c r="T156" s="17">
        <v>15.08</v>
      </c>
      <c r="U156" s="17">
        <v>4.22</v>
      </c>
      <c r="V156" s="17">
        <v>3.86</v>
      </c>
      <c r="W156" s="17">
        <v>4.38</v>
      </c>
      <c r="X156" s="17">
        <v>0</v>
      </c>
      <c r="Y156" s="17">
        <v>7.4</v>
      </c>
      <c r="Z156" s="17">
        <v>4.3499999999999996</v>
      </c>
      <c r="AA156" s="17">
        <v>3.76</v>
      </c>
      <c r="AB156" s="17">
        <v>0</v>
      </c>
      <c r="AC156" s="17">
        <v>0</v>
      </c>
      <c r="AD156" s="17">
        <v>0</v>
      </c>
      <c r="AE156" s="17">
        <v>0</v>
      </c>
      <c r="AF156" s="17">
        <v>1.75</v>
      </c>
      <c r="AG156" s="17">
        <v>0.21079999999999999</v>
      </c>
      <c r="AH156" s="17">
        <v>0</v>
      </c>
      <c r="AI156" s="17">
        <f t="shared" si="11"/>
        <v>2</v>
      </c>
      <c r="AJ156" s="17">
        <f t="shared" si="12"/>
        <v>1</v>
      </c>
      <c r="AK156" s="17">
        <f t="shared" si="13"/>
        <v>13</v>
      </c>
      <c r="AL156" s="17">
        <f t="shared" si="14"/>
        <v>1</v>
      </c>
      <c r="AM156" s="17">
        <f>VLOOKUP(AK156,Sheet1!$A$2:$B$25,2,FALSE)</f>
        <v>1</v>
      </c>
    </row>
    <row r="157" spans="1:39" s="17" customFormat="1" x14ac:dyDescent="0.25">
      <c r="A157" s="21">
        <v>44593.572916666664</v>
      </c>
      <c r="B157" s="17">
        <v>705.35</v>
      </c>
      <c r="C157" s="17">
        <v>224.59</v>
      </c>
      <c r="D157" s="17">
        <v>248</v>
      </c>
      <c r="E157" s="17">
        <v>175.29</v>
      </c>
      <c r="F157" s="17">
        <v>195.3</v>
      </c>
      <c r="G157" s="17">
        <v>138.75</v>
      </c>
      <c r="H157" s="17">
        <v>64.8</v>
      </c>
      <c r="I157" s="17">
        <v>57.6</v>
      </c>
      <c r="J157" s="17">
        <v>35.71</v>
      </c>
      <c r="K157" s="17">
        <v>61.84</v>
      </c>
      <c r="L157" s="17">
        <v>36.299999999999997</v>
      </c>
      <c r="M157" s="17">
        <v>20.96</v>
      </c>
      <c r="N157" s="17">
        <v>19.43</v>
      </c>
      <c r="O157" s="17">
        <v>13.72</v>
      </c>
      <c r="P157" s="17">
        <v>19.260000000000002</v>
      </c>
      <c r="Q157" s="17">
        <v>8.92</v>
      </c>
      <c r="R157" s="17">
        <v>8.98</v>
      </c>
      <c r="S157" s="17">
        <v>0</v>
      </c>
      <c r="T157" s="17">
        <v>15.36</v>
      </c>
      <c r="U157" s="17">
        <v>3.7</v>
      </c>
      <c r="V157" s="17">
        <v>8.34</v>
      </c>
      <c r="W157" s="17">
        <v>4.32</v>
      </c>
      <c r="X157" s="17">
        <v>0</v>
      </c>
      <c r="Y157" s="17">
        <v>3.76</v>
      </c>
      <c r="Z157" s="17">
        <v>3.38</v>
      </c>
      <c r="AA157" s="17">
        <v>1.67</v>
      </c>
      <c r="AB157" s="17">
        <v>0</v>
      </c>
      <c r="AC157" s="17">
        <v>0</v>
      </c>
      <c r="AD157" s="17">
        <v>0</v>
      </c>
      <c r="AE157" s="17">
        <v>0</v>
      </c>
      <c r="AF157" s="17">
        <v>1.77</v>
      </c>
      <c r="AG157" s="17">
        <v>0</v>
      </c>
      <c r="AH157" s="17">
        <v>0</v>
      </c>
      <c r="AI157" s="17">
        <f t="shared" si="11"/>
        <v>2</v>
      </c>
      <c r="AJ157" s="17">
        <f t="shared" si="12"/>
        <v>1</v>
      </c>
      <c r="AK157" s="17">
        <f t="shared" si="13"/>
        <v>13</v>
      </c>
      <c r="AL157" s="17">
        <f t="shared" si="14"/>
        <v>1</v>
      </c>
      <c r="AM157" s="17">
        <f>VLOOKUP(AK157,Sheet1!$A$2:$B$25,2,FALSE)</f>
        <v>1</v>
      </c>
    </row>
    <row r="158" spans="1:39" s="17" customFormat="1" x14ac:dyDescent="0.25">
      <c r="A158" s="21">
        <v>44593.583333333336</v>
      </c>
      <c r="B158" s="17">
        <v>447.1</v>
      </c>
      <c r="C158" s="17">
        <v>201.83</v>
      </c>
      <c r="D158" s="17">
        <v>18.02</v>
      </c>
      <c r="E158" s="17">
        <v>174.7</v>
      </c>
      <c r="F158" s="17">
        <v>14.62</v>
      </c>
      <c r="G158" s="17">
        <v>140.62</v>
      </c>
      <c r="H158" s="17">
        <v>2.87</v>
      </c>
      <c r="I158" s="17">
        <v>56.58</v>
      </c>
      <c r="J158" s="17">
        <v>20.11</v>
      </c>
      <c r="K158" s="17">
        <v>62.49</v>
      </c>
      <c r="L158" s="17">
        <v>18.649999999999999</v>
      </c>
      <c r="M158" s="17">
        <v>1.58</v>
      </c>
      <c r="N158" s="17">
        <v>19.52</v>
      </c>
      <c r="O158" s="17">
        <v>4.5599999999999996</v>
      </c>
      <c r="P158" s="17">
        <v>18.73</v>
      </c>
      <c r="Q158" s="17">
        <v>8.48</v>
      </c>
      <c r="R158" s="17">
        <v>8.59</v>
      </c>
      <c r="S158" s="17">
        <v>0</v>
      </c>
      <c r="T158" s="17">
        <v>15.59</v>
      </c>
      <c r="U158" s="17">
        <v>2.17</v>
      </c>
      <c r="V158" s="17">
        <v>7.3</v>
      </c>
      <c r="W158" s="17">
        <v>1.1299999999999999</v>
      </c>
      <c r="X158" s="17">
        <v>0</v>
      </c>
      <c r="Y158" s="17">
        <v>3.21</v>
      </c>
      <c r="Z158" s="17">
        <v>0</v>
      </c>
      <c r="AA158" s="17">
        <v>0.80679999999999996</v>
      </c>
      <c r="AB158" s="17">
        <v>0</v>
      </c>
      <c r="AC158" s="17">
        <v>0</v>
      </c>
      <c r="AD158" s="17">
        <v>0</v>
      </c>
      <c r="AE158" s="17">
        <v>0</v>
      </c>
      <c r="AF158" s="17">
        <v>1.78</v>
      </c>
      <c r="AG158" s="17">
        <v>2.21</v>
      </c>
      <c r="AH158" s="17">
        <v>0</v>
      </c>
      <c r="AI158" s="17">
        <f t="shared" si="11"/>
        <v>2</v>
      </c>
      <c r="AJ158" s="17">
        <f t="shared" si="12"/>
        <v>1</v>
      </c>
      <c r="AK158" s="17">
        <f t="shared" si="13"/>
        <v>14</v>
      </c>
      <c r="AL158" s="17">
        <f t="shared" si="14"/>
        <v>1</v>
      </c>
      <c r="AM158" s="17">
        <f>VLOOKUP(AK158,Sheet1!$A$2:$B$25,2,FALSE)</f>
        <v>1</v>
      </c>
    </row>
    <row r="159" spans="1:39" s="17" customFormat="1" x14ac:dyDescent="0.25">
      <c r="A159" s="21">
        <v>44593.59375</v>
      </c>
      <c r="B159" s="17">
        <v>263.06</v>
      </c>
      <c r="C159" s="17">
        <v>28.19</v>
      </c>
      <c r="D159" s="17">
        <v>4.08</v>
      </c>
      <c r="E159" s="17">
        <v>11.5</v>
      </c>
      <c r="F159" s="17">
        <v>0</v>
      </c>
      <c r="G159" s="17">
        <v>139.74</v>
      </c>
      <c r="H159" s="17">
        <v>1.72</v>
      </c>
      <c r="I159" s="17">
        <v>63.1</v>
      </c>
      <c r="J159" s="17">
        <v>2.61</v>
      </c>
      <c r="K159" s="17">
        <v>62.95</v>
      </c>
      <c r="L159" s="17">
        <v>4.07</v>
      </c>
      <c r="M159" s="17">
        <v>0</v>
      </c>
      <c r="N159" s="17">
        <v>13.33</v>
      </c>
      <c r="O159" s="17">
        <v>0</v>
      </c>
      <c r="P159" s="17">
        <v>15.58</v>
      </c>
      <c r="Q159" s="17">
        <v>0</v>
      </c>
      <c r="R159" s="17">
        <v>8.4700000000000006</v>
      </c>
      <c r="S159" s="17">
        <v>0</v>
      </c>
      <c r="T159" s="17">
        <v>16.489999999999998</v>
      </c>
      <c r="U159" s="17">
        <v>1.72</v>
      </c>
      <c r="V159" s="17">
        <v>1.71</v>
      </c>
      <c r="W159" s="17">
        <v>1.05</v>
      </c>
      <c r="X159" s="17">
        <v>0</v>
      </c>
      <c r="Y159" s="17">
        <v>0</v>
      </c>
      <c r="Z159" s="17">
        <v>0</v>
      </c>
      <c r="AA159" s="17">
        <v>0</v>
      </c>
      <c r="AB159" s="17">
        <v>0.17050000000000001</v>
      </c>
      <c r="AC159" s="17">
        <v>10.49</v>
      </c>
      <c r="AD159" s="17">
        <v>0</v>
      </c>
      <c r="AE159" s="17">
        <v>0</v>
      </c>
      <c r="AF159" s="17">
        <v>0.47760000000000002</v>
      </c>
      <c r="AG159" s="17">
        <v>0</v>
      </c>
      <c r="AH159" s="17">
        <v>0</v>
      </c>
      <c r="AI159" s="17">
        <f t="shared" si="11"/>
        <v>2</v>
      </c>
      <c r="AJ159" s="17">
        <f t="shared" si="12"/>
        <v>1</v>
      </c>
      <c r="AK159" s="17">
        <f t="shared" si="13"/>
        <v>14</v>
      </c>
      <c r="AL159" s="17">
        <f t="shared" si="14"/>
        <v>1</v>
      </c>
      <c r="AM159" s="17">
        <f>VLOOKUP(AK159,Sheet1!$A$2:$B$25,2,FALSE)</f>
        <v>1</v>
      </c>
    </row>
    <row r="160" spans="1:39" s="17" customFormat="1" x14ac:dyDescent="0.25">
      <c r="A160" s="21">
        <v>44593.604166666664</v>
      </c>
      <c r="B160" s="17">
        <v>132.58000000000001</v>
      </c>
      <c r="C160" s="17">
        <v>0</v>
      </c>
      <c r="D160" s="17">
        <v>4.09</v>
      </c>
      <c r="E160" s="17">
        <v>0</v>
      </c>
      <c r="F160" s="17">
        <v>0</v>
      </c>
      <c r="G160" s="17">
        <v>37.44</v>
      </c>
      <c r="H160" s="17">
        <v>1.7</v>
      </c>
      <c r="I160" s="17">
        <v>91.05</v>
      </c>
      <c r="J160" s="17">
        <v>1.08</v>
      </c>
      <c r="K160" s="17">
        <v>17.14</v>
      </c>
      <c r="L160" s="17">
        <v>0</v>
      </c>
      <c r="M160" s="17">
        <v>0</v>
      </c>
      <c r="N160" s="17">
        <v>0</v>
      </c>
      <c r="O160" s="17">
        <v>0</v>
      </c>
      <c r="P160" s="17">
        <v>0</v>
      </c>
      <c r="Q160" s="17">
        <v>0</v>
      </c>
      <c r="R160" s="17">
        <v>2.68</v>
      </c>
      <c r="S160" s="17">
        <v>0</v>
      </c>
      <c r="T160" s="17">
        <v>4.41</v>
      </c>
      <c r="U160" s="17">
        <v>1.7</v>
      </c>
      <c r="V160" s="17">
        <v>0</v>
      </c>
      <c r="W160" s="17">
        <v>1.1100000000000001</v>
      </c>
      <c r="X160" s="17">
        <v>0</v>
      </c>
      <c r="Y160" s="17">
        <v>0</v>
      </c>
      <c r="Z160" s="17">
        <v>0</v>
      </c>
      <c r="AA160" s="17">
        <v>0</v>
      </c>
      <c r="AB160" s="17">
        <v>0</v>
      </c>
      <c r="AC160" s="17">
        <v>0</v>
      </c>
      <c r="AD160" s="17">
        <v>0</v>
      </c>
      <c r="AE160" s="17">
        <v>0</v>
      </c>
      <c r="AF160" s="17">
        <v>0</v>
      </c>
      <c r="AG160" s="17">
        <v>0</v>
      </c>
      <c r="AH160" s="17">
        <v>0</v>
      </c>
      <c r="AI160" s="17">
        <f t="shared" si="11"/>
        <v>2</v>
      </c>
      <c r="AJ160" s="17">
        <f t="shared" si="12"/>
        <v>1</v>
      </c>
      <c r="AK160" s="17">
        <f t="shared" si="13"/>
        <v>14</v>
      </c>
      <c r="AL160" s="17">
        <f t="shared" si="14"/>
        <v>1</v>
      </c>
      <c r="AM160" s="17">
        <f>VLOOKUP(AK160,Sheet1!$A$2:$B$25,2,FALSE)</f>
        <v>1</v>
      </c>
    </row>
    <row r="161" spans="1:39" s="17" customFormat="1" x14ac:dyDescent="0.25">
      <c r="A161" s="21">
        <v>44593.614583333336</v>
      </c>
      <c r="B161" s="17">
        <v>60.2</v>
      </c>
      <c r="C161" s="17">
        <v>0</v>
      </c>
      <c r="D161" s="17">
        <v>2.5299999999999998</v>
      </c>
      <c r="E161" s="17">
        <v>0</v>
      </c>
      <c r="F161" s="17">
        <v>0</v>
      </c>
      <c r="G161" s="17">
        <v>0</v>
      </c>
      <c r="H161" s="17">
        <v>1.1000000000000001</v>
      </c>
      <c r="I161" s="17">
        <v>57.67</v>
      </c>
      <c r="J161" s="17">
        <v>1.08</v>
      </c>
      <c r="K161" s="17">
        <v>0</v>
      </c>
      <c r="L161" s="17">
        <v>0</v>
      </c>
      <c r="M161" s="17">
        <v>0</v>
      </c>
      <c r="N161" s="17">
        <v>0</v>
      </c>
      <c r="O161" s="17">
        <v>0</v>
      </c>
      <c r="P161" s="17">
        <v>0</v>
      </c>
      <c r="Q161" s="17">
        <v>0</v>
      </c>
      <c r="R161" s="17">
        <v>9.7900000000000001E-2</v>
      </c>
      <c r="S161" s="17">
        <v>0</v>
      </c>
      <c r="T161" s="17">
        <v>0</v>
      </c>
      <c r="U161" s="17">
        <v>1.74</v>
      </c>
      <c r="V161" s="17">
        <v>0</v>
      </c>
      <c r="W161" s="17">
        <v>0.83679999999999999</v>
      </c>
      <c r="X161" s="17">
        <v>0</v>
      </c>
      <c r="Y161" s="17">
        <v>0</v>
      </c>
      <c r="Z161" s="17">
        <v>0</v>
      </c>
      <c r="AA161" s="17">
        <v>0</v>
      </c>
      <c r="AB161" s="17">
        <v>0</v>
      </c>
      <c r="AC161" s="17">
        <v>0</v>
      </c>
      <c r="AD161" s="17">
        <v>0</v>
      </c>
      <c r="AE161" s="17">
        <v>0</v>
      </c>
      <c r="AF161" s="17">
        <v>0</v>
      </c>
      <c r="AG161" s="17">
        <v>0</v>
      </c>
      <c r="AH161" s="17">
        <v>0</v>
      </c>
      <c r="AI161" s="17">
        <f t="shared" si="11"/>
        <v>2</v>
      </c>
      <c r="AJ161" s="17">
        <f t="shared" si="12"/>
        <v>1</v>
      </c>
      <c r="AK161" s="17">
        <f t="shared" si="13"/>
        <v>14</v>
      </c>
      <c r="AL161" s="17">
        <f t="shared" si="14"/>
        <v>1</v>
      </c>
      <c r="AM161" s="17">
        <f>VLOOKUP(AK161,Sheet1!$A$2:$B$25,2,FALSE)</f>
        <v>1</v>
      </c>
    </row>
    <row r="162" spans="1:39" s="17" customFormat="1" x14ac:dyDescent="0.25">
      <c r="A162" s="21">
        <v>44593.625</v>
      </c>
      <c r="B162" s="17">
        <v>12.88</v>
      </c>
      <c r="C162" s="17">
        <v>0.2021</v>
      </c>
      <c r="D162" s="17">
        <v>4.1399999999999997</v>
      </c>
      <c r="E162" s="17">
        <v>0</v>
      </c>
      <c r="F162" s="17">
        <v>0</v>
      </c>
      <c r="G162" s="17">
        <v>0</v>
      </c>
      <c r="H162" s="17">
        <v>1.62</v>
      </c>
      <c r="I162" s="17">
        <v>8.5399999999999991</v>
      </c>
      <c r="J162" s="17">
        <v>1.62</v>
      </c>
      <c r="K162" s="17">
        <v>0</v>
      </c>
      <c r="L162" s="17">
        <v>0</v>
      </c>
      <c r="M162" s="17">
        <v>0</v>
      </c>
      <c r="N162" s="17">
        <v>0</v>
      </c>
      <c r="O162" s="17">
        <v>0</v>
      </c>
      <c r="P162" s="17">
        <v>0</v>
      </c>
      <c r="Q162" s="17">
        <v>0</v>
      </c>
      <c r="R162" s="17">
        <v>0.24629999999999999</v>
      </c>
      <c r="S162" s="17">
        <v>0</v>
      </c>
      <c r="T162" s="17">
        <v>0</v>
      </c>
      <c r="U162" s="17">
        <v>1.78</v>
      </c>
      <c r="V162" s="17">
        <v>0</v>
      </c>
      <c r="W162" s="17">
        <v>1.1599999999999999</v>
      </c>
      <c r="X162" s="17">
        <v>0</v>
      </c>
      <c r="Y162" s="17">
        <v>0</v>
      </c>
      <c r="Z162" s="17">
        <v>0</v>
      </c>
      <c r="AA162" s="17">
        <v>0</v>
      </c>
      <c r="AB162" s="17">
        <v>0</v>
      </c>
      <c r="AC162" s="17">
        <v>0</v>
      </c>
      <c r="AD162" s="17">
        <v>0</v>
      </c>
      <c r="AE162" s="17">
        <v>0</v>
      </c>
      <c r="AF162" s="17">
        <v>0</v>
      </c>
      <c r="AG162" s="17">
        <v>0</v>
      </c>
      <c r="AH162" s="17">
        <v>0</v>
      </c>
      <c r="AI162" s="17">
        <f t="shared" si="11"/>
        <v>2</v>
      </c>
      <c r="AJ162" s="17">
        <f t="shared" si="12"/>
        <v>1</v>
      </c>
      <c r="AK162" s="17">
        <f t="shared" si="13"/>
        <v>15</v>
      </c>
      <c r="AL162" s="17">
        <f t="shared" si="14"/>
        <v>1</v>
      </c>
      <c r="AM162" s="17">
        <f>VLOOKUP(AK162,Sheet1!$A$2:$B$25,2,FALSE)</f>
        <v>1</v>
      </c>
    </row>
    <row r="163" spans="1:39" s="17" customFormat="1" x14ac:dyDescent="0.25">
      <c r="A163" s="21">
        <v>44593.635416666664</v>
      </c>
      <c r="B163" s="17">
        <v>2</v>
      </c>
      <c r="C163" s="17">
        <v>0</v>
      </c>
      <c r="D163" s="17">
        <v>2</v>
      </c>
      <c r="E163" s="17">
        <v>0</v>
      </c>
      <c r="F163" s="17">
        <v>0</v>
      </c>
      <c r="G163" s="17">
        <v>0</v>
      </c>
      <c r="H163" s="17">
        <v>1.07</v>
      </c>
      <c r="I163" s="17">
        <v>0</v>
      </c>
      <c r="J163" s="17">
        <v>0.9758</v>
      </c>
      <c r="K163" s="17">
        <v>0</v>
      </c>
      <c r="L163" s="17">
        <v>0</v>
      </c>
      <c r="M163" s="17">
        <v>0</v>
      </c>
      <c r="N163" s="17">
        <v>0</v>
      </c>
      <c r="O163" s="17">
        <v>0</v>
      </c>
      <c r="P163" s="17">
        <v>0</v>
      </c>
      <c r="Q163" s="17">
        <v>0</v>
      </c>
      <c r="R163" s="17">
        <v>0.31580000000000003</v>
      </c>
      <c r="S163" s="17">
        <v>0</v>
      </c>
      <c r="T163" s="17">
        <v>0</v>
      </c>
      <c r="U163" s="17">
        <v>1.81</v>
      </c>
      <c r="V163" s="17">
        <v>0</v>
      </c>
      <c r="W163" s="17">
        <v>1.17</v>
      </c>
      <c r="X163" s="17">
        <v>0</v>
      </c>
      <c r="Y163" s="17">
        <v>0</v>
      </c>
      <c r="Z163" s="17">
        <v>0</v>
      </c>
      <c r="AA163" s="17">
        <v>0</v>
      </c>
      <c r="AB163" s="17">
        <v>0</v>
      </c>
      <c r="AC163" s="17">
        <v>0</v>
      </c>
      <c r="AD163" s="17">
        <v>0</v>
      </c>
      <c r="AE163" s="17">
        <v>0</v>
      </c>
      <c r="AF163" s="17">
        <v>0</v>
      </c>
      <c r="AG163" s="17">
        <v>0</v>
      </c>
      <c r="AH163" s="17">
        <v>0</v>
      </c>
      <c r="AI163" s="17">
        <f t="shared" si="11"/>
        <v>2</v>
      </c>
      <c r="AJ163" s="17">
        <f t="shared" si="12"/>
        <v>1</v>
      </c>
      <c r="AK163" s="17">
        <f t="shared" si="13"/>
        <v>15</v>
      </c>
      <c r="AL163" s="17">
        <f t="shared" si="14"/>
        <v>1</v>
      </c>
      <c r="AM163" s="17">
        <f>VLOOKUP(AK163,Sheet1!$A$2:$B$25,2,FALSE)</f>
        <v>1</v>
      </c>
    </row>
    <row r="164" spans="1:39" s="17" customFormat="1" x14ac:dyDescent="0.25">
      <c r="A164" s="21">
        <v>44593.645833333336</v>
      </c>
      <c r="B164" s="17">
        <v>4.0199999999999996</v>
      </c>
      <c r="C164" s="17">
        <v>0.2021</v>
      </c>
      <c r="D164" s="17">
        <v>3.82</v>
      </c>
      <c r="E164" s="17">
        <v>0</v>
      </c>
      <c r="F164" s="17">
        <v>0</v>
      </c>
      <c r="G164" s="17">
        <v>0</v>
      </c>
      <c r="H164" s="17">
        <v>1.34</v>
      </c>
      <c r="I164" s="17">
        <v>0</v>
      </c>
      <c r="J164" s="17">
        <v>1.01</v>
      </c>
      <c r="K164" s="17">
        <v>0</v>
      </c>
      <c r="L164" s="17">
        <v>0</v>
      </c>
      <c r="M164" s="17">
        <v>0</v>
      </c>
      <c r="N164" s="17">
        <v>0</v>
      </c>
      <c r="O164" s="17">
        <v>0</v>
      </c>
      <c r="P164" s="17">
        <v>0</v>
      </c>
      <c r="Q164" s="17">
        <v>0</v>
      </c>
      <c r="R164" s="17">
        <v>0.23760000000000001</v>
      </c>
      <c r="S164" s="17">
        <v>0</v>
      </c>
      <c r="T164" s="17">
        <v>0</v>
      </c>
      <c r="U164" s="17">
        <v>1.8</v>
      </c>
      <c r="V164" s="17">
        <v>0</v>
      </c>
      <c r="W164" s="17">
        <v>1.1599999999999999</v>
      </c>
      <c r="X164" s="17">
        <v>0</v>
      </c>
      <c r="Y164" s="17">
        <v>0</v>
      </c>
      <c r="Z164" s="17">
        <v>0</v>
      </c>
      <c r="AA164" s="17">
        <v>0</v>
      </c>
      <c r="AB164" s="17">
        <v>0</v>
      </c>
      <c r="AC164" s="17">
        <v>0</v>
      </c>
      <c r="AD164" s="17">
        <v>0</v>
      </c>
      <c r="AE164" s="17">
        <v>0</v>
      </c>
      <c r="AF164" s="17">
        <v>0</v>
      </c>
      <c r="AG164" s="17">
        <v>0</v>
      </c>
      <c r="AH164" s="17">
        <v>0</v>
      </c>
      <c r="AI164" s="17">
        <f t="shared" si="11"/>
        <v>2</v>
      </c>
      <c r="AJ164" s="17">
        <f t="shared" si="12"/>
        <v>1</v>
      </c>
      <c r="AK164" s="17">
        <f t="shared" si="13"/>
        <v>15</v>
      </c>
      <c r="AL164" s="17">
        <f t="shared" si="14"/>
        <v>1</v>
      </c>
      <c r="AM164" s="17">
        <f>VLOOKUP(AK164,Sheet1!$A$2:$B$25,2,FALSE)</f>
        <v>1</v>
      </c>
    </row>
    <row r="165" spans="1:39" s="17" customFormat="1" x14ac:dyDescent="0.25">
      <c r="A165" s="21">
        <v>44593.65625</v>
      </c>
      <c r="B165" s="17">
        <v>4.18</v>
      </c>
      <c r="C165" s="17">
        <v>0</v>
      </c>
      <c r="D165" s="17">
        <v>4.18</v>
      </c>
      <c r="E165" s="17">
        <v>0</v>
      </c>
      <c r="F165" s="17">
        <v>0</v>
      </c>
      <c r="G165" s="17">
        <v>0</v>
      </c>
      <c r="H165" s="17">
        <v>1.63</v>
      </c>
      <c r="I165" s="17">
        <v>0</v>
      </c>
      <c r="J165" s="17">
        <v>1.6</v>
      </c>
      <c r="K165" s="17">
        <v>0</v>
      </c>
      <c r="L165" s="17">
        <v>0</v>
      </c>
      <c r="M165" s="17">
        <v>0</v>
      </c>
      <c r="N165" s="17">
        <v>0</v>
      </c>
      <c r="O165" s="17">
        <v>0</v>
      </c>
      <c r="P165" s="17">
        <v>0</v>
      </c>
      <c r="Q165" s="17">
        <v>0</v>
      </c>
      <c r="R165" s="17">
        <v>0.14530000000000001</v>
      </c>
      <c r="S165" s="17">
        <v>0</v>
      </c>
      <c r="T165" s="17">
        <v>0</v>
      </c>
      <c r="U165" s="17">
        <v>1.79</v>
      </c>
      <c r="V165" s="17">
        <v>0</v>
      </c>
      <c r="W165" s="17">
        <v>1.17</v>
      </c>
      <c r="X165" s="17">
        <v>0</v>
      </c>
      <c r="Y165" s="17">
        <v>0</v>
      </c>
      <c r="Z165" s="17">
        <v>0</v>
      </c>
      <c r="AA165" s="17">
        <v>0</v>
      </c>
      <c r="AB165" s="17">
        <v>0</v>
      </c>
      <c r="AC165" s="17">
        <v>0</v>
      </c>
      <c r="AD165" s="17">
        <v>0</v>
      </c>
      <c r="AE165" s="17">
        <v>0</v>
      </c>
      <c r="AF165" s="17">
        <v>0</v>
      </c>
      <c r="AG165" s="17">
        <v>0</v>
      </c>
      <c r="AH165" s="17">
        <v>0</v>
      </c>
      <c r="AI165" s="17">
        <f t="shared" si="11"/>
        <v>2</v>
      </c>
      <c r="AJ165" s="17">
        <f t="shared" si="12"/>
        <v>1</v>
      </c>
      <c r="AK165" s="17">
        <f t="shared" si="13"/>
        <v>15</v>
      </c>
      <c r="AL165" s="17">
        <f t="shared" si="14"/>
        <v>1</v>
      </c>
      <c r="AM165" s="17">
        <f>VLOOKUP(AK165,Sheet1!$A$2:$B$25,2,FALSE)</f>
        <v>1</v>
      </c>
    </row>
    <row r="166" spans="1:39" s="17" customFormat="1" x14ac:dyDescent="0.25">
      <c r="A166" s="21">
        <v>44593.666666666664</v>
      </c>
      <c r="B166" s="17">
        <v>4.97</v>
      </c>
      <c r="C166" s="17">
        <v>0</v>
      </c>
      <c r="D166" s="17">
        <v>4.3499999999999996</v>
      </c>
      <c r="E166" s="17">
        <v>0</v>
      </c>
      <c r="F166" s="17">
        <v>0</v>
      </c>
      <c r="G166" s="17">
        <v>0</v>
      </c>
      <c r="H166" s="17">
        <v>1.61</v>
      </c>
      <c r="I166" s="17">
        <v>0</v>
      </c>
      <c r="J166" s="17">
        <v>1.57</v>
      </c>
      <c r="K166" s="17">
        <v>0</v>
      </c>
      <c r="L166" s="17">
        <v>0</v>
      </c>
      <c r="M166" s="17">
        <v>0</v>
      </c>
      <c r="N166" s="17">
        <v>0</v>
      </c>
      <c r="O166" s="17">
        <v>0</v>
      </c>
      <c r="P166" s="17">
        <v>0</v>
      </c>
      <c r="Q166" s="17">
        <v>0</v>
      </c>
      <c r="R166" s="17">
        <v>0.27789999999999998</v>
      </c>
      <c r="S166" s="17">
        <v>0</v>
      </c>
      <c r="T166" s="17">
        <v>0</v>
      </c>
      <c r="U166" s="17">
        <v>1.79</v>
      </c>
      <c r="V166" s="17">
        <v>0</v>
      </c>
      <c r="W166" s="17">
        <v>1.17</v>
      </c>
      <c r="X166" s="17">
        <v>0</v>
      </c>
      <c r="Y166" s="17">
        <v>0</v>
      </c>
      <c r="Z166" s="17">
        <v>0</v>
      </c>
      <c r="AA166" s="17">
        <v>0</v>
      </c>
      <c r="AB166" s="17">
        <v>0</v>
      </c>
      <c r="AC166" s="17">
        <v>0.61499999999999999</v>
      </c>
      <c r="AD166" s="17">
        <v>0</v>
      </c>
      <c r="AE166" s="17">
        <v>0</v>
      </c>
      <c r="AF166" s="17">
        <v>0</v>
      </c>
      <c r="AG166" s="17">
        <v>0</v>
      </c>
      <c r="AH166" s="17">
        <v>0</v>
      </c>
      <c r="AI166" s="17">
        <f t="shared" si="11"/>
        <v>2</v>
      </c>
      <c r="AJ166" s="17">
        <f t="shared" si="12"/>
        <v>1</v>
      </c>
      <c r="AK166" s="17">
        <f t="shared" si="13"/>
        <v>16</v>
      </c>
      <c r="AL166" s="17">
        <f t="shared" si="14"/>
        <v>1</v>
      </c>
      <c r="AM166" s="17">
        <f>VLOOKUP(AK166,Sheet1!$A$2:$B$25,2,FALSE)</f>
        <v>0</v>
      </c>
    </row>
    <row r="167" spans="1:39" s="17" customFormat="1" x14ac:dyDescent="0.25">
      <c r="A167" s="21">
        <v>44593.677083333336</v>
      </c>
      <c r="B167" s="17">
        <v>9.64</v>
      </c>
      <c r="C167" s="17">
        <v>0</v>
      </c>
      <c r="D167" s="17">
        <v>4.1399999999999997</v>
      </c>
      <c r="E167" s="17">
        <v>0</v>
      </c>
      <c r="F167" s="17">
        <v>0</v>
      </c>
      <c r="G167" s="17">
        <v>0</v>
      </c>
      <c r="H167" s="17">
        <v>1.48</v>
      </c>
      <c r="I167" s="17">
        <v>0</v>
      </c>
      <c r="J167" s="17">
        <v>1.61</v>
      </c>
      <c r="K167" s="17">
        <v>0</v>
      </c>
      <c r="L167" s="17">
        <v>0</v>
      </c>
      <c r="M167" s="17">
        <v>0</v>
      </c>
      <c r="N167" s="17">
        <v>0</v>
      </c>
      <c r="O167" s="17">
        <v>0</v>
      </c>
      <c r="P167" s="17">
        <v>0</v>
      </c>
      <c r="Q167" s="17">
        <v>0</v>
      </c>
      <c r="R167" s="17">
        <v>0.28420000000000001</v>
      </c>
      <c r="S167" s="17">
        <v>0</v>
      </c>
      <c r="T167" s="17">
        <v>0</v>
      </c>
      <c r="U167" s="17">
        <v>1.78</v>
      </c>
      <c r="V167" s="17">
        <v>0</v>
      </c>
      <c r="W167" s="17">
        <v>1.1499999999999999</v>
      </c>
      <c r="X167" s="17">
        <v>0</v>
      </c>
      <c r="Y167" s="17">
        <v>0</v>
      </c>
      <c r="Z167" s="17">
        <v>0</v>
      </c>
      <c r="AA167" s="17">
        <v>0</v>
      </c>
      <c r="AB167" s="17">
        <v>0</v>
      </c>
      <c r="AC167" s="17">
        <v>5.5</v>
      </c>
      <c r="AD167" s="17">
        <v>0</v>
      </c>
      <c r="AE167" s="17">
        <v>0</v>
      </c>
      <c r="AF167" s="17">
        <v>0</v>
      </c>
      <c r="AG167" s="17">
        <v>0</v>
      </c>
      <c r="AH167" s="17">
        <v>0</v>
      </c>
      <c r="AI167" s="17">
        <f t="shared" si="11"/>
        <v>2</v>
      </c>
      <c r="AJ167" s="17">
        <f t="shared" si="12"/>
        <v>1</v>
      </c>
      <c r="AK167" s="17">
        <f t="shared" si="13"/>
        <v>16</v>
      </c>
      <c r="AL167" s="17">
        <f t="shared" si="14"/>
        <v>1</v>
      </c>
      <c r="AM167" s="17">
        <f>VLOOKUP(AK167,Sheet1!$A$2:$B$25,2,FALSE)</f>
        <v>0</v>
      </c>
    </row>
    <row r="168" spans="1:39" s="17" customFormat="1" x14ac:dyDescent="0.25">
      <c r="A168" s="21">
        <v>44593.6875</v>
      </c>
      <c r="B168" s="17">
        <v>5.55</v>
      </c>
      <c r="C168" s="17">
        <v>0.2021</v>
      </c>
      <c r="D168" s="17">
        <v>4.07</v>
      </c>
      <c r="E168" s="17">
        <v>0</v>
      </c>
      <c r="F168" s="17">
        <v>0</v>
      </c>
      <c r="G168" s="17">
        <v>0</v>
      </c>
      <c r="H168" s="17">
        <v>1.49</v>
      </c>
      <c r="I168" s="17">
        <v>0</v>
      </c>
      <c r="J168" s="17">
        <v>1.59</v>
      </c>
      <c r="K168" s="17">
        <v>0</v>
      </c>
      <c r="L168" s="17">
        <v>0</v>
      </c>
      <c r="M168" s="17">
        <v>0</v>
      </c>
      <c r="N168" s="17">
        <v>0</v>
      </c>
      <c r="O168" s="17">
        <v>0</v>
      </c>
      <c r="P168" s="17">
        <v>0</v>
      </c>
      <c r="Q168" s="17">
        <v>0</v>
      </c>
      <c r="R168" s="17">
        <v>0.24</v>
      </c>
      <c r="S168" s="17">
        <v>0</v>
      </c>
      <c r="T168" s="17">
        <v>0</v>
      </c>
      <c r="U168" s="17">
        <v>1.76</v>
      </c>
      <c r="V168" s="17">
        <v>0</v>
      </c>
      <c r="W168" s="17">
        <v>1.1499999999999999</v>
      </c>
      <c r="X168" s="17">
        <v>0</v>
      </c>
      <c r="Y168" s="17">
        <v>0</v>
      </c>
      <c r="Z168" s="17">
        <v>0</v>
      </c>
      <c r="AA168" s="17">
        <v>0</v>
      </c>
      <c r="AB168" s="17">
        <v>0</v>
      </c>
      <c r="AC168" s="17">
        <v>1.28</v>
      </c>
      <c r="AD168" s="17">
        <v>0</v>
      </c>
      <c r="AE168" s="17">
        <v>0</v>
      </c>
      <c r="AF168" s="17">
        <v>0</v>
      </c>
      <c r="AG168" s="17">
        <v>0</v>
      </c>
      <c r="AH168" s="17">
        <v>0</v>
      </c>
      <c r="AI168" s="17">
        <f t="shared" si="11"/>
        <v>2</v>
      </c>
      <c r="AJ168" s="17">
        <f t="shared" si="12"/>
        <v>1</v>
      </c>
      <c r="AK168" s="17">
        <f t="shared" si="13"/>
        <v>16</v>
      </c>
      <c r="AL168" s="17">
        <f t="shared" si="14"/>
        <v>1</v>
      </c>
      <c r="AM168" s="17">
        <f>VLOOKUP(AK168,Sheet1!$A$2:$B$25,2,FALSE)</f>
        <v>0</v>
      </c>
    </row>
    <row r="169" spans="1:39" s="17" customFormat="1" x14ac:dyDescent="0.25">
      <c r="A169" s="21">
        <v>44593.697916666664</v>
      </c>
      <c r="B169" s="17">
        <v>4.12</v>
      </c>
      <c r="C169" s="17">
        <v>0</v>
      </c>
      <c r="D169" s="17">
        <v>4.12</v>
      </c>
      <c r="E169" s="17">
        <v>0</v>
      </c>
      <c r="F169" s="17">
        <v>0</v>
      </c>
      <c r="G169" s="17">
        <v>0</v>
      </c>
      <c r="H169" s="17">
        <v>1.47</v>
      </c>
      <c r="I169" s="17">
        <v>0</v>
      </c>
      <c r="J169" s="17">
        <v>1.63</v>
      </c>
      <c r="K169" s="17">
        <v>0</v>
      </c>
      <c r="L169" s="17">
        <v>0</v>
      </c>
      <c r="M169" s="17">
        <v>0</v>
      </c>
      <c r="N169" s="17">
        <v>0</v>
      </c>
      <c r="O169" s="17">
        <v>0</v>
      </c>
      <c r="P169" s="17">
        <v>0</v>
      </c>
      <c r="Q169" s="17">
        <v>0</v>
      </c>
      <c r="R169" s="17">
        <v>8.5300000000000001E-2</v>
      </c>
      <c r="S169" s="17">
        <v>0</v>
      </c>
      <c r="T169" s="17">
        <v>0</v>
      </c>
      <c r="U169" s="17">
        <v>1.75</v>
      </c>
      <c r="V169" s="17">
        <v>0</v>
      </c>
      <c r="W169" s="17">
        <v>1.1299999999999999</v>
      </c>
      <c r="X169" s="17">
        <v>0</v>
      </c>
      <c r="Y169" s="17">
        <v>0</v>
      </c>
      <c r="Z169" s="17">
        <v>0</v>
      </c>
      <c r="AA169" s="17">
        <v>0</v>
      </c>
      <c r="AB169" s="17">
        <v>0</v>
      </c>
      <c r="AC169" s="17">
        <v>0</v>
      </c>
      <c r="AD169" s="17">
        <v>0</v>
      </c>
      <c r="AE169" s="17">
        <v>0</v>
      </c>
      <c r="AF169" s="17">
        <v>0</v>
      </c>
      <c r="AG169" s="17">
        <v>0</v>
      </c>
      <c r="AH169" s="17">
        <v>0</v>
      </c>
      <c r="AI169" s="17">
        <f t="shared" si="11"/>
        <v>2</v>
      </c>
      <c r="AJ169" s="17">
        <f t="shared" si="12"/>
        <v>1</v>
      </c>
      <c r="AK169" s="17">
        <f t="shared" si="13"/>
        <v>16</v>
      </c>
      <c r="AL169" s="17">
        <f t="shared" si="14"/>
        <v>1</v>
      </c>
      <c r="AM169" s="17">
        <f>VLOOKUP(AK169,Sheet1!$A$2:$B$25,2,FALSE)</f>
        <v>0</v>
      </c>
    </row>
    <row r="170" spans="1:39" s="17" customFormat="1" x14ac:dyDescent="0.25">
      <c r="A170" s="21">
        <v>44593.708333333336</v>
      </c>
      <c r="B170" s="17">
        <v>4.2</v>
      </c>
      <c r="C170" s="17">
        <v>0</v>
      </c>
      <c r="D170" s="17">
        <v>4.2</v>
      </c>
      <c r="E170" s="17">
        <v>0</v>
      </c>
      <c r="F170" s="17">
        <v>0</v>
      </c>
      <c r="G170" s="17">
        <v>0</v>
      </c>
      <c r="H170" s="17">
        <v>1.51</v>
      </c>
      <c r="I170" s="17">
        <v>0</v>
      </c>
      <c r="J170" s="17">
        <v>1.58</v>
      </c>
      <c r="K170" s="17">
        <v>0</v>
      </c>
      <c r="L170" s="17">
        <v>0</v>
      </c>
      <c r="M170" s="17">
        <v>0</v>
      </c>
      <c r="N170" s="17">
        <v>0</v>
      </c>
      <c r="O170" s="17">
        <v>0</v>
      </c>
      <c r="P170" s="17">
        <v>0</v>
      </c>
      <c r="Q170" s="17">
        <v>0</v>
      </c>
      <c r="R170" s="17">
        <v>3.7900000000000003E-2</v>
      </c>
      <c r="S170" s="17">
        <v>0</v>
      </c>
      <c r="T170" s="17">
        <v>0</v>
      </c>
      <c r="U170" s="17">
        <v>1.79</v>
      </c>
      <c r="V170" s="17">
        <v>0</v>
      </c>
      <c r="W170" s="17">
        <v>1.1599999999999999</v>
      </c>
      <c r="X170" s="17">
        <v>0</v>
      </c>
      <c r="Y170" s="17">
        <v>0</v>
      </c>
      <c r="Z170" s="17">
        <v>0</v>
      </c>
      <c r="AA170" s="17">
        <v>0</v>
      </c>
      <c r="AB170" s="17">
        <v>0</v>
      </c>
      <c r="AC170" s="17">
        <v>0</v>
      </c>
      <c r="AD170" s="17">
        <v>0</v>
      </c>
      <c r="AE170" s="17">
        <v>0</v>
      </c>
      <c r="AF170" s="17">
        <v>0</v>
      </c>
      <c r="AG170" s="17">
        <v>0</v>
      </c>
      <c r="AH170" s="17">
        <v>0</v>
      </c>
      <c r="AI170" s="17">
        <f t="shared" si="11"/>
        <v>2</v>
      </c>
      <c r="AJ170" s="17">
        <f t="shared" si="12"/>
        <v>1</v>
      </c>
      <c r="AK170" s="17">
        <f t="shared" si="13"/>
        <v>17</v>
      </c>
      <c r="AL170" s="17">
        <f t="shared" si="14"/>
        <v>1</v>
      </c>
      <c r="AM170" s="17">
        <f>VLOOKUP(AK170,Sheet1!$A$2:$B$25,2,FALSE)</f>
        <v>0</v>
      </c>
    </row>
    <row r="171" spans="1:39" s="17" customFormat="1" x14ac:dyDescent="0.25">
      <c r="A171" s="21">
        <v>44593.71875</v>
      </c>
      <c r="B171" s="17">
        <v>4.37</v>
      </c>
      <c r="C171" s="17">
        <v>0.21870000000000001</v>
      </c>
      <c r="D171" s="17">
        <v>4.16</v>
      </c>
      <c r="E171" s="17">
        <v>0</v>
      </c>
      <c r="F171" s="17">
        <v>0</v>
      </c>
      <c r="G171" s="17">
        <v>0</v>
      </c>
      <c r="H171" s="17">
        <v>1.62</v>
      </c>
      <c r="I171" s="17">
        <v>0</v>
      </c>
      <c r="J171" s="17">
        <v>1.33</v>
      </c>
      <c r="K171" s="17">
        <v>0</v>
      </c>
      <c r="L171" s="17">
        <v>0</v>
      </c>
      <c r="M171" s="17">
        <v>0</v>
      </c>
      <c r="N171" s="17">
        <v>0</v>
      </c>
      <c r="O171" s="17">
        <v>0</v>
      </c>
      <c r="P171" s="17">
        <v>0</v>
      </c>
      <c r="Q171" s="17">
        <v>0</v>
      </c>
      <c r="R171" s="17">
        <v>0.22420000000000001</v>
      </c>
      <c r="S171" s="17">
        <v>0</v>
      </c>
      <c r="T171" s="17">
        <v>0</v>
      </c>
      <c r="U171" s="17">
        <v>1.78</v>
      </c>
      <c r="V171" s="17">
        <v>0</v>
      </c>
      <c r="W171" s="17">
        <v>1.17</v>
      </c>
      <c r="X171" s="17">
        <v>0</v>
      </c>
      <c r="Y171" s="17">
        <v>0</v>
      </c>
      <c r="Z171" s="17">
        <v>0</v>
      </c>
      <c r="AA171" s="17">
        <v>0</v>
      </c>
      <c r="AB171" s="17">
        <v>0</v>
      </c>
      <c r="AC171" s="17">
        <v>0</v>
      </c>
      <c r="AD171" s="17">
        <v>0</v>
      </c>
      <c r="AE171" s="17">
        <v>0</v>
      </c>
      <c r="AF171" s="17">
        <v>0</v>
      </c>
      <c r="AG171" s="17">
        <v>0</v>
      </c>
      <c r="AH171" s="17">
        <v>0</v>
      </c>
      <c r="AI171" s="17">
        <f t="shared" si="11"/>
        <v>2</v>
      </c>
      <c r="AJ171" s="17">
        <f t="shared" si="12"/>
        <v>1</v>
      </c>
      <c r="AK171" s="17">
        <f t="shared" si="13"/>
        <v>17</v>
      </c>
      <c r="AL171" s="17">
        <f t="shared" si="14"/>
        <v>1</v>
      </c>
      <c r="AM171" s="17">
        <f>VLOOKUP(AK171,Sheet1!$A$2:$B$25,2,FALSE)</f>
        <v>0</v>
      </c>
    </row>
    <row r="172" spans="1:39" s="17" customFormat="1" x14ac:dyDescent="0.25">
      <c r="A172" s="21">
        <v>44593.729166666664</v>
      </c>
      <c r="B172" s="17">
        <v>4.1399999999999997</v>
      </c>
      <c r="C172" s="17">
        <v>0.2021</v>
      </c>
      <c r="D172" s="17">
        <v>3.94</v>
      </c>
      <c r="E172" s="17">
        <v>0</v>
      </c>
      <c r="F172" s="17">
        <v>0</v>
      </c>
      <c r="G172" s="17">
        <v>0</v>
      </c>
      <c r="H172" s="17">
        <v>1.8</v>
      </c>
      <c r="I172" s="17">
        <v>0</v>
      </c>
      <c r="J172" s="17">
        <v>1.6</v>
      </c>
      <c r="K172" s="17">
        <v>0</v>
      </c>
      <c r="L172" s="17">
        <v>0</v>
      </c>
      <c r="M172" s="17">
        <v>0</v>
      </c>
      <c r="N172" s="17">
        <v>0</v>
      </c>
      <c r="O172" s="17">
        <v>0</v>
      </c>
      <c r="P172" s="17">
        <v>0</v>
      </c>
      <c r="Q172" s="17">
        <v>0</v>
      </c>
      <c r="R172" s="17">
        <v>9.4700000000000006E-2</v>
      </c>
      <c r="S172" s="17">
        <v>0</v>
      </c>
      <c r="T172" s="17">
        <v>0</v>
      </c>
      <c r="U172" s="17">
        <v>1.77</v>
      </c>
      <c r="V172" s="17">
        <v>0</v>
      </c>
      <c r="W172" s="17">
        <v>1.1399999999999999</v>
      </c>
      <c r="X172" s="17">
        <v>0</v>
      </c>
      <c r="Y172" s="17">
        <v>0</v>
      </c>
      <c r="Z172" s="17">
        <v>0</v>
      </c>
      <c r="AA172" s="17">
        <v>0</v>
      </c>
      <c r="AB172" s="17">
        <v>0</v>
      </c>
      <c r="AC172" s="17">
        <v>0</v>
      </c>
      <c r="AD172" s="17">
        <v>0</v>
      </c>
      <c r="AE172" s="17">
        <v>0</v>
      </c>
      <c r="AF172" s="17">
        <v>0</v>
      </c>
      <c r="AG172" s="17">
        <v>0</v>
      </c>
      <c r="AH172" s="17">
        <v>0</v>
      </c>
      <c r="AI172" s="17">
        <f t="shared" si="11"/>
        <v>2</v>
      </c>
      <c r="AJ172" s="17">
        <f t="shared" si="12"/>
        <v>1</v>
      </c>
      <c r="AK172" s="17">
        <f t="shared" si="13"/>
        <v>17</v>
      </c>
      <c r="AL172" s="17">
        <f t="shared" si="14"/>
        <v>1</v>
      </c>
      <c r="AM172" s="17">
        <f>VLOOKUP(AK172,Sheet1!$A$2:$B$25,2,FALSE)</f>
        <v>0</v>
      </c>
    </row>
    <row r="173" spans="1:39" s="17" customFormat="1" x14ac:dyDescent="0.25">
      <c r="A173" s="21">
        <v>44593.739583333336</v>
      </c>
      <c r="B173" s="17">
        <v>4.1500000000000004</v>
      </c>
      <c r="C173" s="17">
        <v>0</v>
      </c>
      <c r="D173" s="17">
        <v>4.1500000000000004</v>
      </c>
      <c r="E173" s="17">
        <v>0</v>
      </c>
      <c r="F173" s="17">
        <v>0</v>
      </c>
      <c r="G173" s="17">
        <v>0</v>
      </c>
      <c r="H173" s="17">
        <v>1.84</v>
      </c>
      <c r="I173" s="17">
        <v>0</v>
      </c>
      <c r="J173" s="17">
        <v>2.14</v>
      </c>
      <c r="K173" s="17">
        <v>0</v>
      </c>
      <c r="L173" s="17">
        <v>0</v>
      </c>
      <c r="M173" s="17">
        <v>0</v>
      </c>
      <c r="N173" s="17">
        <v>0</v>
      </c>
      <c r="O173" s="17">
        <v>0</v>
      </c>
      <c r="P173" s="17">
        <v>0</v>
      </c>
      <c r="Q173" s="17">
        <v>0</v>
      </c>
      <c r="R173" s="17">
        <v>8.8400000000000006E-2</v>
      </c>
      <c r="S173" s="17">
        <v>0</v>
      </c>
      <c r="T173" s="17">
        <v>0</v>
      </c>
      <c r="U173" s="17">
        <v>1.77</v>
      </c>
      <c r="V173" s="17">
        <v>0</v>
      </c>
      <c r="W173" s="17">
        <v>1.1599999999999999</v>
      </c>
      <c r="X173" s="17">
        <v>0</v>
      </c>
      <c r="Y173" s="17">
        <v>0</v>
      </c>
      <c r="Z173" s="17">
        <v>0</v>
      </c>
      <c r="AA173" s="17">
        <v>0</v>
      </c>
      <c r="AB173" s="17">
        <v>0</v>
      </c>
      <c r="AC173" s="17">
        <v>0</v>
      </c>
      <c r="AD173" s="17">
        <v>0</v>
      </c>
      <c r="AE173" s="17">
        <v>0</v>
      </c>
      <c r="AF173" s="17">
        <v>0</v>
      </c>
      <c r="AG173" s="17">
        <v>0</v>
      </c>
      <c r="AH173" s="17">
        <v>0</v>
      </c>
      <c r="AI173" s="17">
        <f t="shared" si="11"/>
        <v>2</v>
      </c>
      <c r="AJ173" s="17">
        <f t="shared" si="12"/>
        <v>1</v>
      </c>
      <c r="AK173" s="17">
        <f t="shared" si="13"/>
        <v>17</v>
      </c>
      <c r="AL173" s="17">
        <f t="shared" si="14"/>
        <v>1</v>
      </c>
      <c r="AM173" s="17">
        <f>VLOOKUP(AK173,Sheet1!$A$2:$B$25,2,FALSE)</f>
        <v>0</v>
      </c>
    </row>
    <row r="174" spans="1:39" s="17" customFormat="1" x14ac:dyDescent="0.25">
      <c r="A174" s="21">
        <v>44593.75</v>
      </c>
      <c r="B174" s="17">
        <v>4.71</v>
      </c>
      <c r="C174" s="17">
        <v>0.48870000000000002</v>
      </c>
      <c r="D174" s="17">
        <v>4.22</v>
      </c>
      <c r="E174" s="17">
        <v>0</v>
      </c>
      <c r="F174" s="17">
        <v>0</v>
      </c>
      <c r="G174" s="17">
        <v>0</v>
      </c>
      <c r="H174" s="17">
        <v>1.88</v>
      </c>
      <c r="I174" s="17">
        <v>0</v>
      </c>
      <c r="J174" s="17">
        <v>2.15</v>
      </c>
      <c r="K174" s="17">
        <v>0</v>
      </c>
      <c r="L174" s="17">
        <v>0</v>
      </c>
      <c r="M174" s="17">
        <v>0</v>
      </c>
      <c r="N174" s="17">
        <v>0</v>
      </c>
      <c r="O174" s="17">
        <v>0</v>
      </c>
      <c r="P174" s="17">
        <v>0</v>
      </c>
      <c r="Q174" s="17">
        <v>0</v>
      </c>
      <c r="R174" s="17">
        <v>8.8400000000000006E-2</v>
      </c>
      <c r="S174" s="17">
        <v>0</v>
      </c>
      <c r="T174" s="17">
        <v>0</v>
      </c>
      <c r="U174" s="17">
        <v>1.78</v>
      </c>
      <c r="V174" s="17">
        <v>0</v>
      </c>
      <c r="W174" s="17">
        <v>1.1599999999999999</v>
      </c>
      <c r="X174" s="17">
        <v>0</v>
      </c>
      <c r="Y174" s="17">
        <v>0</v>
      </c>
      <c r="Z174" s="17">
        <v>0</v>
      </c>
      <c r="AA174" s="17">
        <v>0</v>
      </c>
      <c r="AB174" s="17">
        <v>0</v>
      </c>
      <c r="AC174" s="17">
        <v>0</v>
      </c>
      <c r="AD174" s="17">
        <v>0</v>
      </c>
      <c r="AE174" s="17">
        <v>0</v>
      </c>
      <c r="AF174" s="17">
        <v>0</v>
      </c>
      <c r="AG174" s="17">
        <v>0</v>
      </c>
      <c r="AH174" s="17">
        <v>0</v>
      </c>
      <c r="AI174" s="17">
        <f t="shared" si="11"/>
        <v>2</v>
      </c>
      <c r="AJ174" s="17">
        <f t="shared" si="12"/>
        <v>1</v>
      </c>
      <c r="AK174" s="17">
        <f t="shared" si="13"/>
        <v>18</v>
      </c>
      <c r="AL174" s="17">
        <f t="shared" si="14"/>
        <v>1</v>
      </c>
      <c r="AM174" s="17">
        <f>VLOOKUP(AK174,Sheet1!$A$2:$B$25,2,FALSE)</f>
        <v>0</v>
      </c>
    </row>
    <row r="175" spans="1:39" s="17" customFormat="1" x14ac:dyDescent="0.25">
      <c r="A175" s="21">
        <v>44593.760416666664</v>
      </c>
      <c r="B175" s="17">
        <v>4.2300000000000004</v>
      </c>
      <c r="C175" s="17">
        <v>0</v>
      </c>
      <c r="D175" s="17">
        <v>4.2300000000000004</v>
      </c>
      <c r="E175" s="17">
        <v>0</v>
      </c>
      <c r="F175" s="17">
        <v>0</v>
      </c>
      <c r="G175" s="17">
        <v>0</v>
      </c>
      <c r="H175" s="17">
        <v>2.0299999999999998</v>
      </c>
      <c r="I175" s="17">
        <v>0</v>
      </c>
      <c r="J175" s="17">
        <v>1.71</v>
      </c>
      <c r="K175" s="17">
        <v>0</v>
      </c>
      <c r="L175" s="17">
        <v>0</v>
      </c>
      <c r="M175" s="17">
        <v>0</v>
      </c>
      <c r="N175" s="17">
        <v>0</v>
      </c>
      <c r="O175" s="17">
        <v>0</v>
      </c>
      <c r="P175" s="17">
        <v>0</v>
      </c>
      <c r="Q175" s="17">
        <v>0</v>
      </c>
      <c r="R175" s="17">
        <v>0.18390000000000001</v>
      </c>
      <c r="S175" s="17">
        <v>0</v>
      </c>
      <c r="T175" s="17">
        <v>0</v>
      </c>
      <c r="U175" s="17">
        <v>1.77</v>
      </c>
      <c r="V175" s="17">
        <v>0</v>
      </c>
      <c r="W175" s="17">
        <v>1.1499999999999999</v>
      </c>
      <c r="X175" s="17">
        <v>0</v>
      </c>
      <c r="Y175" s="17">
        <v>0</v>
      </c>
      <c r="Z175" s="17">
        <v>0</v>
      </c>
      <c r="AA175" s="17">
        <v>0</v>
      </c>
      <c r="AB175" s="17">
        <v>0</v>
      </c>
      <c r="AC175" s="17">
        <v>0</v>
      </c>
      <c r="AD175" s="17">
        <v>0</v>
      </c>
      <c r="AE175" s="17">
        <v>0</v>
      </c>
      <c r="AF175" s="17">
        <v>0</v>
      </c>
      <c r="AG175" s="17">
        <v>0</v>
      </c>
      <c r="AH175" s="17">
        <v>0</v>
      </c>
      <c r="AI175" s="17">
        <f t="shared" si="11"/>
        <v>2</v>
      </c>
      <c r="AJ175" s="17">
        <f t="shared" si="12"/>
        <v>1</v>
      </c>
      <c r="AK175" s="17">
        <f t="shared" si="13"/>
        <v>18</v>
      </c>
      <c r="AL175" s="17">
        <f t="shared" si="14"/>
        <v>1</v>
      </c>
      <c r="AM175" s="17">
        <f>VLOOKUP(AK175,Sheet1!$A$2:$B$25,2,FALSE)</f>
        <v>0</v>
      </c>
    </row>
    <row r="176" spans="1:39" s="17" customFormat="1" x14ac:dyDescent="0.25">
      <c r="A176" s="21">
        <v>44593.770833333336</v>
      </c>
      <c r="B176" s="17">
        <v>4.1100000000000003</v>
      </c>
      <c r="C176" s="17">
        <v>0</v>
      </c>
      <c r="D176" s="17">
        <v>4.1100000000000003</v>
      </c>
      <c r="E176" s="17">
        <v>0</v>
      </c>
      <c r="F176" s="17">
        <v>0</v>
      </c>
      <c r="G176" s="17">
        <v>0</v>
      </c>
      <c r="H176" s="17">
        <v>1.91</v>
      </c>
      <c r="I176" s="17">
        <v>0</v>
      </c>
      <c r="J176" s="17">
        <v>2.04</v>
      </c>
      <c r="K176" s="17">
        <v>0</v>
      </c>
      <c r="L176" s="17">
        <v>0</v>
      </c>
      <c r="M176" s="17">
        <v>0</v>
      </c>
      <c r="N176" s="17">
        <v>0</v>
      </c>
      <c r="O176" s="17">
        <v>0</v>
      </c>
      <c r="P176" s="17">
        <v>0</v>
      </c>
      <c r="Q176" s="17">
        <v>0</v>
      </c>
      <c r="R176" s="17">
        <v>8.5300000000000001E-2</v>
      </c>
      <c r="S176" s="17">
        <v>0</v>
      </c>
      <c r="T176" s="17">
        <v>0</v>
      </c>
      <c r="U176" s="17">
        <v>1.76</v>
      </c>
      <c r="V176" s="17">
        <v>0</v>
      </c>
      <c r="W176" s="17">
        <v>1.1499999999999999</v>
      </c>
      <c r="X176" s="17">
        <v>0</v>
      </c>
      <c r="Y176" s="17">
        <v>0</v>
      </c>
      <c r="Z176" s="17">
        <v>0</v>
      </c>
      <c r="AA176" s="17">
        <v>0</v>
      </c>
      <c r="AB176" s="17">
        <v>0</v>
      </c>
      <c r="AC176" s="17">
        <v>0</v>
      </c>
      <c r="AD176" s="17">
        <v>0</v>
      </c>
      <c r="AE176" s="17">
        <v>0</v>
      </c>
      <c r="AF176" s="17">
        <v>0</v>
      </c>
      <c r="AG176" s="17">
        <v>0</v>
      </c>
      <c r="AH176" s="17">
        <v>0</v>
      </c>
      <c r="AI176" s="17">
        <f t="shared" si="11"/>
        <v>2</v>
      </c>
      <c r="AJ176" s="17">
        <f t="shared" si="12"/>
        <v>1</v>
      </c>
      <c r="AK176" s="17">
        <f t="shared" si="13"/>
        <v>18</v>
      </c>
      <c r="AL176" s="17">
        <f t="shared" si="14"/>
        <v>1</v>
      </c>
      <c r="AM176" s="17">
        <f>VLOOKUP(AK176,Sheet1!$A$2:$B$25,2,FALSE)</f>
        <v>0</v>
      </c>
    </row>
    <row r="177" spans="1:39" s="17" customFormat="1" x14ac:dyDescent="0.25">
      <c r="A177" s="21">
        <v>44593.78125</v>
      </c>
      <c r="B177" s="17">
        <v>4.01</v>
      </c>
      <c r="C177" s="17">
        <v>0</v>
      </c>
      <c r="D177" s="17">
        <v>4.01</v>
      </c>
      <c r="E177" s="17">
        <v>0</v>
      </c>
      <c r="F177" s="17">
        <v>0</v>
      </c>
      <c r="G177" s="17">
        <v>0</v>
      </c>
      <c r="H177" s="17">
        <v>1.88</v>
      </c>
      <c r="I177" s="17">
        <v>0</v>
      </c>
      <c r="J177" s="17">
        <v>2.13</v>
      </c>
      <c r="K177" s="17">
        <v>0</v>
      </c>
      <c r="L177" s="17">
        <v>0</v>
      </c>
      <c r="M177" s="17">
        <v>0</v>
      </c>
      <c r="N177" s="17">
        <v>0</v>
      </c>
      <c r="O177" s="17">
        <v>0</v>
      </c>
      <c r="P177" s="17">
        <v>0</v>
      </c>
      <c r="Q177" s="17">
        <v>0</v>
      </c>
      <c r="R177" s="17">
        <v>8.8400000000000006E-2</v>
      </c>
      <c r="S177" s="17">
        <v>0</v>
      </c>
      <c r="T177" s="17">
        <v>0</v>
      </c>
      <c r="U177" s="17">
        <v>1.73</v>
      </c>
      <c r="V177" s="17">
        <v>0</v>
      </c>
      <c r="W177" s="17">
        <v>1.1299999999999999</v>
      </c>
      <c r="X177" s="17">
        <v>0</v>
      </c>
      <c r="Y177" s="17">
        <v>0</v>
      </c>
      <c r="Z177" s="17">
        <v>0</v>
      </c>
      <c r="AA177" s="17">
        <v>0</v>
      </c>
      <c r="AB177" s="17">
        <v>0</v>
      </c>
      <c r="AC177" s="17">
        <v>0</v>
      </c>
      <c r="AD177" s="17">
        <v>0</v>
      </c>
      <c r="AE177" s="17">
        <v>0</v>
      </c>
      <c r="AF177" s="17">
        <v>0</v>
      </c>
      <c r="AG177" s="17">
        <v>0</v>
      </c>
      <c r="AH177" s="17">
        <v>0</v>
      </c>
      <c r="AI177" s="17">
        <f t="shared" si="11"/>
        <v>2</v>
      </c>
      <c r="AJ177" s="17">
        <f t="shared" si="12"/>
        <v>1</v>
      </c>
      <c r="AK177" s="17">
        <f t="shared" si="13"/>
        <v>18</v>
      </c>
      <c r="AL177" s="17">
        <f t="shared" si="14"/>
        <v>1</v>
      </c>
      <c r="AM177" s="17">
        <f>VLOOKUP(AK177,Sheet1!$A$2:$B$25,2,FALSE)</f>
        <v>0</v>
      </c>
    </row>
    <row r="178" spans="1:39" s="17" customFormat="1" x14ac:dyDescent="0.25">
      <c r="A178" s="21">
        <v>44593.791666666664</v>
      </c>
      <c r="B178" s="17">
        <v>4.04</v>
      </c>
      <c r="C178" s="17">
        <v>0</v>
      </c>
      <c r="D178" s="17">
        <v>4.04</v>
      </c>
      <c r="E178" s="17">
        <v>0</v>
      </c>
      <c r="F178" s="17">
        <v>0</v>
      </c>
      <c r="G178" s="17">
        <v>0</v>
      </c>
      <c r="H178" s="17">
        <v>1.96</v>
      </c>
      <c r="I178" s="17">
        <v>0</v>
      </c>
      <c r="J178" s="17">
        <v>2.23</v>
      </c>
      <c r="K178" s="17">
        <v>0</v>
      </c>
      <c r="L178" s="17">
        <v>0</v>
      </c>
      <c r="M178" s="17">
        <v>0</v>
      </c>
      <c r="N178" s="17">
        <v>0</v>
      </c>
      <c r="O178" s="17">
        <v>0</v>
      </c>
      <c r="P178" s="17">
        <v>0</v>
      </c>
      <c r="Q178" s="17">
        <v>0</v>
      </c>
      <c r="R178" s="17">
        <v>8.5300000000000001E-2</v>
      </c>
      <c r="S178" s="17">
        <v>0</v>
      </c>
      <c r="T178" s="17">
        <v>0</v>
      </c>
      <c r="U178" s="17">
        <v>1.75</v>
      </c>
      <c r="V178" s="17">
        <v>0</v>
      </c>
      <c r="W178" s="17">
        <v>1.1299999999999999</v>
      </c>
      <c r="X178" s="17">
        <v>0</v>
      </c>
      <c r="Y178" s="17">
        <v>0</v>
      </c>
      <c r="Z178" s="17">
        <v>0</v>
      </c>
      <c r="AA178" s="17">
        <v>0</v>
      </c>
      <c r="AB178" s="17">
        <v>0</v>
      </c>
      <c r="AC178" s="17">
        <v>0</v>
      </c>
      <c r="AD178" s="17">
        <v>0</v>
      </c>
      <c r="AE178" s="17">
        <v>0</v>
      </c>
      <c r="AF178" s="17">
        <v>0</v>
      </c>
      <c r="AG178" s="17">
        <v>0</v>
      </c>
      <c r="AH178" s="17">
        <v>0</v>
      </c>
      <c r="AI178" s="17">
        <f t="shared" si="11"/>
        <v>2</v>
      </c>
      <c r="AJ178" s="17">
        <f t="shared" si="12"/>
        <v>1</v>
      </c>
      <c r="AK178" s="17">
        <f t="shared" si="13"/>
        <v>19</v>
      </c>
      <c r="AL178" s="17">
        <f t="shared" si="14"/>
        <v>1</v>
      </c>
      <c r="AM178" s="17">
        <f>VLOOKUP(AK178,Sheet1!$A$2:$B$25,2,FALSE)</f>
        <v>0</v>
      </c>
    </row>
    <row r="179" spans="1:39" s="17" customFormat="1" x14ac:dyDescent="0.25">
      <c r="A179" s="21">
        <v>44593.802083333336</v>
      </c>
      <c r="B179" s="17">
        <v>3.97</v>
      </c>
      <c r="C179" s="17">
        <v>0</v>
      </c>
      <c r="D179" s="17">
        <v>3.97</v>
      </c>
      <c r="E179" s="17">
        <v>0</v>
      </c>
      <c r="F179" s="17">
        <v>0</v>
      </c>
      <c r="G179" s="17">
        <v>0</v>
      </c>
      <c r="H179" s="17">
        <v>1.64</v>
      </c>
      <c r="I179" s="17">
        <v>0</v>
      </c>
      <c r="J179" s="17">
        <v>2.33</v>
      </c>
      <c r="K179" s="17">
        <v>0</v>
      </c>
      <c r="L179" s="17">
        <v>0</v>
      </c>
      <c r="M179" s="17">
        <v>0</v>
      </c>
      <c r="N179" s="17">
        <v>0</v>
      </c>
      <c r="O179" s="17">
        <v>0</v>
      </c>
      <c r="P179" s="17">
        <v>0</v>
      </c>
      <c r="Q179" s="17">
        <v>0</v>
      </c>
      <c r="R179" s="17">
        <v>7.8899999999999998E-2</v>
      </c>
      <c r="S179" s="17">
        <v>0</v>
      </c>
      <c r="T179" s="17">
        <v>0</v>
      </c>
      <c r="U179" s="17">
        <v>1.74</v>
      </c>
      <c r="V179" s="17">
        <v>0</v>
      </c>
      <c r="W179" s="17">
        <v>1.1399999999999999</v>
      </c>
      <c r="X179" s="17">
        <v>0</v>
      </c>
      <c r="Y179" s="17">
        <v>0</v>
      </c>
      <c r="Z179" s="17">
        <v>0</v>
      </c>
      <c r="AA179" s="17">
        <v>0</v>
      </c>
      <c r="AB179" s="17">
        <v>0</v>
      </c>
      <c r="AC179" s="17">
        <v>0</v>
      </c>
      <c r="AD179" s="17">
        <v>0</v>
      </c>
      <c r="AE179" s="17">
        <v>0</v>
      </c>
      <c r="AF179" s="17">
        <v>0</v>
      </c>
      <c r="AG179" s="17">
        <v>0</v>
      </c>
      <c r="AH179" s="17">
        <v>0</v>
      </c>
      <c r="AI179" s="17">
        <f t="shared" si="11"/>
        <v>2</v>
      </c>
      <c r="AJ179" s="17">
        <f t="shared" si="12"/>
        <v>1</v>
      </c>
      <c r="AK179" s="17">
        <f t="shared" si="13"/>
        <v>19</v>
      </c>
      <c r="AL179" s="17">
        <f t="shared" si="14"/>
        <v>1</v>
      </c>
      <c r="AM179" s="17">
        <f>VLOOKUP(AK179,Sheet1!$A$2:$B$25,2,FALSE)</f>
        <v>0</v>
      </c>
    </row>
    <row r="180" spans="1:39" s="17" customFormat="1" x14ac:dyDescent="0.25">
      <c r="A180" s="21">
        <v>44593.8125</v>
      </c>
      <c r="B180" s="17">
        <v>4.1100000000000003</v>
      </c>
      <c r="C180" s="17">
        <v>0</v>
      </c>
      <c r="D180" s="17">
        <v>4.1100000000000003</v>
      </c>
      <c r="E180" s="17">
        <v>0</v>
      </c>
      <c r="F180" s="17">
        <v>0</v>
      </c>
      <c r="G180" s="17">
        <v>0</v>
      </c>
      <c r="H180" s="17">
        <v>1.97</v>
      </c>
      <c r="I180" s="17">
        <v>0</v>
      </c>
      <c r="J180" s="17">
        <v>2.0699999999999998</v>
      </c>
      <c r="K180" s="17">
        <v>0</v>
      </c>
      <c r="L180" s="17">
        <v>0</v>
      </c>
      <c r="M180" s="17">
        <v>0</v>
      </c>
      <c r="N180" s="17">
        <v>0</v>
      </c>
      <c r="O180" s="17">
        <v>0</v>
      </c>
      <c r="P180" s="17">
        <v>0</v>
      </c>
      <c r="Q180" s="17">
        <v>0</v>
      </c>
      <c r="R180" s="17">
        <v>0.17530000000000001</v>
      </c>
      <c r="S180" s="17">
        <v>0</v>
      </c>
      <c r="T180" s="17">
        <v>0</v>
      </c>
      <c r="U180" s="17">
        <v>1.73</v>
      </c>
      <c r="V180" s="17">
        <v>0</v>
      </c>
      <c r="W180" s="17">
        <v>1.1299999999999999</v>
      </c>
      <c r="X180" s="17">
        <v>0</v>
      </c>
      <c r="Y180" s="17">
        <v>0</v>
      </c>
      <c r="Z180" s="17">
        <v>0</v>
      </c>
      <c r="AA180" s="17">
        <v>0</v>
      </c>
      <c r="AB180" s="17">
        <v>0</v>
      </c>
      <c r="AC180" s="17">
        <v>0</v>
      </c>
      <c r="AD180" s="17">
        <v>0</v>
      </c>
      <c r="AE180" s="17">
        <v>0</v>
      </c>
      <c r="AF180" s="17">
        <v>0</v>
      </c>
      <c r="AG180" s="17">
        <v>0</v>
      </c>
      <c r="AH180" s="17">
        <v>0</v>
      </c>
      <c r="AI180" s="17">
        <f t="shared" si="11"/>
        <v>2</v>
      </c>
      <c r="AJ180" s="17">
        <f t="shared" si="12"/>
        <v>1</v>
      </c>
      <c r="AK180" s="17">
        <f t="shared" si="13"/>
        <v>19</v>
      </c>
      <c r="AL180" s="17">
        <f t="shared" si="14"/>
        <v>1</v>
      </c>
      <c r="AM180" s="17">
        <f>VLOOKUP(AK180,Sheet1!$A$2:$B$25,2,FALSE)</f>
        <v>0</v>
      </c>
    </row>
    <row r="181" spans="1:39" s="17" customFormat="1" x14ac:dyDescent="0.25">
      <c r="A181" s="21">
        <v>44593.822916666664</v>
      </c>
      <c r="B181" s="17">
        <v>4.0999999999999996</v>
      </c>
      <c r="C181" s="17">
        <v>0</v>
      </c>
      <c r="D181" s="17">
        <v>4.0999999999999996</v>
      </c>
      <c r="E181" s="17">
        <v>0</v>
      </c>
      <c r="F181" s="17">
        <v>0</v>
      </c>
      <c r="G181" s="17">
        <v>0</v>
      </c>
      <c r="H181" s="17">
        <v>1.91</v>
      </c>
      <c r="I181" s="17">
        <v>0</v>
      </c>
      <c r="J181" s="17">
        <v>2.29</v>
      </c>
      <c r="K181" s="17">
        <v>0</v>
      </c>
      <c r="L181" s="17">
        <v>0</v>
      </c>
      <c r="M181" s="17">
        <v>0</v>
      </c>
      <c r="N181" s="17">
        <v>0</v>
      </c>
      <c r="O181" s="17">
        <v>0</v>
      </c>
      <c r="P181" s="17">
        <v>0</v>
      </c>
      <c r="Q181" s="17">
        <v>0</v>
      </c>
      <c r="R181" s="17">
        <v>0.12790000000000001</v>
      </c>
      <c r="S181" s="17">
        <v>0</v>
      </c>
      <c r="T181" s="17">
        <v>0</v>
      </c>
      <c r="U181" s="17">
        <v>1.73</v>
      </c>
      <c r="V181" s="17">
        <v>0</v>
      </c>
      <c r="W181" s="17">
        <v>1.1299999999999999</v>
      </c>
      <c r="X181" s="17">
        <v>0</v>
      </c>
      <c r="Y181" s="17">
        <v>0</v>
      </c>
      <c r="Z181" s="17">
        <v>0</v>
      </c>
      <c r="AA181" s="17">
        <v>0</v>
      </c>
      <c r="AB181" s="17">
        <v>0</v>
      </c>
      <c r="AC181" s="17">
        <v>0</v>
      </c>
      <c r="AD181" s="17">
        <v>0</v>
      </c>
      <c r="AE181" s="17">
        <v>0</v>
      </c>
      <c r="AF181" s="17">
        <v>0</v>
      </c>
      <c r="AG181" s="17">
        <v>0</v>
      </c>
      <c r="AH181" s="17">
        <v>0</v>
      </c>
      <c r="AI181" s="17">
        <f t="shared" si="11"/>
        <v>2</v>
      </c>
      <c r="AJ181" s="17">
        <f t="shared" si="12"/>
        <v>1</v>
      </c>
      <c r="AK181" s="17">
        <f t="shared" si="13"/>
        <v>19</v>
      </c>
      <c r="AL181" s="17">
        <f t="shared" si="14"/>
        <v>1</v>
      </c>
      <c r="AM181" s="17">
        <f>VLOOKUP(AK181,Sheet1!$A$2:$B$25,2,FALSE)</f>
        <v>0</v>
      </c>
    </row>
    <row r="182" spans="1:39" s="17" customFormat="1" x14ac:dyDescent="0.25">
      <c r="A182" s="21">
        <v>44593.833333333336</v>
      </c>
      <c r="B182" s="17">
        <v>4.25</v>
      </c>
      <c r="C182" s="17">
        <v>0</v>
      </c>
      <c r="D182" s="17">
        <v>4.25</v>
      </c>
      <c r="E182" s="17">
        <v>0</v>
      </c>
      <c r="F182" s="17">
        <v>0</v>
      </c>
      <c r="G182" s="17">
        <v>0</v>
      </c>
      <c r="H182" s="17">
        <v>2.0099999999999998</v>
      </c>
      <c r="I182" s="17">
        <v>0</v>
      </c>
      <c r="J182" s="17">
        <v>2.23</v>
      </c>
      <c r="K182" s="17">
        <v>0</v>
      </c>
      <c r="L182" s="17">
        <v>0</v>
      </c>
      <c r="M182" s="17">
        <v>0</v>
      </c>
      <c r="N182" s="17">
        <v>0</v>
      </c>
      <c r="O182" s="17">
        <v>0</v>
      </c>
      <c r="P182" s="17">
        <v>0</v>
      </c>
      <c r="Q182" s="17">
        <v>0</v>
      </c>
      <c r="R182" s="17">
        <v>0.1295</v>
      </c>
      <c r="S182" s="17">
        <v>0</v>
      </c>
      <c r="T182" s="17">
        <v>0</v>
      </c>
      <c r="U182" s="17">
        <v>1.74</v>
      </c>
      <c r="V182" s="17">
        <v>0</v>
      </c>
      <c r="W182" s="17">
        <v>1.1399999999999999</v>
      </c>
      <c r="X182" s="17">
        <v>0</v>
      </c>
      <c r="Y182" s="17">
        <v>0</v>
      </c>
      <c r="Z182" s="17">
        <v>0</v>
      </c>
      <c r="AA182" s="17">
        <v>0</v>
      </c>
      <c r="AB182" s="17">
        <v>0</v>
      </c>
      <c r="AC182" s="17">
        <v>0</v>
      </c>
      <c r="AD182" s="17">
        <v>0</v>
      </c>
      <c r="AE182" s="17">
        <v>0</v>
      </c>
      <c r="AF182" s="17">
        <v>0</v>
      </c>
      <c r="AG182" s="17">
        <v>0</v>
      </c>
      <c r="AH182" s="17">
        <v>0</v>
      </c>
      <c r="AI182" s="17">
        <f t="shared" si="11"/>
        <v>2</v>
      </c>
      <c r="AJ182" s="17">
        <f t="shared" si="12"/>
        <v>1</v>
      </c>
      <c r="AK182" s="17">
        <f t="shared" si="13"/>
        <v>20</v>
      </c>
      <c r="AL182" s="17">
        <f t="shared" si="14"/>
        <v>1</v>
      </c>
      <c r="AM182" s="17">
        <f>VLOOKUP(AK182,Sheet1!$A$2:$B$25,2,FALSE)</f>
        <v>0</v>
      </c>
    </row>
    <row r="183" spans="1:39" s="17" customFormat="1" x14ac:dyDescent="0.25">
      <c r="A183" s="21">
        <v>44593.84375</v>
      </c>
      <c r="B183" s="17">
        <v>4.01</v>
      </c>
      <c r="C183" s="17">
        <v>0</v>
      </c>
      <c r="D183" s="17">
        <v>4.01</v>
      </c>
      <c r="E183" s="17">
        <v>0</v>
      </c>
      <c r="F183" s="17">
        <v>0</v>
      </c>
      <c r="G183" s="17">
        <v>0</v>
      </c>
      <c r="H183" s="17">
        <v>2.0499999999999998</v>
      </c>
      <c r="I183" s="17">
        <v>0</v>
      </c>
      <c r="J183" s="17">
        <v>2.14</v>
      </c>
      <c r="K183" s="17">
        <v>0</v>
      </c>
      <c r="L183" s="17">
        <v>0</v>
      </c>
      <c r="M183" s="17">
        <v>0</v>
      </c>
      <c r="N183" s="17">
        <v>0</v>
      </c>
      <c r="O183" s="17">
        <v>0</v>
      </c>
      <c r="P183" s="17">
        <v>0</v>
      </c>
      <c r="Q183" s="17">
        <v>0</v>
      </c>
      <c r="R183" s="17">
        <v>8.2100000000000006E-2</v>
      </c>
      <c r="S183" s="17">
        <v>0</v>
      </c>
      <c r="T183" s="17">
        <v>0</v>
      </c>
      <c r="U183" s="17">
        <v>1.73</v>
      </c>
      <c r="V183" s="17">
        <v>0</v>
      </c>
      <c r="W183" s="17">
        <v>1.1299999999999999</v>
      </c>
      <c r="X183" s="17">
        <v>0</v>
      </c>
      <c r="Y183" s="17">
        <v>0</v>
      </c>
      <c r="Z183" s="17">
        <v>0</v>
      </c>
      <c r="AA183" s="17">
        <v>0</v>
      </c>
      <c r="AB183" s="17">
        <v>0</v>
      </c>
      <c r="AC183" s="17">
        <v>0</v>
      </c>
      <c r="AD183" s="17">
        <v>0</v>
      </c>
      <c r="AE183" s="17">
        <v>0</v>
      </c>
      <c r="AF183" s="17">
        <v>0</v>
      </c>
      <c r="AG183" s="17">
        <v>0</v>
      </c>
      <c r="AH183" s="17">
        <v>0</v>
      </c>
      <c r="AI183" s="17">
        <f t="shared" si="11"/>
        <v>2</v>
      </c>
      <c r="AJ183" s="17">
        <f t="shared" si="12"/>
        <v>1</v>
      </c>
      <c r="AK183" s="17">
        <f t="shared" si="13"/>
        <v>20</v>
      </c>
      <c r="AL183" s="17">
        <f t="shared" si="14"/>
        <v>1</v>
      </c>
      <c r="AM183" s="17">
        <f>VLOOKUP(AK183,Sheet1!$A$2:$B$25,2,FALSE)</f>
        <v>0</v>
      </c>
    </row>
    <row r="184" spans="1:39" s="17" customFormat="1" x14ac:dyDescent="0.25">
      <c r="A184" s="21">
        <v>44593.854166666664</v>
      </c>
      <c r="B184" s="17">
        <v>4.51</v>
      </c>
      <c r="C184" s="17">
        <v>0.43809999999999999</v>
      </c>
      <c r="D184" s="17">
        <v>4.07</v>
      </c>
      <c r="E184" s="17">
        <v>0</v>
      </c>
      <c r="F184" s="17">
        <v>0</v>
      </c>
      <c r="G184" s="17">
        <v>0</v>
      </c>
      <c r="H184" s="17">
        <v>1.89</v>
      </c>
      <c r="I184" s="17">
        <v>0</v>
      </c>
      <c r="J184" s="17">
        <v>2.04</v>
      </c>
      <c r="K184" s="17">
        <v>0</v>
      </c>
      <c r="L184" s="17">
        <v>0</v>
      </c>
      <c r="M184" s="17">
        <v>0</v>
      </c>
      <c r="N184" s="17">
        <v>0</v>
      </c>
      <c r="O184" s="17">
        <v>0</v>
      </c>
      <c r="P184" s="17">
        <v>0</v>
      </c>
      <c r="Q184" s="17">
        <v>0</v>
      </c>
      <c r="R184" s="17">
        <v>0.2621</v>
      </c>
      <c r="S184" s="17">
        <v>0</v>
      </c>
      <c r="T184" s="17">
        <v>0</v>
      </c>
      <c r="U184" s="17">
        <v>1.71</v>
      </c>
      <c r="V184" s="17">
        <v>0</v>
      </c>
      <c r="W184" s="17">
        <v>1.1100000000000001</v>
      </c>
      <c r="X184" s="17">
        <v>0</v>
      </c>
      <c r="Y184" s="17">
        <v>0</v>
      </c>
      <c r="Z184" s="17">
        <v>0</v>
      </c>
      <c r="AA184" s="17">
        <v>0</v>
      </c>
      <c r="AB184" s="17">
        <v>0</v>
      </c>
      <c r="AC184" s="17">
        <v>0</v>
      </c>
      <c r="AD184" s="17">
        <v>0</v>
      </c>
      <c r="AE184" s="17">
        <v>0</v>
      </c>
      <c r="AF184" s="17">
        <v>0</v>
      </c>
      <c r="AG184" s="17">
        <v>0</v>
      </c>
      <c r="AH184" s="17">
        <v>0</v>
      </c>
      <c r="AI184" s="17">
        <f t="shared" si="11"/>
        <v>2</v>
      </c>
      <c r="AJ184" s="17">
        <f t="shared" si="12"/>
        <v>1</v>
      </c>
      <c r="AK184" s="17">
        <f t="shared" si="13"/>
        <v>20</v>
      </c>
      <c r="AL184" s="17">
        <f t="shared" si="14"/>
        <v>1</v>
      </c>
      <c r="AM184" s="17">
        <f>VLOOKUP(AK184,Sheet1!$A$2:$B$25,2,FALSE)</f>
        <v>0</v>
      </c>
    </row>
    <row r="185" spans="1:39" s="17" customFormat="1" x14ac:dyDescent="0.25">
      <c r="A185" s="21">
        <v>44593.864583333336</v>
      </c>
      <c r="B185" s="17">
        <v>4.0599999999999996</v>
      </c>
      <c r="C185" s="17">
        <v>0</v>
      </c>
      <c r="D185" s="17">
        <v>4.0599999999999996</v>
      </c>
      <c r="E185" s="17">
        <v>0</v>
      </c>
      <c r="F185" s="17">
        <v>0</v>
      </c>
      <c r="G185" s="17">
        <v>0</v>
      </c>
      <c r="H185" s="17">
        <v>1.85</v>
      </c>
      <c r="I185" s="17">
        <v>0</v>
      </c>
      <c r="J185" s="17">
        <v>1.96</v>
      </c>
      <c r="K185" s="17">
        <v>0</v>
      </c>
      <c r="L185" s="17">
        <v>0</v>
      </c>
      <c r="M185" s="17">
        <v>0</v>
      </c>
      <c r="N185" s="17">
        <v>0</v>
      </c>
      <c r="O185" s="17">
        <v>0</v>
      </c>
      <c r="P185" s="17">
        <v>0</v>
      </c>
      <c r="Q185" s="17">
        <v>0</v>
      </c>
      <c r="R185" s="17">
        <v>0.1303</v>
      </c>
      <c r="S185" s="17">
        <v>0</v>
      </c>
      <c r="T185" s="17">
        <v>0</v>
      </c>
      <c r="U185" s="17">
        <v>1.72</v>
      </c>
      <c r="V185" s="17">
        <v>0</v>
      </c>
      <c r="W185" s="17">
        <v>1.1100000000000001</v>
      </c>
      <c r="X185" s="17">
        <v>0</v>
      </c>
      <c r="Y185" s="17">
        <v>0</v>
      </c>
      <c r="Z185" s="17">
        <v>0</v>
      </c>
      <c r="AA185" s="17">
        <v>0</v>
      </c>
      <c r="AB185" s="17">
        <v>0</v>
      </c>
      <c r="AC185" s="17">
        <v>0</v>
      </c>
      <c r="AD185" s="17">
        <v>0</v>
      </c>
      <c r="AE185" s="17">
        <v>0</v>
      </c>
      <c r="AF185" s="17">
        <v>0</v>
      </c>
      <c r="AG185" s="17">
        <v>0</v>
      </c>
      <c r="AH185" s="17">
        <v>0</v>
      </c>
      <c r="AI185" s="17">
        <f t="shared" si="11"/>
        <v>2</v>
      </c>
      <c r="AJ185" s="17">
        <f t="shared" si="12"/>
        <v>1</v>
      </c>
      <c r="AK185" s="17">
        <f t="shared" si="13"/>
        <v>20</v>
      </c>
      <c r="AL185" s="17">
        <f t="shared" si="14"/>
        <v>1</v>
      </c>
      <c r="AM185" s="17">
        <f>VLOOKUP(AK185,Sheet1!$A$2:$B$25,2,FALSE)</f>
        <v>0</v>
      </c>
    </row>
    <row r="186" spans="1:39" s="17" customFormat="1" x14ac:dyDescent="0.25">
      <c r="A186" s="21">
        <v>44593.875</v>
      </c>
      <c r="B186" s="17">
        <v>4.07</v>
      </c>
      <c r="C186" s="17">
        <v>0</v>
      </c>
      <c r="D186" s="17">
        <v>4.07</v>
      </c>
      <c r="E186" s="17">
        <v>0</v>
      </c>
      <c r="F186" s="17">
        <v>0</v>
      </c>
      <c r="G186" s="17">
        <v>0</v>
      </c>
      <c r="H186" s="17">
        <v>1.75</v>
      </c>
      <c r="I186" s="17">
        <v>0</v>
      </c>
      <c r="J186" s="17">
        <v>1.91</v>
      </c>
      <c r="K186" s="17">
        <v>0</v>
      </c>
      <c r="L186" s="17">
        <v>0</v>
      </c>
      <c r="M186" s="17">
        <v>0</v>
      </c>
      <c r="N186" s="17">
        <v>0</v>
      </c>
      <c r="O186" s="17">
        <v>0</v>
      </c>
      <c r="P186" s="17">
        <v>0</v>
      </c>
      <c r="Q186" s="17">
        <v>0</v>
      </c>
      <c r="R186" s="17">
        <v>0.17760000000000001</v>
      </c>
      <c r="S186" s="17">
        <v>0</v>
      </c>
      <c r="T186" s="17">
        <v>0</v>
      </c>
      <c r="U186" s="17">
        <v>1.71</v>
      </c>
      <c r="V186" s="17">
        <v>0</v>
      </c>
      <c r="W186" s="17">
        <v>1.1100000000000001</v>
      </c>
      <c r="X186" s="17">
        <v>0</v>
      </c>
      <c r="Y186" s="17">
        <v>0</v>
      </c>
      <c r="Z186" s="17">
        <v>0</v>
      </c>
      <c r="AA186" s="17">
        <v>0</v>
      </c>
      <c r="AB186" s="17">
        <v>0</v>
      </c>
      <c r="AC186" s="17">
        <v>0</v>
      </c>
      <c r="AD186" s="17">
        <v>0</v>
      </c>
      <c r="AE186" s="17">
        <v>0</v>
      </c>
      <c r="AF186" s="17">
        <v>0</v>
      </c>
      <c r="AG186" s="17">
        <v>0</v>
      </c>
      <c r="AH186" s="17">
        <v>0</v>
      </c>
      <c r="AI186" s="17">
        <f t="shared" si="11"/>
        <v>2</v>
      </c>
      <c r="AJ186" s="17">
        <f t="shared" si="12"/>
        <v>1</v>
      </c>
      <c r="AK186" s="17">
        <f t="shared" si="13"/>
        <v>21</v>
      </c>
      <c r="AL186" s="17">
        <f t="shared" si="14"/>
        <v>1</v>
      </c>
      <c r="AM186" s="17">
        <f>VLOOKUP(AK186,Sheet1!$A$2:$B$25,2,FALSE)</f>
        <v>0</v>
      </c>
    </row>
    <row r="187" spans="1:39" s="17" customFormat="1" x14ac:dyDescent="0.25">
      <c r="A187" s="21">
        <v>44593.885416666664</v>
      </c>
      <c r="B187" s="17">
        <v>4.2699999999999996</v>
      </c>
      <c r="C187" s="17">
        <v>0.21870000000000001</v>
      </c>
      <c r="D187" s="17">
        <v>4.0599999999999996</v>
      </c>
      <c r="E187" s="17">
        <v>0</v>
      </c>
      <c r="F187" s="17">
        <v>0</v>
      </c>
      <c r="G187" s="17">
        <v>0</v>
      </c>
      <c r="H187" s="17">
        <v>1.73</v>
      </c>
      <c r="I187" s="17">
        <v>0</v>
      </c>
      <c r="J187" s="17">
        <v>1.83</v>
      </c>
      <c r="K187" s="17">
        <v>0</v>
      </c>
      <c r="L187" s="17">
        <v>0</v>
      </c>
      <c r="M187" s="17">
        <v>0</v>
      </c>
      <c r="N187" s="17">
        <v>0</v>
      </c>
      <c r="O187" s="17">
        <v>0</v>
      </c>
      <c r="P187" s="17">
        <v>0</v>
      </c>
      <c r="Q187" s="17">
        <v>0</v>
      </c>
      <c r="R187" s="17">
        <v>8.8400000000000006E-2</v>
      </c>
      <c r="S187" s="17">
        <v>0</v>
      </c>
      <c r="T187" s="17">
        <v>0</v>
      </c>
      <c r="U187" s="17">
        <v>1.74</v>
      </c>
      <c r="V187" s="17">
        <v>0</v>
      </c>
      <c r="W187" s="17">
        <v>1.1299999999999999</v>
      </c>
      <c r="X187" s="17">
        <v>0</v>
      </c>
      <c r="Y187" s="17">
        <v>0</v>
      </c>
      <c r="Z187" s="17">
        <v>0</v>
      </c>
      <c r="AA187" s="17">
        <v>0</v>
      </c>
      <c r="AB187" s="17">
        <v>0</v>
      </c>
      <c r="AC187" s="17">
        <v>0</v>
      </c>
      <c r="AD187" s="17">
        <v>0</v>
      </c>
      <c r="AE187" s="17">
        <v>0</v>
      </c>
      <c r="AF187" s="17">
        <v>0</v>
      </c>
      <c r="AG187" s="17">
        <v>0</v>
      </c>
      <c r="AH187" s="17">
        <v>0</v>
      </c>
      <c r="AI187" s="17">
        <f t="shared" si="11"/>
        <v>2</v>
      </c>
      <c r="AJ187" s="17">
        <f t="shared" si="12"/>
        <v>1</v>
      </c>
      <c r="AK187" s="17">
        <f t="shared" si="13"/>
        <v>21</v>
      </c>
      <c r="AL187" s="17">
        <f t="shared" si="14"/>
        <v>1</v>
      </c>
      <c r="AM187" s="17">
        <f>VLOOKUP(AK187,Sheet1!$A$2:$B$25,2,FALSE)</f>
        <v>0</v>
      </c>
    </row>
    <row r="188" spans="1:39" s="17" customFormat="1" x14ac:dyDescent="0.25">
      <c r="A188" s="21">
        <v>44593.895833333336</v>
      </c>
      <c r="B188" s="17">
        <v>4.2</v>
      </c>
      <c r="C188" s="17">
        <v>0</v>
      </c>
      <c r="D188" s="17">
        <v>4.2</v>
      </c>
      <c r="E188" s="17">
        <v>0</v>
      </c>
      <c r="F188" s="17">
        <v>0</v>
      </c>
      <c r="G188" s="17">
        <v>0</v>
      </c>
      <c r="H188" s="17">
        <v>1.75</v>
      </c>
      <c r="I188" s="17">
        <v>0</v>
      </c>
      <c r="J188" s="17">
        <v>1.79</v>
      </c>
      <c r="K188" s="17">
        <v>0</v>
      </c>
      <c r="L188" s="17">
        <v>0</v>
      </c>
      <c r="M188" s="17">
        <v>0</v>
      </c>
      <c r="N188" s="17">
        <v>0</v>
      </c>
      <c r="O188" s="17">
        <v>0</v>
      </c>
      <c r="P188" s="17">
        <v>0</v>
      </c>
      <c r="Q188" s="17">
        <v>0</v>
      </c>
      <c r="R188" s="17">
        <v>8.8400000000000006E-2</v>
      </c>
      <c r="S188" s="17">
        <v>0</v>
      </c>
      <c r="T188" s="17">
        <v>0</v>
      </c>
      <c r="U188" s="17">
        <v>1.8</v>
      </c>
      <c r="V188" s="17">
        <v>0</v>
      </c>
      <c r="W188" s="17">
        <v>1.17</v>
      </c>
      <c r="X188" s="17">
        <v>0</v>
      </c>
      <c r="Y188" s="17">
        <v>0</v>
      </c>
      <c r="Z188" s="17">
        <v>0</v>
      </c>
      <c r="AA188" s="17">
        <v>0</v>
      </c>
      <c r="AB188" s="17">
        <v>0</v>
      </c>
      <c r="AC188" s="17">
        <v>0</v>
      </c>
      <c r="AD188" s="17">
        <v>0</v>
      </c>
      <c r="AE188" s="17">
        <v>0</v>
      </c>
      <c r="AF188" s="17">
        <v>0</v>
      </c>
      <c r="AG188" s="17">
        <v>0</v>
      </c>
      <c r="AH188" s="17">
        <v>0</v>
      </c>
      <c r="AI188" s="17">
        <f t="shared" si="11"/>
        <v>2</v>
      </c>
      <c r="AJ188" s="17">
        <f t="shared" si="12"/>
        <v>1</v>
      </c>
      <c r="AK188" s="17">
        <f t="shared" si="13"/>
        <v>21</v>
      </c>
      <c r="AL188" s="17">
        <f t="shared" si="14"/>
        <v>1</v>
      </c>
      <c r="AM188" s="17">
        <f>VLOOKUP(AK188,Sheet1!$A$2:$B$25,2,FALSE)</f>
        <v>0</v>
      </c>
    </row>
    <row r="189" spans="1:39" s="17" customFormat="1" x14ac:dyDescent="0.25">
      <c r="A189" s="21">
        <v>44593.90625</v>
      </c>
      <c r="B189" s="17">
        <v>3.89</v>
      </c>
      <c r="C189" s="17">
        <v>0</v>
      </c>
      <c r="D189" s="17">
        <v>3.89</v>
      </c>
      <c r="E189" s="17">
        <v>0</v>
      </c>
      <c r="F189" s="17">
        <v>0</v>
      </c>
      <c r="G189" s="17">
        <v>0</v>
      </c>
      <c r="H189" s="17">
        <v>1.64</v>
      </c>
      <c r="I189" s="17">
        <v>0</v>
      </c>
      <c r="J189" s="17">
        <v>1.69</v>
      </c>
      <c r="K189" s="17">
        <v>0</v>
      </c>
      <c r="L189" s="17">
        <v>0</v>
      </c>
      <c r="M189" s="17">
        <v>0</v>
      </c>
      <c r="N189" s="17">
        <v>0</v>
      </c>
      <c r="O189" s="17">
        <v>0</v>
      </c>
      <c r="P189" s="17">
        <v>0</v>
      </c>
      <c r="Q189" s="17">
        <v>0</v>
      </c>
      <c r="R189" s="17">
        <v>9.7900000000000001E-2</v>
      </c>
      <c r="S189" s="17">
        <v>0</v>
      </c>
      <c r="T189" s="17">
        <v>0</v>
      </c>
      <c r="U189" s="17">
        <v>1.69</v>
      </c>
      <c r="V189" s="17">
        <v>0</v>
      </c>
      <c r="W189" s="17">
        <v>1.1000000000000001</v>
      </c>
      <c r="X189" s="17">
        <v>0</v>
      </c>
      <c r="Y189" s="17">
        <v>0</v>
      </c>
      <c r="Z189" s="17">
        <v>0</v>
      </c>
      <c r="AA189" s="17">
        <v>0</v>
      </c>
      <c r="AB189" s="17">
        <v>0</v>
      </c>
      <c r="AC189" s="17">
        <v>0</v>
      </c>
      <c r="AD189" s="17">
        <v>0</v>
      </c>
      <c r="AE189" s="17">
        <v>0</v>
      </c>
      <c r="AF189" s="17">
        <v>0</v>
      </c>
      <c r="AG189" s="17">
        <v>0</v>
      </c>
      <c r="AH189" s="17">
        <v>0</v>
      </c>
      <c r="AI189" s="17">
        <f t="shared" si="11"/>
        <v>2</v>
      </c>
      <c r="AJ189" s="17">
        <f t="shared" si="12"/>
        <v>1</v>
      </c>
      <c r="AK189" s="17">
        <f t="shared" si="13"/>
        <v>21</v>
      </c>
      <c r="AL189" s="17">
        <f t="shared" si="14"/>
        <v>1</v>
      </c>
      <c r="AM189" s="17">
        <f>VLOOKUP(AK189,Sheet1!$A$2:$B$25,2,FALSE)</f>
        <v>0</v>
      </c>
    </row>
    <row r="190" spans="1:39" s="17" customFormat="1" x14ac:dyDescent="0.25">
      <c r="A190" s="21">
        <v>44593.916666666664</v>
      </c>
      <c r="B190" s="17">
        <v>3.99</v>
      </c>
      <c r="C190" s="17">
        <v>0</v>
      </c>
      <c r="D190" s="17">
        <v>3.99</v>
      </c>
      <c r="E190" s="17">
        <v>0</v>
      </c>
      <c r="F190" s="17">
        <v>0</v>
      </c>
      <c r="G190" s="17">
        <v>0</v>
      </c>
      <c r="H190" s="17">
        <v>1.59</v>
      </c>
      <c r="I190" s="17">
        <v>0</v>
      </c>
      <c r="J190" s="17">
        <v>1.76</v>
      </c>
      <c r="K190" s="17">
        <v>0</v>
      </c>
      <c r="L190" s="17">
        <v>0</v>
      </c>
      <c r="M190" s="17">
        <v>0</v>
      </c>
      <c r="N190" s="17">
        <v>0</v>
      </c>
      <c r="O190" s="17">
        <v>0</v>
      </c>
      <c r="P190" s="17">
        <v>0</v>
      </c>
      <c r="Q190" s="17">
        <v>0</v>
      </c>
      <c r="R190" s="17">
        <v>0.21629999999999999</v>
      </c>
      <c r="S190" s="17">
        <v>0</v>
      </c>
      <c r="T190" s="17">
        <v>0</v>
      </c>
      <c r="U190" s="17">
        <v>1.68</v>
      </c>
      <c r="V190" s="17">
        <v>0</v>
      </c>
      <c r="W190" s="17">
        <v>1.0900000000000001</v>
      </c>
      <c r="X190" s="17">
        <v>0</v>
      </c>
      <c r="Y190" s="17">
        <v>0</v>
      </c>
      <c r="Z190" s="17">
        <v>0</v>
      </c>
      <c r="AA190" s="17">
        <v>0</v>
      </c>
      <c r="AB190" s="17">
        <v>0</v>
      </c>
      <c r="AC190" s="17">
        <v>0</v>
      </c>
      <c r="AD190" s="17">
        <v>0</v>
      </c>
      <c r="AE190" s="17">
        <v>0</v>
      </c>
      <c r="AF190" s="17">
        <v>0</v>
      </c>
      <c r="AG190" s="17">
        <v>0</v>
      </c>
      <c r="AH190" s="17">
        <v>0</v>
      </c>
      <c r="AI190" s="17">
        <f t="shared" si="11"/>
        <v>2</v>
      </c>
      <c r="AJ190" s="17">
        <f t="shared" si="12"/>
        <v>1</v>
      </c>
      <c r="AK190" s="17">
        <f t="shared" si="13"/>
        <v>22</v>
      </c>
      <c r="AL190" s="17">
        <f t="shared" si="14"/>
        <v>1</v>
      </c>
      <c r="AM190" s="17">
        <f>VLOOKUP(AK190,Sheet1!$A$2:$B$25,2,FALSE)</f>
        <v>0</v>
      </c>
    </row>
    <row r="191" spans="1:39" s="17" customFormat="1" x14ac:dyDescent="0.25">
      <c r="A191" s="21">
        <v>44593.927083333336</v>
      </c>
      <c r="B191" s="17">
        <v>3.93</v>
      </c>
      <c r="C191" s="17">
        <v>0</v>
      </c>
      <c r="D191" s="17">
        <v>3.93</v>
      </c>
      <c r="E191" s="17">
        <v>0</v>
      </c>
      <c r="F191" s="17">
        <v>0</v>
      </c>
      <c r="G191" s="17">
        <v>0</v>
      </c>
      <c r="H191" s="17">
        <v>1.72</v>
      </c>
      <c r="I191" s="17">
        <v>0</v>
      </c>
      <c r="J191" s="17">
        <v>1.74</v>
      </c>
      <c r="K191" s="17">
        <v>0</v>
      </c>
      <c r="L191" s="17">
        <v>0</v>
      </c>
      <c r="M191" s="17">
        <v>0</v>
      </c>
      <c r="N191" s="17">
        <v>0</v>
      </c>
      <c r="O191" s="17">
        <v>0</v>
      </c>
      <c r="P191" s="17">
        <v>0</v>
      </c>
      <c r="Q191" s="17">
        <v>0</v>
      </c>
      <c r="R191" s="17">
        <v>8.5300000000000001E-2</v>
      </c>
      <c r="S191" s="17">
        <v>0</v>
      </c>
      <c r="T191" s="17">
        <v>0</v>
      </c>
      <c r="U191" s="17">
        <v>1.68</v>
      </c>
      <c r="V191" s="17">
        <v>0</v>
      </c>
      <c r="W191" s="17">
        <v>1.0900000000000001</v>
      </c>
      <c r="X191" s="17">
        <v>0</v>
      </c>
      <c r="Y191" s="17">
        <v>0</v>
      </c>
      <c r="Z191" s="17">
        <v>0</v>
      </c>
      <c r="AA191" s="17">
        <v>0</v>
      </c>
      <c r="AB191" s="17">
        <v>0</v>
      </c>
      <c r="AC191" s="17">
        <v>0</v>
      </c>
      <c r="AD191" s="17">
        <v>0</v>
      </c>
      <c r="AE191" s="17">
        <v>0</v>
      </c>
      <c r="AF191" s="17">
        <v>0</v>
      </c>
      <c r="AG191" s="17">
        <v>0</v>
      </c>
      <c r="AH191" s="17">
        <v>0</v>
      </c>
      <c r="AI191" s="17">
        <f t="shared" si="11"/>
        <v>2</v>
      </c>
      <c r="AJ191" s="17">
        <f t="shared" si="12"/>
        <v>1</v>
      </c>
      <c r="AK191" s="17">
        <f t="shared" si="13"/>
        <v>22</v>
      </c>
      <c r="AL191" s="17">
        <f t="shared" si="14"/>
        <v>1</v>
      </c>
      <c r="AM191" s="17">
        <f>VLOOKUP(AK191,Sheet1!$A$2:$B$25,2,FALSE)</f>
        <v>0</v>
      </c>
    </row>
    <row r="192" spans="1:39" s="17" customFormat="1" x14ac:dyDescent="0.25">
      <c r="A192" s="21">
        <v>44593.9375</v>
      </c>
      <c r="B192" s="17">
        <v>4.3899999999999997</v>
      </c>
      <c r="C192" s="17">
        <v>0.37030000000000002</v>
      </c>
      <c r="D192" s="17">
        <v>4.0199999999999996</v>
      </c>
      <c r="E192" s="17">
        <v>0</v>
      </c>
      <c r="F192" s="17">
        <v>0</v>
      </c>
      <c r="G192" s="17">
        <v>0</v>
      </c>
      <c r="H192" s="17">
        <v>1.62</v>
      </c>
      <c r="I192" s="17">
        <v>0</v>
      </c>
      <c r="J192" s="17">
        <v>1.69</v>
      </c>
      <c r="K192" s="17">
        <v>0</v>
      </c>
      <c r="L192" s="17">
        <v>0</v>
      </c>
      <c r="M192" s="17">
        <v>0</v>
      </c>
      <c r="N192" s="17">
        <v>0</v>
      </c>
      <c r="O192" s="17">
        <v>0</v>
      </c>
      <c r="P192" s="17">
        <v>0</v>
      </c>
      <c r="Q192" s="17">
        <v>0</v>
      </c>
      <c r="R192" s="17">
        <v>8.8400000000000006E-2</v>
      </c>
      <c r="S192" s="17">
        <v>0</v>
      </c>
      <c r="T192" s="17">
        <v>0</v>
      </c>
      <c r="U192" s="17">
        <v>1.65</v>
      </c>
      <c r="V192" s="17">
        <v>0</v>
      </c>
      <c r="W192" s="17">
        <v>1.06</v>
      </c>
      <c r="X192" s="17">
        <v>0</v>
      </c>
      <c r="Y192" s="17">
        <v>0</v>
      </c>
      <c r="Z192" s="17">
        <v>0</v>
      </c>
      <c r="AA192" s="17">
        <v>0</v>
      </c>
      <c r="AB192" s="17">
        <v>0</v>
      </c>
      <c r="AC192" s="17">
        <v>0</v>
      </c>
      <c r="AD192" s="17">
        <v>0</v>
      </c>
      <c r="AE192" s="17">
        <v>0</v>
      </c>
      <c r="AF192" s="17">
        <v>0</v>
      </c>
      <c r="AG192" s="17">
        <v>0</v>
      </c>
      <c r="AH192" s="17">
        <v>0</v>
      </c>
      <c r="AI192" s="17">
        <f t="shared" si="11"/>
        <v>2</v>
      </c>
      <c r="AJ192" s="17">
        <f t="shared" si="12"/>
        <v>1</v>
      </c>
      <c r="AK192" s="17">
        <f t="shared" si="13"/>
        <v>22</v>
      </c>
      <c r="AL192" s="17">
        <f t="shared" si="14"/>
        <v>1</v>
      </c>
      <c r="AM192" s="17">
        <f>VLOOKUP(AK192,Sheet1!$A$2:$B$25,2,FALSE)</f>
        <v>0</v>
      </c>
    </row>
    <row r="193" spans="1:39" s="17" customFormat="1" x14ac:dyDescent="0.25">
      <c r="A193" s="21">
        <v>44593.947916666664</v>
      </c>
      <c r="B193" s="17">
        <v>4.16</v>
      </c>
      <c r="C193" s="17">
        <v>0.2021</v>
      </c>
      <c r="D193" s="17">
        <v>3.96</v>
      </c>
      <c r="E193" s="17">
        <v>0</v>
      </c>
      <c r="F193" s="17">
        <v>0</v>
      </c>
      <c r="G193" s="17">
        <v>0</v>
      </c>
      <c r="H193" s="17">
        <v>1.63</v>
      </c>
      <c r="I193" s="17">
        <v>0</v>
      </c>
      <c r="J193" s="17">
        <v>1.73</v>
      </c>
      <c r="K193" s="17">
        <v>0</v>
      </c>
      <c r="L193" s="17">
        <v>0</v>
      </c>
      <c r="M193" s="17">
        <v>0</v>
      </c>
      <c r="N193" s="17">
        <v>0</v>
      </c>
      <c r="O193" s="17">
        <v>0</v>
      </c>
      <c r="P193" s="17">
        <v>0</v>
      </c>
      <c r="Q193" s="17">
        <v>0</v>
      </c>
      <c r="R193" s="17">
        <v>8.8400000000000006E-2</v>
      </c>
      <c r="S193" s="17">
        <v>0</v>
      </c>
      <c r="T193" s="17">
        <v>0</v>
      </c>
      <c r="U193" s="17">
        <v>1.65</v>
      </c>
      <c r="V193" s="17">
        <v>0</v>
      </c>
      <c r="W193" s="17">
        <v>1.06</v>
      </c>
      <c r="X193" s="17">
        <v>0</v>
      </c>
      <c r="Y193" s="17">
        <v>0</v>
      </c>
      <c r="Z193" s="17">
        <v>0</v>
      </c>
      <c r="AA193" s="17">
        <v>0</v>
      </c>
      <c r="AB193" s="17">
        <v>0</v>
      </c>
      <c r="AC193" s="17">
        <v>0</v>
      </c>
      <c r="AD193" s="17">
        <v>0</v>
      </c>
      <c r="AE193" s="17">
        <v>0</v>
      </c>
      <c r="AF193" s="17">
        <v>0</v>
      </c>
      <c r="AG193" s="17">
        <v>0</v>
      </c>
      <c r="AH193" s="17">
        <v>0</v>
      </c>
      <c r="AI193" s="17">
        <f t="shared" si="11"/>
        <v>2</v>
      </c>
      <c r="AJ193" s="17">
        <f t="shared" si="12"/>
        <v>1</v>
      </c>
      <c r="AK193" s="17">
        <f t="shared" si="13"/>
        <v>22</v>
      </c>
      <c r="AL193" s="17">
        <f t="shared" si="14"/>
        <v>1</v>
      </c>
      <c r="AM193" s="17">
        <f>VLOOKUP(AK193,Sheet1!$A$2:$B$25,2,FALSE)</f>
        <v>0</v>
      </c>
    </row>
    <row r="194" spans="1:39" s="17" customFormat="1" x14ac:dyDescent="0.25">
      <c r="A194" s="21">
        <v>44593.958333333336</v>
      </c>
      <c r="B194" s="17">
        <v>4.21</v>
      </c>
      <c r="C194" s="17">
        <v>0.21870000000000001</v>
      </c>
      <c r="D194" s="17">
        <v>4</v>
      </c>
      <c r="E194" s="17">
        <v>0</v>
      </c>
      <c r="F194" s="17">
        <v>0</v>
      </c>
      <c r="G194" s="17">
        <v>0</v>
      </c>
      <c r="H194" s="17">
        <v>1.68</v>
      </c>
      <c r="I194" s="17">
        <v>0</v>
      </c>
      <c r="J194" s="17">
        <v>1.77</v>
      </c>
      <c r="K194" s="17">
        <v>0</v>
      </c>
      <c r="L194" s="17">
        <v>0</v>
      </c>
      <c r="M194" s="17">
        <v>0</v>
      </c>
      <c r="N194" s="17">
        <v>0</v>
      </c>
      <c r="O194" s="17">
        <v>0</v>
      </c>
      <c r="P194" s="17">
        <v>0</v>
      </c>
      <c r="Q194" s="17">
        <v>0</v>
      </c>
      <c r="R194" s="17">
        <v>9.1600000000000001E-2</v>
      </c>
      <c r="S194" s="17">
        <v>0</v>
      </c>
      <c r="T194" s="17">
        <v>0</v>
      </c>
      <c r="U194" s="17">
        <v>1.67</v>
      </c>
      <c r="V194" s="17">
        <v>0</v>
      </c>
      <c r="W194" s="17">
        <v>1.08</v>
      </c>
      <c r="X194" s="17">
        <v>0</v>
      </c>
      <c r="Y194" s="17">
        <v>0</v>
      </c>
      <c r="Z194" s="17">
        <v>0</v>
      </c>
      <c r="AA194" s="17">
        <v>0</v>
      </c>
      <c r="AB194" s="17">
        <v>0</v>
      </c>
      <c r="AC194" s="17">
        <v>0</v>
      </c>
      <c r="AD194" s="17">
        <v>0</v>
      </c>
      <c r="AE194" s="17">
        <v>0</v>
      </c>
      <c r="AF194" s="17">
        <v>0</v>
      </c>
      <c r="AG194" s="17">
        <v>0</v>
      </c>
      <c r="AH194" s="17">
        <v>0</v>
      </c>
      <c r="AI194" s="17">
        <f t="shared" si="11"/>
        <v>2</v>
      </c>
      <c r="AJ194" s="17">
        <f t="shared" si="12"/>
        <v>1</v>
      </c>
      <c r="AK194" s="17">
        <f t="shared" si="13"/>
        <v>23</v>
      </c>
      <c r="AL194" s="17">
        <f t="shared" si="14"/>
        <v>1</v>
      </c>
      <c r="AM194" s="17">
        <f>VLOOKUP(AK194,Sheet1!$A$2:$B$25,2,FALSE)</f>
        <v>0</v>
      </c>
    </row>
    <row r="195" spans="1:39" s="17" customFormat="1" x14ac:dyDescent="0.25">
      <c r="A195" s="21">
        <v>44593.96875</v>
      </c>
      <c r="B195" s="17">
        <v>4.22</v>
      </c>
      <c r="C195" s="17">
        <v>0.21870000000000001</v>
      </c>
      <c r="D195" s="17">
        <v>4</v>
      </c>
      <c r="E195" s="17">
        <v>0</v>
      </c>
      <c r="F195" s="17">
        <v>0</v>
      </c>
      <c r="G195" s="17">
        <v>0</v>
      </c>
      <c r="H195" s="17">
        <v>1.58</v>
      </c>
      <c r="I195" s="17">
        <v>0</v>
      </c>
      <c r="J195" s="17">
        <v>1.69</v>
      </c>
      <c r="K195" s="17">
        <v>0</v>
      </c>
      <c r="L195" s="17">
        <v>0</v>
      </c>
      <c r="M195" s="17">
        <v>0</v>
      </c>
      <c r="N195" s="17">
        <v>0</v>
      </c>
      <c r="O195" s="17">
        <v>0</v>
      </c>
      <c r="P195" s="17">
        <v>0</v>
      </c>
      <c r="Q195" s="17">
        <v>0</v>
      </c>
      <c r="R195" s="17">
        <v>0.1295</v>
      </c>
      <c r="S195" s="17">
        <v>0</v>
      </c>
      <c r="T195" s="17">
        <v>0</v>
      </c>
      <c r="U195" s="17">
        <v>1.7</v>
      </c>
      <c r="V195" s="17">
        <v>0</v>
      </c>
      <c r="W195" s="17">
        <v>1.1100000000000001</v>
      </c>
      <c r="X195" s="17">
        <v>0</v>
      </c>
      <c r="Y195" s="17">
        <v>0</v>
      </c>
      <c r="Z195" s="17">
        <v>0</v>
      </c>
      <c r="AA195" s="17">
        <v>0</v>
      </c>
      <c r="AB195" s="17">
        <v>0</v>
      </c>
      <c r="AC195" s="17">
        <v>0</v>
      </c>
      <c r="AD195" s="17">
        <v>0</v>
      </c>
      <c r="AE195" s="17">
        <v>0</v>
      </c>
      <c r="AF195" s="17">
        <v>0</v>
      </c>
      <c r="AG195" s="17">
        <v>0</v>
      </c>
      <c r="AH195" s="17">
        <v>0</v>
      </c>
      <c r="AI195" s="17">
        <f t="shared" si="11"/>
        <v>2</v>
      </c>
      <c r="AJ195" s="17">
        <f t="shared" si="12"/>
        <v>1</v>
      </c>
      <c r="AK195" s="17">
        <f t="shared" si="13"/>
        <v>23</v>
      </c>
      <c r="AL195" s="17">
        <f t="shared" si="14"/>
        <v>1</v>
      </c>
      <c r="AM195" s="17">
        <f>VLOOKUP(AK195,Sheet1!$A$2:$B$25,2,FALSE)</f>
        <v>0</v>
      </c>
    </row>
    <row r="196" spans="1:39" s="17" customFormat="1" x14ac:dyDescent="0.25">
      <c r="A196" s="21">
        <v>44593.979166666664</v>
      </c>
      <c r="B196" s="17">
        <v>4.01</v>
      </c>
      <c r="C196" s="17">
        <v>0</v>
      </c>
      <c r="D196" s="17">
        <v>4.01</v>
      </c>
      <c r="E196" s="17">
        <v>0</v>
      </c>
      <c r="F196" s="17">
        <v>0</v>
      </c>
      <c r="G196" s="17">
        <v>0</v>
      </c>
      <c r="H196" s="17">
        <v>1.56</v>
      </c>
      <c r="I196" s="17">
        <v>0</v>
      </c>
      <c r="J196" s="17">
        <v>1.7</v>
      </c>
      <c r="K196" s="17">
        <v>0</v>
      </c>
      <c r="L196" s="17">
        <v>0</v>
      </c>
      <c r="M196" s="17">
        <v>0</v>
      </c>
      <c r="N196" s="17">
        <v>0</v>
      </c>
      <c r="O196" s="17">
        <v>0</v>
      </c>
      <c r="P196" s="17">
        <v>0</v>
      </c>
      <c r="Q196" s="17">
        <v>0</v>
      </c>
      <c r="R196" s="17">
        <v>8.5300000000000001E-2</v>
      </c>
      <c r="S196" s="17">
        <v>0</v>
      </c>
      <c r="T196" s="17">
        <v>0</v>
      </c>
      <c r="U196" s="17">
        <v>1.71</v>
      </c>
      <c r="V196" s="17">
        <v>0</v>
      </c>
      <c r="W196" s="17">
        <v>1.1100000000000001</v>
      </c>
      <c r="X196" s="17">
        <v>0</v>
      </c>
      <c r="Y196" s="17">
        <v>0</v>
      </c>
      <c r="Z196" s="17">
        <v>0</v>
      </c>
      <c r="AA196" s="17">
        <v>0</v>
      </c>
      <c r="AB196" s="17">
        <v>0</v>
      </c>
      <c r="AC196" s="17">
        <v>0</v>
      </c>
      <c r="AD196" s="17">
        <v>0</v>
      </c>
      <c r="AE196" s="17">
        <v>0</v>
      </c>
      <c r="AF196" s="17">
        <v>0</v>
      </c>
      <c r="AG196" s="17">
        <v>0</v>
      </c>
      <c r="AH196" s="17">
        <v>0</v>
      </c>
      <c r="AI196" s="17">
        <f t="shared" si="11"/>
        <v>2</v>
      </c>
      <c r="AJ196" s="17">
        <f t="shared" si="12"/>
        <v>1</v>
      </c>
      <c r="AK196" s="17">
        <f t="shared" si="13"/>
        <v>23</v>
      </c>
      <c r="AL196" s="17">
        <f t="shared" si="14"/>
        <v>1</v>
      </c>
      <c r="AM196" s="17">
        <f>VLOOKUP(AK196,Sheet1!$A$2:$B$25,2,FALSE)</f>
        <v>0</v>
      </c>
    </row>
    <row r="197" spans="1:39" s="17" customFormat="1" x14ac:dyDescent="0.25">
      <c r="A197" s="21">
        <v>44593.989583333336</v>
      </c>
      <c r="B197" s="17">
        <v>4.24</v>
      </c>
      <c r="C197" s="17">
        <v>0.2021</v>
      </c>
      <c r="D197" s="17">
        <v>4.04</v>
      </c>
      <c r="E197" s="17">
        <v>0</v>
      </c>
      <c r="F197" s="17">
        <v>0</v>
      </c>
      <c r="G197" s="17">
        <v>0</v>
      </c>
      <c r="H197" s="17">
        <v>1.59</v>
      </c>
      <c r="I197" s="17">
        <v>0</v>
      </c>
      <c r="J197" s="17">
        <v>1.73</v>
      </c>
      <c r="K197" s="17">
        <v>0</v>
      </c>
      <c r="L197" s="17">
        <v>0</v>
      </c>
      <c r="M197" s="17">
        <v>0</v>
      </c>
      <c r="N197" s="17">
        <v>0</v>
      </c>
      <c r="O197" s="17">
        <v>0</v>
      </c>
      <c r="P197" s="17">
        <v>0</v>
      </c>
      <c r="Q197" s="17">
        <v>0</v>
      </c>
      <c r="R197" s="17">
        <v>0.13739999999999999</v>
      </c>
      <c r="S197" s="17">
        <v>0</v>
      </c>
      <c r="T197" s="17">
        <v>0</v>
      </c>
      <c r="U197" s="17">
        <v>1.74</v>
      </c>
      <c r="V197" s="17">
        <v>0</v>
      </c>
      <c r="W197" s="17">
        <v>1.1399999999999999</v>
      </c>
      <c r="X197" s="17">
        <v>0</v>
      </c>
      <c r="Y197" s="17">
        <v>0</v>
      </c>
      <c r="Z197" s="17">
        <v>0</v>
      </c>
      <c r="AA197" s="17">
        <v>0</v>
      </c>
      <c r="AB197" s="17">
        <v>0</v>
      </c>
      <c r="AC197" s="17">
        <v>0</v>
      </c>
      <c r="AD197" s="17">
        <v>0</v>
      </c>
      <c r="AE197" s="17">
        <v>0</v>
      </c>
      <c r="AF197" s="17">
        <v>0</v>
      </c>
      <c r="AG197" s="17">
        <v>0</v>
      </c>
      <c r="AH197" s="17">
        <v>0</v>
      </c>
      <c r="AI197" s="17">
        <f t="shared" si="11"/>
        <v>2</v>
      </c>
      <c r="AJ197" s="17">
        <f t="shared" si="12"/>
        <v>1</v>
      </c>
      <c r="AK197" s="17">
        <f t="shared" si="13"/>
        <v>23</v>
      </c>
      <c r="AL197" s="17">
        <f t="shared" si="14"/>
        <v>1</v>
      </c>
      <c r="AM197" s="17">
        <f>VLOOKUP(AK197,Sheet1!$A$2:$B$25,2,FALSE)</f>
        <v>0</v>
      </c>
    </row>
    <row r="198" spans="1:39" s="25" customFormat="1" x14ac:dyDescent="0.25">
      <c r="A198" s="24">
        <f>MAX(B199:B294)</f>
        <v>880.05</v>
      </c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</row>
    <row r="199" spans="1:39" s="17" customFormat="1" x14ac:dyDescent="0.25">
      <c r="A199" s="21">
        <v>44594</v>
      </c>
      <c r="B199" s="17">
        <v>4.26</v>
      </c>
      <c r="C199" s="17">
        <v>0.21870000000000001</v>
      </c>
      <c r="D199" s="17">
        <v>4.04</v>
      </c>
      <c r="E199" s="17">
        <v>0</v>
      </c>
      <c r="F199" s="17">
        <v>0</v>
      </c>
      <c r="G199" s="17">
        <v>0</v>
      </c>
      <c r="H199" s="17">
        <v>1.61</v>
      </c>
      <c r="I199" s="17">
        <v>0</v>
      </c>
      <c r="J199" s="17">
        <v>1.66</v>
      </c>
      <c r="K199" s="17">
        <v>0</v>
      </c>
      <c r="L199" s="17">
        <v>0</v>
      </c>
      <c r="M199" s="17">
        <v>0</v>
      </c>
      <c r="N199" s="17">
        <v>0</v>
      </c>
      <c r="O199" s="17">
        <v>0</v>
      </c>
      <c r="P199" s="17">
        <v>0</v>
      </c>
      <c r="Q199" s="17">
        <v>0</v>
      </c>
      <c r="R199" s="17">
        <v>0.12709999999999999</v>
      </c>
      <c r="S199" s="17">
        <v>0</v>
      </c>
      <c r="T199" s="17">
        <v>0</v>
      </c>
      <c r="U199" s="17">
        <v>1.72</v>
      </c>
      <c r="V199" s="17">
        <v>0</v>
      </c>
      <c r="W199" s="17">
        <v>1.1100000000000001</v>
      </c>
      <c r="X199" s="17">
        <v>0</v>
      </c>
      <c r="Y199" s="17">
        <v>0</v>
      </c>
      <c r="Z199" s="17">
        <v>0</v>
      </c>
      <c r="AA199" s="17">
        <v>0</v>
      </c>
      <c r="AB199" s="17">
        <v>0</v>
      </c>
      <c r="AC199" s="17">
        <v>0</v>
      </c>
      <c r="AD199" s="17">
        <v>0</v>
      </c>
      <c r="AE199" s="17">
        <v>0</v>
      </c>
      <c r="AF199" s="17">
        <v>0</v>
      </c>
      <c r="AG199" s="17">
        <v>0</v>
      </c>
      <c r="AH199" s="17">
        <v>0</v>
      </c>
      <c r="AI199" s="17">
        <f t="shared" ref="AI199:AI262" si="15">WEEKDAY(A199,2)</f>
        <v>3</v>
      </c>
      <c r="AJ199" s="17">
        <f t="shared" ref="AJ199:AJ262" si="16">DAY(A199)</f>
        <v>2</v>
      </c>
      <c r="AK199" s="17">
        <f t="shared" ref="AK199:AK262" si="17">HOUR(A199)</f>
        <v>0</v>
      </c>
      <c r="AL199" s="17">
        <f t="shared" ref="AL199:AL262" si="18">IF(AI199&gt;=6,0,1)</f>
        <v>1</v>
      </c>
      <c r="AM199" s="17">
        <f>VLOOKUP(AK199,Sheet1!$A$2:$B$25,2,FALSE)</f>
        <v>0</v>
      </c>
    </row>
    <row r="200" spans="1:39" s="17" customFormat="1" x14ac:dyDescent="0.25">
      <c r="A200" s="21">
        <v>44594.010416666664</v>
      </c>
      <c r="B200" s="17">
        <v>4.03</v>
      </c>
      <c r="C200" s="17">
        <v>0</v>
      </c>
      <c r="D200" s="17">
        <v>4.03</v>
      </c>
      <c r="E200" s="17">
        <v>0</v>
      </c>
      <c r="F200" s="17">
        <v>0</v>
      </c>
      <c r="G200" s="17">
        <v>0</v>
      </c>
      <c r="H200" s="17">
        <v>1.67</v>
      </c>
      <c r="I200" s="17">
        <v>0</v>
      </c>
      <c r="J200" s="17">
        <v>1.72</v>
      </c>
      <c r="K200" s="17">
        <v>0</v>
      </c>
      <c r="L200" s="17">
        <v>0</v>
      </c>
      <c r="M200" s="17">
        <v>0</v>
      </c>
      <c r="N200" s="17">
        <v>0</v>
      </c>
      <c r="O200" s="17">
        <v>0</v>
      </c>
      <c r="P200" s="17">
        <v>0</v>
      </c>
      <c r="Q200" s="17">
        <v>0</v>
      </c>
      <c r="R200" s="17">
        <v>0.1326</v>
      </c>
      <c r="S200" s="17">
        <v>0</v>
      </c>
      <c r="T200" s="17">
        <v>0</v>
      </c>
      <c r="U200" s="17">
        <v>1.7</v>
      </c>
      <c r="V200" s="17">
        <v>0</v>
      </c>
      <c r="W200" s="17">
        <v>1.1000000000000001</v>
      </c>
      <c r="X200" s="17">
        <v>0</v>
      </c>
      <c r="Y200" s="17">
        <v>0</v>
      </c>
      <c r="Z200" s="17">
        <v>0</v>
      </c>
      <c r="AA200" s="17">
        <v>0</v>
      </c>
      <c r="AB200" s="17">
        <v>0</v>
      </c>
      <c r="AC200" s="17">
        <v>0</v>
      </c>
      <c r="AD200" s="17">
        <v>0</v>
      </c>
      <c r="AE200" s="17">
        <v>0</v>
      </c>
      <c r="AF200" s="17">
        <v>0</v>
      </c>
      <c r="AG200" s="17">
        <v>0</v>
      </c>
      <c r="AH200" s="17">
        <v>0</v>
      </c>
      <c r="AI200" s="17">
        <f t="shared" si="15"/>
        <v>3</v>
      </c>
      <c r="AJ200" s="17">
        <f t="shared" si="16"/>
        <v>2</v>
      </c>
      <c r="AK200" s="17">
        <f t="shared" si="17"/>
        <v>0</v>
      </c>
      <c r="AL200" s="17">
        <f t="shared" si="18"/>
        <v>1</v>
      </c>
      <c r="AM200" s="17">
        <f>VLOOKUP(AK200,Sheet1!$A$2:$B$25,2,FALSE)</f>
        <v>0</v>
      </c>
    </row>
    <row r="201" spans="1:39" s="17" customFormat="1" x14ac:dyDescent="0.25">
      <c r="A201" s="21">
        <v>44594.020833333336</v>
      </c>
      <c r="B201" s="17">
        <v>3.95</v>
      </c>
      <c r="C201" s="17">
        <v>0</v>
      </c>
      <c r="D201" s="17">
        <v>3.95</v>
      </c>
      <c r="E201" s="17">
        <v>0</v>
      </c>
      <c r="F201" s="17">
        <v>0</v>
      </c>
      <c r="G201" s="17">
        <v>0</v>
      </c>
      <c r="H201" s="17">
        <v>1.61</v>
      </c>
      <c r="I201" s="17">
        <v>0</v>
      </c>
      <c r="J201" s="17">
        <v>1.68</v>
      </c>
      <c r="K201" s="17">
        <v>0</v>
      </c>
      <c r="L201" s="17">
        <v>0</v>
      </c>
      <c r="M201" s="17">
        <v>0</v>
      </c>
      <c r="N201" s="17">
        <v>0</v>
      </c>
      <c r="O201" s="17">
        <v>0</v>
      </c>
      <c r="P201" s="17">
        <v>0</v>
      </c>
      <c r="Q201" s="17">
        <v>0</v>
      </c>
      <c r="R201" s="17">
        <v>0.2321</v>
      </c>
      <c r="S201" s="17">
        <v>0</v>
      </c>
      <c r="T201" s="17">
        <v>0</v>
      </c>
      <c r="U201" s="17">
        <v>1.66</v>
      </c>
      <c r="V201" s="17">
        <v>0</v>
      </c>
      <c r="W201" s="17">
        <v>1.08</v>
      </c>
      <c r="X201" s="17">
        <v>0</v>
      </c>
      <c r="Y201" s="17">
        <v>0</v>
      </c>
      <c r="Z201" s="17">
        <v>0</v>
      </c>
      <c r="AA201" s="17">
        <v>0</v>
      </c>
      <c r="AB201" s="17">
        <v>0</v>
      </c>
      <c r="AC201" s="17">
        <v>0</v>
      </c>
      <c r="AD201" s="17">
        <v>0</v>
      </c>
      <c r="AE201" s="17">
        <v>0</v>
      </c>
      <c r="AF201" s="17">
        <v>0</v>
      </c>
      <c r="AG201" s="17">
        <v>0</v>
      </c>
      <c r="AH201" s="17">
        <v>0</v>
      </c>
      <c r="AI201" s="17">
        <f t="shared" si="15"/>
        <v>3</v>
      </c>
      <c r="AJ201" s="17">
        <f t="shared" si="16"/>
        <v>2</v>
      </c>
      <c r="AK201" s="17">
        <f t="shared" si="17"/>
        <v>0</v>
      </c>
      <c r="AL201" s="17">
        <f t="shared" si="18"/>
        <v>1</v>
      </c>
      <c r="AM201" s="17">
        <f>VLOOKUP(AK201,Sheet1!$A$2:$B$25,2,FALSE)</f>
        <v>0</v>
      </c>
    </row>
    <row r="202" spans="1:39" s="17" customFormat="1" x14ac:dyDescent="0.25">
      <c r="A202" s="21">
        <v>44594.03125</v>
      </c>
      <c r="B202" s="17">
        <v>3.97</v>
      </c>
      <c r="C202" s="17">
        <v>0</v>
      </c>
      <c r="D202" s="17">
        <v>3.97</v>
      </c>
      <c r="E202" s="17">
        <v>0</v>
      </c>
      <c r="F202" s="17">
        <v>0</v>
      </c>
      <c r="G202" s="17">
        <v>0</v>
      </c>
      <c r="H202" s="17">
        <v>1.54</v>
      </c>
      <c r="I202" s="17">
        <v>0</v>
      </c>
      <c r="J202" s="17">
        <v>1.69</v>
      </c>
      <c r="K202" s="17">
        <v>0</v>
      </c>
      <c r="L202" s="17">
        <v>0</v>
      </c>
      <c r="M202" s="17">
        <v>0</v>
      </c>
      <c r="N202" s="17">
        <v>0</v>
      </c>
      <c r="O202" s="17">
        <v>0</v>
      </c>
      <c r="P202" s="17">
        <v>0</v>
      </c>
      <c r="Q202" s="17">
        <v>0</v>
      </c>
      <c r="R202" s="17">
        <v>9.1600000000000001E-2</v>
      </c>
      <c r="S202" s="17">
        <v>0</v>
      </c>
      <c r="T202" s="17">
        <v>0</v>
      </c>
      <c r="U202" s="17">
        <v>1.67</v>
      </c>
      <c r="V202" s="17">
        <v>0</v>
      </c>
      <c r="W202" s="17">
        <v>1.08</v>
      </c>
      <c r="X202" s="17">
        <v>0</v>
      </c>
      <c r="Y202" s="17">
        <v>0</v>
      </c>
      <c r="Z202" s="17">
        <v>0</v>
      </c>
      <c r="AA202" s="17">
        <v>0</v>
      </c>
      <c r="AB202" s="17">
        <v>0</v>
      </c>
      <c r="AC202" s="17">
        <v>0</v>
      </c>
      <c r="AD202" s="17">
        <v>0</v>
      </c>
      <c r="AE202" s="17">
        <v>0</v>
      </c>
      <c r="AF202" s="17">
        <v>0</v>
      </c>
      <c r="AG202" s="17">
        <v>0</v>
      </c>
      <c r="AH202" s="17">
        <v>0</v>
      </c>
      <c r="AI202" s="17">
        <f t="shared" si="15"/>
        <v>3</v>
      </c>
      <c r="AJ202" s="17">
        <f t="shared" si="16"/>
        <v>2</v>
      </c>
      <c r="AK202" s="17">
        <f t="shared" si="17"/>
        <v>0</v>
      </c>
      <c r="AL202" s="17">
        <f t="shared" si="18"/>
        <v>1</v>
      </c>
      <c r="AM202" s="17">
        <f>VLOOKUP(AK202,Sheet1!$A$2:$B$25,2,FALSE)</f>
        <v>0</v>
      </c>
    </row>
    <row r="203" spans="1:39" s="17" customFormat="1" x14ac:dyDescent="0.25">
      <c r="A203" s="21">
        <v>44594.041666666664</v>
      </c>
      <c r="B203" s="17">
        <v>3.9</v>
      </c>
      <c r="C203" s="17">
        <v>0</v>
      </c>
      <c r="D203" s="17">
        <v>3.9</v>
      </c>
      <c r="E203" s="17">
        <v>0</v>
      </c>
      <c r="F203" s="17">
        <v>0</v>
      </c>
      <c r="G203" s="17">
        <v>0</v>
      </c>
      <c r="H203" s="17">
        <v>1.63</v>
      </c>
      <c r="I203" s="17">
        <v>0</v>
      </c>
      <c r="J203" s="17">
        <v>1.78</v>
      </c>
      <c r="K203" s="17">
        <v>0</v>
      </c>
      <c r="L203" s="17">
        <v>0</v>
      </c>
      <c r="M203" s="17">
        <v>0</v>
      </c>
      <c r="N203" s="17">
        <v>0</v>
      </c>
      <c r="O203" s="17">
        <v>0</v>
      </c>
      <c r="P203" s="17">
        <v>0</v>
      </c>
      <c r="Q203" s="17">
        <v>0</v>
      </c>
      <c r="R203" s="17">
        <v>0.1729</v>
      </c>
      <c r="S203" s="17">
        <v>0</v>
      </c>
      <c r="T203" s="17">
        <v>0</v>
      </c>
      <c r="U203" s="17">
        <v>1.69</v>
      </c>
      <c r="V203" s="17">
        <v>0</v>
      </c>
      <c r="W203" s="17">
        <v>1.1000000000000001</v>
      </c>
      <c r="X203" s="17">
        <v>0</v>
      </c>
      <c r="Y203" s="17">
        <v>0</v>
      </c>
      <c r="Z203" s="17">
        <v>0</v>
      </c>
      <c r="AA203" s="17">
        <v>0</v>
      </c>
      <c r="AB203" s="17">
        <v>0</v>
      </c>
      <c r="AC203" s="17">
        <v>0</v>
      </c>
      <c r="AD203" s="17">
        <v>0</v>
      </c>
      <c r="AE203" s="17">
        <v>0</v>
      </c>
      <c r="AF203" s="17">
        <v>0</v>
      </c>
      <c r="AG203" s="17">
        <v>0</v>
      </c>
      <c r="AH203" s="17">
        <v>0</v>
      </c>
      <c r="AI203" s="17">
        <f t="shared" si="15"/>
        <v>3</v>
      </c>
      <c r="AJ203" s="17">
        <f t="shared" si="16"/>
        <v>2</v>
      </c>
      <c r="AK203" s="17">
        <f t="shared" si="17"/>
        <v>1</v>
      </c>
      <c r="AL203" s="17">
        <f t="shared" si="18"/>
        <v>1</v>
      </c>
      <c r="AM203" s="17">
        <f>VLOOKUP(AK203,Sheet1!$A$2:$B$25,2,FALSE)</f>
        <v>0</v>
      </c>
    </row>
    <row r="204" spans="1:39" s="17" customFormat="1" x14ac:dyDescent="0.25">
      <c r="A204" s="21">
        <v>44594.052083333336</v>
      </c>
      <c r="B204" s="17">
        <v>4.01</v>
      </c>
      <c r="C204" s="17">
        <v>0</v>
      </c>
      <c r="D204" s="17">
        <v>4.01</v>
      </c>
      <c r="E204" s="17">
        <v>0</v>
      </c>
      <c r="F204" s="17">
        <v>0</v>
      </c>
      <c r="G204" s="17">
        <v>0</v>
      </c>
      <c r="H204" s="17">
        <v>1.7</v>
      </c>
      <c r="I204" s="17">
        <v>0</v>
      </c>
      <c r="J204" s="17">
        <v>1.74</v>
      </c>
      <c r="K204" s="17">
        <v>0</v>
      </c>
      <c r="L204" s="17">
        <v>0</v>
      </c>
      <c r="M204" s="17">
        <v>0</v>
      </c>
      <c r="N204" s="17">
        <v>0</v>
      </c>
      <c r="O204" s="17">
        <v>0</v>
      </c>
      <c r="P204" s="17">
        <v>0</v>
      </c>
      <c r="Q204" s="17">
        <v>0</v>
      </c>
      <c r="R204" s="17">
        <v>4.7399999999999998E-2</v>
      </c>
      <c r="S204" s="17">
        <v>0</v>
      </c>
      <c r="T204" s="17">
        <v>0</v>
      </c>
      <c r="U204" s="17">
        <v>1.63</v>
      </c>
      <c r="V204" s="17">
        <v>0</v>
      </c>
      <c r="W204" s="17">
        <v>1.07</v>
      </c>
      <c r="X204" s="17">
        <v>0</v>
      </c>
      <c r="Y204" s="17">
        <v>0</v>
      </c>
      <c r="Z204" s="17">
        <v>0</v>
      </c>
      <c r="AA204" s="17">
        <v>0</v>
      </c>
      <c r="AB204" s="17">
        <v>0</v>
      </c>
      <c r="AC204" s="17">
        <v>0</v>
      </c>
      <c r="AD204" s="17">
        <v>0</v>
      </c>
      <c r="AE204" s="17">
        <v>0</v>
      </c>
      <c r="AF204" s="17">
        <v>0</v>
      </c>
      <c r="AG204" s="17">
        <v>0</v>
      </c>
      <c r="AH204" s="17">
        <v>0</v>
      </c>
      <c r="AI204" s="17">
        <f t="shared" si="15"/>
        <v>3</v>
      </c>
      <c r="AJ204" s="17">
        <f t="shared" si="16"/>
        <v>2</v>
      </c>
      <c r="AK204" s="17">
        <f t="shared" si="17"/>
        <v>1</v>
      </c>
      <c r="AL204" s="17">
        <f t="shared" si="18"/>
        <v>1</v>
      </c>
      <c r="AM204" s="17">
        <f>VLOOKUP(AK204,Sheet1!$A$2:$B$25,2,FALSE)</f>
        <v>0</v>
      </c>
    </row>
    <row r="205" spans="1:39" s="17" customFormat="1" x14ac:dyDescent="0.25">
      <c r="A205" s="21">
        <v>44594.0625</v>
      </c>
      <c r="B205" s="17">
        <v>4.1500000000000004</v>
      </c>
      <c r="C205" s="17">
        <v>0.1855</v>
      </c>
      <c r="D205" s="17">
        <v>3.96</v>
      </c>
      <c r="E205" s="17">
        <v>0</v>
      </c>
      <c r="F205" s="17">
        <v>0</v>
      </c>
      <c r="G205" s="17">
        <v>0</v>
      </c>
      <c r="H205" s="17">
        <v>1.53</v>
      </c>
      <c r="I205" s="17">
        <v>0</v>
      </c>
      <c r="J205" s="17">
        <v>1.63</v>
      </c>
      <c r="K205" s="17">
        <v>0</v>
      </c>
      <c r="L205" s="17">
        <v>0</v>
      </c>
      <c r="M205" s="17">
        <v>0</v>
      </c>
      <c r="N205" s="17">
        <v>0</v>
      </c>
      <c r="O205" s="17">
        <v>0</v>
      </c>
      <c r="P205" s="17">
        <v>0</v>
      </c>
      <c r="Q205" s="17">
        <v>0</v>
      </c>
      <c r="R205" s="17">
        <v>8.2100000000000006E-2</v>
      </c>
      <c r="S205" s="17">
        <v>0</v>
      </c>
      <c r="T205" s="17">
        <v>0</v>
      </c>
      <c r="U205" s="17">
        <v>1.62</v>
      </c>
      <c r="V205" s="17">
        <v>0</v>
      </c>
      <c r="W205" s="17">
        <v>1.05</v>
      </c>
      <c r="X205" s="17">
        <v>0</v>
      </c>
      <c r="Y205" s="17">
        <v>0</v>
      </c>
      <c r="Z205" s="17">
        <v>0</v>
      </c>
      <c r="AA205" s="17">
        <v>0</v>
      </c>
      <c r="AB205" s="17">
        <v>0</v>
      </c>
      <c r="AC205" s="17">
        <v>0</v>
      </c>
      <c r="AD205" s="17">
        <v>0</v>
      </c>
      <c r="AE205" s="17">
        <v>0</v>
      </c>
      <c r="AF205" s="17">
        <v>0</v>
      </c>
      <c r="AG205" s="17">
        <v>0</v>
      </c>
      <c r="AH205" s="17">
        <v>0</v>
      </c>
      <c r="AI205" s="17">
        <f t="shared" si="15"/>
        <v>3</v>
      </c>
      <c r="AJ205" s="17">
        <f t="shared" si="16"/>
        <v>2</v>
      </c>
      <c r="AK205" s="17">
        <f t="shared" si="17"/>
        <v>1</v>
      </c>
      <c r="AL205" s="17">
        <f t="shared" si="18"/>
        <v>1</v>
      </c>
      <c r="AM205" s="17">
        <f>VLOOKUP(AK205,Sheet1!$A$2:$B$25,2,FALSE)</f>
        <v>0</v>
      </c>
    </row>
    <row r="206" spans="1:39" s="17" customFormat="1" x14ac:dyDescent="0.25">
      <c r="A206" s="21">
        <v>44594.072916666664</v>
      </c>
      <c r="B206" s="17">
        <v>4.08</v>
      </c>
      <c r="C206" s="17">
        <v>0.2021</v>
      </c>
      <c r="D206" s="17">
        <v>3.88</v>
      </c>
      <c r="E206" s="17">
        <v>0</v>
      </c>
      <c r="F206" s="17">
        <v>0</v>
      </c>
      <c r="G206" s="17">
        <v>0</v>
      </c>
      <c r="H206" s="17">
        <v>1.67</v>
      </c>
      <c r="I206" s="17">
        <v>0</v>
      </c>
      <c r="J206" s="17">
        <v>1.72</v>
      </c>
      <c r="K206" s="17">
        <v>0</v>
      </c>
      <c r="L206" s="17">
        <v>0</v>
      </c>
      <c r="M206" s="17">
        <v>0</v>
      </c>
      <c r="N206" s="17">
        <v>0</v>
      </c>
      <c r="O206" s="17">
        <v>0</v>
      </c>
      <c r="P206" s="17">
        <v>0</v>
      </c>
      <c r="Q206" s="17">
        <v>0</v>
      </c>
      <c r="R206" s="17">
        <v>9.1600000000000001E-2</v>
      </c>
      <c r="S206" s="17">
        <v>0</v>
      </c>
      <c r="T206" s="17">
        <v>0</v>
      </c>
      <c r="U206" s="17">
        <v>1.63</v>
      </c>
      <c r="V206" s="17">
        <v>0</v>
      </c>
      <c r="W206" s="17">
        <v>1.06</v>
      </c>
      <c r="X206" s="17">
        <v>0</v>
      </c>
      <c r="Y206" s="17">
        <v>0</v>
      </c>
      <c r="Z206" s="17">
        <v>0</v>
      </c>
      <c r="AA206" s="17">
        <v>0</v>
      </c>
      <c r="AB206" s="17">
        <v>0</v>
      </c>
      <c r="AC206" s="17">
        <v>0</v>
      </c>
      <c r="AD206" s="17">
        <v>0</v>
      </c>
      <c r="AE206" s="17">
        <v>0</v>
      </c>
      <c r="AF206" s="17">
        <v>0</v>
      </c>
      <c r="AG206" s="17">
        <v>0</v>
      </c>
      <c r="AH206" s="17">
        <v>0</v>
      </c>
      <c r="AI206" s="17">
        <f t="shared" si="15"/>
        <v>3</v>
      </c>
      <c r="AJ206" s="17">
        <f t="shared" si="16"/>
        <v>2</v>
      </c>
      <c r="AK206" s="17">
        <f t="shared" si="17"/>
        <v>1</v>
      </c>
      <c r="AL206" s="17">
        <f t="shared" si="18"/>
        <v>1</v>
      </c>
      <c r="AM206" s="17">
        <f>VLOOKUP(AK206,Sheet1!$A$2:$B$25,2,FALSE)</f>
        <v>0</v>
      </c>
    </row>
    <row r="207" spans="1:39" s="17" customFormat="1" x14ac:dyDescent="0.25">
      <c r="A207" s="21">
        <v>44594.083333333336</v>
      </c>
      <c r="B207" s="17">
        <v>4.18</v>
      </c>
      <c r="C207" s="17">
        <v>0.2021</v>
      </c>
      <c r="D207" s="17">
        <v>3.98</v>
      </c>
      <c r="E207" s="17">
        <v>0</v>
      </c>
      <c r="F207" s="17">
        <v>0</v>
      </c>
      <c r="G207" s="17">
        <v>0</v>
      </c>
      <c r="H207" s="17">
        <v>1.66</v>
      </c>
      <c r="I207" s="17">
        <v>0</v>
      </c>
      <c r="J207" s="17">
        <v>1.78</v>
      </c>
      <c r="K207" s="17">
        <v>0</v>
      </c>
      <c r="L207" s="17">
        <v>0</v>
      </c>
      <c r="M207" s="17">
        <v>0</v>
      </c>
      <c r="N207" s="17">
        <v>0</v>
      </c>
      <c r="O207" s="17">
        <v>0</v>
      </c>
      <c r="P207" s="17">
        <v>0</v>
      </c>
      <c r="Q207" s="17">
        <v>0</v>
      </c>
      <c r="R207" s="17">
        <v>0.1366</v>
      </c>
      <c r="S207" s="17">
        <v>0</v>
      </c>
      <c r="T207" s="17">
        <v>0</v>
      </c>
      <c r="U207" s="17">
        <v>1.64</v>
      </c>
      <c r="V207" s="17">
        <v>0</v>
      </c>
      <c r="W207" s="17">
        <v>1.07</v>
      </c>
      <c r="X207" s="17">
        <v>0</v>
      </c>
      <c r="Y207" s="17">
        <v>0</v>
      </c>
      <c r="Z207" s="17">
        <v>0</v>
      </c>
      <c r="AA207" s="17">
        <v>0</v>
      </c>
      <c r="AB207" s="17">
        <v>0</v>
      </c>
      <c r="AC207" s="17">
        <v>0</v>
      </c>
      <c r="AD207" s="17">
        <v>0</v>
      </c>
      <c r="AE207" s="17">
        <v>0</v>
      </c>
      <c r="AF207" s="17">
        <v>0</v>
      </c>
      <c r="AG207" s="17">
        <v>0</v>
      </c>
      <c r="AH207" s="17">
        <v>0</v>
      </c>
      <c r="AI207" s="17">
        <f t="shared" si="15"/>
        <v>3</v>
      </c>
      <c r="AJ207" s="17">
        <f t="shared" si="16"/>
        <v>2</v>
      </c>
      <c r="AK207" s="17">
        <f t="shared" si="17"/>
        <v>2</v>
      </c>
      <c r="AL207" s="17">
        <f t="shared" si="18"/>
        <v>1</v>
      </c>
      <c r="AM207" s="17">
        <f>VLOOKUP(AK207,Sheet1!$A$2:$B$25,2,FALSE)</f>
        <v>0</v>
      </c>
    </row>
    <row r="208" spans="1:39" s="17" customFormat="1" x14ac:dyDescent="0.25">
      <c r="A208" s="21">
        <v>44594.09375</v>
      </c>
      <c r="B208" s="17">
        <v>3.89</v>
      </c>
      <c r="C208" s="17">
        <v>0</v>
      </c>
      <c r="D208" s="17">
        <v>3.89</v>
      </c>
      <c r="E208" s="17">
        <v>0</v>
      </c>
      <c r="F208" s="17">
        <v>0</v>
      </c>
      <c r="G208" s="17">
        <v>0</v>
      </c>
      <c r="H208" s="17">
        <v>1.59</v>
      </c>
      <c r="I208" s="17">
        <v>0</v>
      </c>
      <c r="J208" s="17">
        <v>1.77</v>
      </c>
      <c r="K208" s="17">
        <v>0</v>
      </c>
      <c r="L208" s="17">
        <v>0</v>
      </c>
      <c r="M208" s="17">
        <v>0</v>
      </c>
      <c r="N208" s="17">
        <v>0</v>
      </c>
      <c r="O208" s="17">
        <v>0</v>
      </c>
      <c r="P208" s="17">
        <v>0</v>
      </c>
      <c r="Q208" s="17">
        <v>0</v>
      </c>
      <c r="R208" s="17">
        <v>8.2100000000000006E-2</v>
      </c>
      <c r="S208" s="17">
        <v>0</v>
      </c>
      <c r="T208" s="17">
        <v>0</v>
      </c>
      <c r="U208" s="17">
        <v>1.63</v>
      </c>
      <c r="V208" s="17">
        <v>0</v>
      </c>
      <c r="W208" s="17">
        <v>1.06</v>
      </c>
      <c r="X208" s="17">
        <v>0</v>
      </c>
      <c r="Y208" s="17">
        <v>0</v>
      </c>
      <c r="Z208" s="17">
        <v>0</v>
      </c>
      <c r="AA208" s="17">
        <v>0</v>
      </c>
      <c r="AB208" s="17">
        <v>0</v>
      </c>
      <c r="AC208" s="17">
        <v>0</v>
      </c>
      <c r="AD208" s="17">
        <v>0</v>
      </c>
      <c r="AE208" s="17">
        <v>0</v>
      </c>
      <c r="AF208" s="17">
        <v>0</v>
      </c>
      <c r="AG208" s="17">
        <v>0</v>
      </c>
      <c r="AH208" s="17">
        <v>0</v>
      </c>
      <c r="AI208" s="17">
        <f t="shared" si="15"/>
        <v>3</v>
      </c>
      <c r="AJ208" s="17">
        <f t="shared" si="16"/>
        <v>2</v>
      </c>
      <c r="AK208" s="17">
        <f t="shared" si="17"/>
        <v>2</v>
      </c>
      <c r="AL208" s="17">
        <f t="shared" si="18"/>
        <v>1</v>
      </c>
      <c r="AM208" s="17">
        <f>VLOOKUP(AK208,Sheet1!$A$2:$B$25,2,FALSE)</f>
        <v>0</v>
      </c>
    </row>
    <row r="209" spans="1:39" s="17" customFormat="1" x14ac:dyDescent="0.25">
      <c r="A209" s="21">
        <v>44594.104166666664</v>
      </c>
      <c r="B209" s="17">
        <v>4.2</v>
      </c>
      <c r="C209" s="17">
        <v>0.2021</v>
      </c>
      <c r="D209" s="17">
        <v>3.99</v>
      </c>
      <c r="E209" s="17">
        <v>0</v>
      </c>
      <c r="F209" s="17">
        <v>0</v>
      </c>
      <c r="G209" s="17">
        <v>0</v>
      </c>
      <c r="H209" s="17">
        <v>1.66</v>
      </c>
      <c r="I209" s="17">
        <v>0</v>
      </c>
      <c r="J209" s="17">
        <v>1.67</v>
      </c>
      <c r="K209" s="17">
        <v>0</v>
      </c>
      <c r="L209" s="17">
        <v>0</v>
      </c>
      <c r="M209" s="17">
        <v>0</v>
      </c>
      <c r="N209" s="17">
        <v>0</v>
      </c>
      <c r="O209" s="17">
        <v>0</v>
      </c>
      <c r="P209" s="17">
        <v>0</v>
      </c>
      <c r="Q209" s="17">
        <v>0</v>
      </c>
      <c r="R209" s="17">
        <v>8.5300000000000001E-2</v>
      </c>
      <c r="S209" s="17">
        <v>0</v>
      </c>
      <c r="T209" s="17">
        <v>0</v>
      </c>
      <c r="U209" s="17">
        <v>1.63</v>
      </c>
      <c r="V209" s="17">
        <v>0</v>
      </c>
      <c r="W209" s="17">
        <v>1.06</v>
      </c>
      <c r="X209" s="17">
        <v>0</v>
      </c>
      <c r="Y209" s="17">
        <v>0</v>
      </c>
      <c r="Z209" s="17">
        <v>0</v>
      </c>
      <c r="AA209" s="17">
        <v>0</v>
      </c>
      <c r="AB209" s="17">
        <v>0</v>
      </c>
      <c r="AC209" s="17">
        <v>0</v>
      </c>
      <c r="AD209" s="17">
        <v>0</v>
      </c>
      <c r="AE209" s="17">
        <v>0</v>
      </c>
      <c r="AF209" s="17">
        <v>0</v>
      </c>
      <c r="AG209" s="17">
        <v>0</v>
      </c>
      <c r="AH209" s="17">
        <v>0</v>
      </c>
      <c r="AI209" s="17">
        <f t="shared" si="15"/>
        <v>3</v>
      </c>
      <c r="AJ209" s="17">
        <f t="shared" si="16"/>
        <v>2</v>
      </c>
      <c r="AK209" s="17">
        <f t="shared" si="17"/>
        <v>2</v>
      </c>
      <c r="AL209" s="17">
        <f t="shared" si="18"/>
        <v>1</v>
      </c>
      <c r="AM209" s="17">
        <f>VLOOKUP(AK209,Sheet1!$A$2:$B$25,2,FALSE)</f>
        <v>0</v>
      </c>
    </row>
    <row r="210" spans="1:39" s="17" customFormat="1" x14ac:dyDescent="0.25">
      <c r="A210" s="21">
        <v>44594.114583333336</v>
      </c>
      <c r="B210" s="17">
        <v>4.17</v>
      </c>
      <c r="C210" s="17">
        <v>0.21870000000000001</v>
      </c>
      <c r="D210" s="17">
        <v>3.95</v>
      </c>
      <c r="E210" s="17">
        <v>0</v>
      </c>
      <c r="F210" s="17">
        <v>0</v>
      </c>
      <c r="G210" s="17">
        <v>0</v>
      </c>
      <c r="H210" s="17">
        <v>1.61</v>
      </c>
      <c r="I210" s="17">
        <v>0</v>
      </c>
      <c r="J210" s="17">
        <v>1.69</v>
      </c>
      <c r="K210" s="17">
        <v>0</v>
      </c>
      <c r="L210" s="17">
        <v>0</v>
      </c>
      <c r="M210" s="17">
        <v>0</v>
      </c>
      <c r="N210" s="17">
        <v>0</v>
      </c>
      <c r="O210" s="17">
        <v>0</v>
      </c>
      <c r="P210" s="17">
        <v>0</v>
      </c>
      <c r="Q210" s="17">
        <v>0</v>
      </c>
      <c r="R210" s="17">
        <v>8.2100000000000006E-2</v>
      </c>
      <c r="S210" s="17">
        <v>0</v>
      </c>
      <c r="T210" s="17">
        <v>0</v>
      </c>
      <c r="U210" s="17">
        <v>1.63</v>
      </c>
      <c r="V210" s="17">
        <v>0</v>
      </c>
      <c r="W210" s="17">
        <v>1.06</v>
      </c>
      <c r="X210" s="17">
        <v>0</v>
      </c>
      <c r="Y210" s="17">
        <v>0</v>
      </c>
      <c r="Z210" s="17">
        <v>0</v>
      </c>
      <c r="AA210" s="17">
        <v>0</v>
      </c>
      <c r="AB210" s="17">
        <v>0</v>
      </c>
      <c r="AC210" s="17">
        <v>0</v>
      </c>
      <c r="AD210" s="17">
        <v>0</v>
      </c>
      <c r="AE210" s="17">
        <v>0</v>
      </c>
      <c r="AF210" s="17">
        <v>0</v>
      </c>
      <c r="AG210" s="17">
        <v>0</v>
      </c>
      <c r="AH210" s="17">
        <v>0</v>
      </c>
      <c r="AI210" s="17">
        <f t="shared" si="15"/>
        <v>3</v>
      </c>
      <c r="AJ210" s="17">
        <f t="shared" si="16"/>
        <v>2</v>
      </c>
      <c r="AK210" s="17">
        <f t="shared" si="17"/>
        <v>2</v>
      </c>
      <c r="AL210" s="17">
        <f t="shared" si="18"/>
        <v>1</v>
      </c>
      <c r="AM210" s="17">
        <f>VLOOKUP(AK210,Sheet1!$A$2:$B$25,2,FALSE)</f>
        <v>0</v>
      </c>
    </row>
    <row r="211" spans="1:39" s="17" customFormat="1" x14ac:dyDescent="0.25">
      <c r="A211" s="21">
        <v>44594.125</v>
      </c>
      <c r="B211" s="17">
        <v>4.03</v>
      </c>
      <c r="C211" s="17">
        <v>0</v>
      </c>
      <c r="D211" s="17">
        <v>4.03</v>
      </c>
      <c r="E211" s="17">
        <v>0</v>
      </c>
      <c r="F211" s="17">
        <v>0</v>
      </c>
      <c r="G211" s="17">
        <v>0</v>
      </c>
      <c r="H211" s="17">
        <v>1.55</v>
      </c>
      <c r="I211" s="17">
        <v>0</v>
      </c>
      <c r="J211" s="17">
        <v>1.71</v>
      </c>
      <c r="K211" s="17">
        <v>0</v>
      </c>
      <c r="L211" s="17">
        <v>0</v>
      </c>
      <c r="M211" s="17">
        <v>0</v>
      </c>
      <c r="N211" s="17">
        <v>0</v>
      </c>
      <c r="O211" s="17">
        <v>0</v>
      </c>
      <c r="P211" s="17">
        <v>0</v>
      </c>
      <c r="Q211" s="17">
        <v>0</v>
      </c>
      <c r="R211" s="17">
        <v>8.5300000000000001E-2</v>
      </c>
      <c r="S211" s="17">
        <v>0</v>
      </c>
      <c r="T211" s="17">
        <v>0</v>
      </c>
      <c r="U211" s="17">
        <v>1.63</v>
      </c>
      <c r="V211" s="17">
        <v>0</v>
      </c>
      <c r="W211" s="17">
        <v>1.06</v>
      </c>
      <c r="X211" s="17">
        <v>0</v>
      </c>
      <c r="Y211" s="17">
        <v>0</v>
      </c>
      <c r="Z211" s="17">
        <v>0</v>
      </c>
      <c r="AA211" s="17">
        <v>0</v>
      </c>
      <c r="AB211" s="17">
        <v>0</v>
      </c>
      <c r="AC211" s="17">
        <v>0</v>
      </c>
      <c r="AD211" s="17">
        <v>0</v>
      </c>
      <c r="AE211" s="17">
        <v>0</v>
      </c>
      <c r="AF211" s="17">
        <v>0</v>
      </c>
      <c r="AG211" s="17">
        <v>0</v>
      </c>
      <c r="AH211" s="17">
        <v>0</v>
      </c>
      <c r="AI211" s="17">
        <f t="shared" si="15"/>
        <v>3</v>
      </c>
      <c r="AJ211" s="17">
        <f t="shared" si="16"/>
        <v>2</v>
      </c>
      <c r="AK211" s="17">
        <f t="shared" si="17"/>
        <v>3</v>
      </c>
      <c r="AL211" s="17">
        <f t="shared" si="18"/>
        <v>1</v>
      </c>
      <c r="AM211" s="17">
        <f>VLOOKUP(AK211,Sheet1!$A$2:$B$25,2,FALSE)</f>
        <v>0</v>
      </c>
    </row>
    <row r="212" spans="1:39" s="17" customFormat="1" x14ac:dyDescent="0.25">
      <c r="A212" s="21">
        <v>44594.135416666664</v>
      </c>
      <c r="B212" s="17">
        <v>4.3</v>
      </c>
      <c r="C212" s="17">
        <v>0.2021</v>
      </c>
      <c r="D212" s="17">
        <v>4.0999999999999996</v>
      </c>
      <c r="E212" s="17">
        <v>0</v>
      </c>
      <c r="F212" s="17">
        <v>0</v>
      </c>
      <c r="G212" s="17">
        <v>0</v>
      </c>
      <c r="H212" s="17">
        <v>1.67</v>
      </c>
      <c r="I212" s="17">
        <v>0</v>
      </c>
      <c r="J212" s="17">
        <v>1.78</v>
      </c>
      <c r="K212" s="17">
        <v>0</v>
      </c>
      <c r="L212" s="17">
        <v>0</v>
      </c>
      <c r="M212" s="17">
        <v>0</v>
      </c>
      <c r="N212" s="17">
        <v>0</v>
      </c>
      <c r="O212" s="17">
        <v>0</v>
      </c>
      <c r="P212" s="17">
        <v>0</v>
      </c>
      <c r="Q212" s="17">
        <v>0</v>
      </c>
      <c r="R212" s="17">
        <v>8.5300000000000001E-2</v>
      </c>
      <c r="S212" s="17">
        <v>0</v>
      </c>
      <c r="T212" s="17">
        <v>0</v>
      </c>
      <c r="U212" s="17">
        <v>1.62</v>
      </c>
      <c r="V212" s="17">
        <v>0</v>
      </c>
      <c r="W212" s="17">
        <v>1.06</v>
      </c>
      <c r="X212" s="17">
        <v>0</v>
      </c>
      <c r="Y212" s="17">
        <v>0</v>
      </c>
      <c r="Z212" s="17">
        <v>0</v>
      </c>
      <c r="AA212" s="17">
        <v>0</v>
      </c>
      <c r="AB212" s="17">
        <v>0</v>
      </c>
      <c r="AC212" s="17">
        <v>0</v>
      </c>
      <c r="AD212" s="17">
        <v>0</v>
      </c>
      <c r="AE212" s="17">
        <v>0</v>
      </c>
      <c r="AF212" s="17">
        <v>0</v>
      </c>
      <c r="AG212" s="17">
        <v>0</v>
      </c>
      <c r="AH212" s="17">
        <v>0</v>
      </c>
      <c r="AI212" s="17">
        <f t="shared" si="15"/>
        <v>3</v>
      </c>
      <c r="AJ212" s="17">
        <f t="shared" si="16"/>
        <v>2</v>
      </c>
      <c r="AK212" s="17">
        <f t="shared" si="17"/>
        <v>3</v>
      </c>
      <c r="AL212" s="17">
        <f t="shared" si="18"/>
        <v>1</v>
      </c>
      <c r="AM212" s="17">
        <f>VLOOKUP(AK212,Sheet1!$A$2:$B$25,2,FALSE)</f>
        <v>0</v>
      </c>
    </row>
    <row r="213" spans="1:39" s="17" customFormat="1" x14ac:dyDescent="0.25">
      <c r="A213" s="21">
        <v>44594.145833333336</v>
      </c>
      <c r="B213" s="17">
        <v>4.26</v>
      </c>
      <c r="C213" s="17">
        <v>0.2021</v>
      </c>
      <c r="D213" s="17">
        <v>4.05</v>
      </c>
      <c r="E213" s="17">
        <v>0</v>
      </c>
      <c r="F213" s="17">
        <v>0</v>
      </c>
      <c r="G213" s="17">
        <v>0</v>
      </c>
      <c r="H213" s="17">
        <v>1.64</v>
      </c>
      <c r="I213" s="17">
        <v>0</v>
      </c>
      <c r="J213" s="17">
        <v>1.75</v>
      </c>
      <c r="K213" s="17">
        <v>0</v>
      </c>
      <c r="L213" s="17">
        <v>0</v>
      </c>
      <c r="M213" s="17">
        <v>0</v>
      </c>
      <c r="N213" s="17">
        <v>0</v>
      </c>
      <c r="O213" s="17">
        <v>0</v>
      </c>
      <c r="P213" s="17">
        <v>0</v>
      </c>
      <c r="Q213" s="17">
        <v>0</v>
      </c>
      <c r="R213" s="17">
        <v>8.2100000000000006E-2</v>
      </c>
      <c r="S213" s="17">
        <v>0</v>
      </c>
      <c r="T213" s="17">
        <v>0</v>
      </c>
      <c r="U213" s="17">
        <v>1.63</v>
      </c>
      <c r="V213" s="17">
        <v>0</v>
      </c>
      <c r="W213" s="17">
        <v>1.05</v>
      </c>
      <c r="X213" s="17">
        <v>0</v>
      </c>
      <c r="Y213" s="17">
        <v>0</v>
      </c>
      <c r="Z213" s="17">
        <v>0</v>
      </c>
      <c r="AA213" s="17">
        <v>0</v>
      </c>
      <c r="AB213" s="17">
        <v>0</v>
      </c>
      <c r="AC213" s="17">
        <v>0</v>
      </c>
      <c r="AD213" s="17">
        <v>0</v>
      </c>
      <c r="AE213" s="17">
        <v>0</v>
      </c>
      <c r="AF213" s="17">
        <v>0</v>
      </c>
      <c r="AG213" s="17">
        <v>0</v>
      </c>
      <c r="AH213" s="17">
        <v>0</v>
      </c>
      <c r="AI213" s="17">
        <f t="shared" si="15"/>
        <v>3</v>
      </c>
      <c r="AJ213" s="17">
        <f t="shared" si="16"/>
        <v>2</v>
      </c>
      <c r="AK213" s="17">
        <f t="shared" si="17"/>
        <v>3</v>
      </c>
      <c r="AL213" s="17">
        <f t="shared" si="18"/>
        <v>1</v>
      </c>
      <c r="AM213" s="17">
        <f>VLOOKUP(AK213,Sheet1!$A$2:$B$25,2,FALSE)</f>
        <v>0</v>
      </c>
    </row>
    <row r="214" spans="1:39" s="17" customFormat="1" x14ac:dyDescent="0.25">
      <c r="A214" s="21">
        <v>44594.15625</v>
      </c>
      <c r="B214" s="17">
        <v>3.97</v>
      </c>
      <c r="C214" s="17">
        <v>0</v>
      </c>
      <c r="D214" s="17">
        <v>3.97</v>
      </c>
      <c r="E214" s="17">
        <v>0</v>
      </c>
      <c r="F214" s="17">
        <v>0</v>
      </c>
      <c r="G214" s="17">
        <v>0</v>
      </c>
      <c r="H214" s="17">
        <v>1.65</v>
      </c>
      <c r="I214" s="17">
        <v>0</v>
      </c>
      <c r="J214" s="17">
        <v>1.8</v>
      </c>
      <c r="K214" s="17">
        <v>0</v>
      </c>
      <c r="L214" s="17">
        <v>0</v>
      </c>
      <c r="M214" s="17">
        <v>0</v>
      </c>
      <c r="N214" s="17">
        <v>0</v>
      </c>
      <c r="O214" s="17">
        <v>0</v>
      </c>
      <c r="P214" s="17">
        <v>0</v>
      </c>
      <c r="Q214" s="17">
        <v>0</v>
      </c>
      <c r="R214" s="17">
        <v>4.4200000000000003E-2</v>
      </c>
      <c r="S214" s="17">
        <v>0</v>
      </c>
      <c r="T214" s="17">
        <v>0</v>
      </c>
      <c r="U214" s="17">
        <v>1.62</v>
      </c>
      <c r="V214" s="17">
        <v>0</v>
      </c>
      <c r="W214" s="17">
        <v>1.06</v>
      </c>
      <c r="X214" s="17">
        <v>0</v>
      </c>
      <c r="Y214" s="17">
        <v>0</v>
      </c>
      <c r="Z214" s="17">
        <v>0</v>
      </c>
      <c r="AA214" s="17">
        <v>0</v>
      </c>
      <c r="AB214" s="17">
        <v>0</v>
      </c>
      <c r="AC214" s="17">
        <v>0</v>
      </c>
      <c r="AD214" s="17">
        <v>0</v>
      </c>
      <c r="AE214" s="17">
        <v>0</v>
      </c>
      <c r="AF214" s="17">
        <v>0</v>
      </c>
      <c r="AG214" s="17">
        <v>0</v>
      </c>
      <c r="AH214" s="17">
        <v>0</v>
      </c>
      <c r="AI214" s="17">
        <f t="shared" si="15"/>
        <v>3</v>
      </c>
      <c r="AJ214" s="17">
        <f t="shared" si="16"/>
        <v>2</v>
      </c>
      <c r="AK214" s="17">
        <f t="shared" si="17"/>
        <v>3</v>
      </c>
      <c r="AL214" s="17">
        <f t="shared" si="18"/>
        <v>1</v>
      </c>
      <c r="AM214" s="17">
        <f>VLOOKUP(AK214,Sheet1!$A$2:$B$25,2,FALSE)</f>
        <v>0</v>
      </c>
    </row>
    <row r="215" spans="1:39" s="17" customFormat="1" x14ac:dyDescent="0.25">
      <c r="A215" s="21">
        <v>44594.166666666664</v>
      </c>
      <c r="B215" s="17">
        <v>84.86</v>
      </c>
      <c r="C215" s="17">
        <v>0</v>
      </c>
      <c r="D215" s="17">
        <v>3.92</v>
      </c>
      <c r="E215" s="17">
        <v>0</v>
      </c>
      <c r="F215" s="17">
        <v>0</v>
      </c>
      <c r="G215" s="17">
        <v>80.94</v>
      </c>
      <c r="H215" s="17">
        <v>1.67</v>
      </c>
      <c r="I215" s="17">
        <v>0</v>
      </c>
      <c r="J215" s="17">
        <v>1.71</v>
      </c>
      <c r="K215" s="17">
        <v>0</v>
      </c>
      <c r="L215" s="17">
        <v>0</v>
      </c>
      <c r="M215" s="17">
        <v>0</v>
      </c>
      <c r="N215" s="17">
        <v>0</v>
      </c>
      <c r="O215" s="17">
        <v>0</v>
      </c>
      <c r="P215" s="17">
        <v>0</v>
      </c>
      <c r="Q215" s="17">
        <v>0</v>
      </c>
      <c r="R215" s="17">
        <v>40.96</v>
      </c>
      <c r="S215" s="17">
        <v>0</v>
      </c>
      <c r="T215" s="17">
        <v>0</v>
      </c>
      <c r="U215" s="17">
        <v>1.62</v>
      </c>
      <c r="V215" s="17">
        <v>0</v>
      </c>
      <c r="W215" s="17">
        <v>1.05</v>
      </c>
      <c r="X215" s="17">
        <v>0</v>
      </c>
      <c r="Y215" s="17">
        <v>0</v>
      </c>
      <c r="Z215" s="17">
        <v>0</v>
      </c>
      <c r="AA215" s="17">
        <v>0</v>
      </c>
      <c r="AB215" s="17">
        <v>0</v>
      </c>
      <c r="AC215" s="17">
        <v>0</v>
      </c>
      <c r="AD215" s="17">
        <v>0</v>
      </c>
      <c r="AE215" s="17">
        <v>0</v>
      </c>
      <c r="AF215" s="17">
        <v>0</v>
      </c>
      <c r="AG215" s="17">
        <v>0</v>
      </c>
      <c r="AH215" s="17">
        <v>0</v>
      </c>
      <c r="AI215" s="17">
        <f t="shared" si="15"/>
        <v>3</v>
      </c>
      <c r="AJ215" s="17">
        <f t="shared" si="16"/>
        <v>2</v>
      </c>
      <c r="AK215" s="17">
        <f t="shared" si="17"/>
        <v>4</v>
      </c>
      <c r="AL215" s="17">
        <f t="shared" si="18"/>
        <v>1</v>
      </c>
      <c r="AM215" s="17">
        <f>VLOOKUP(AK215,Sheet1!$A$2:$B$25,2,FALSE)</f>
        <v>1</v>
      </c>
    </row>
    <row r="216" spans="1:39" s="17" customFormat="1" x14ac:dyDescent="0.25">
      <c r="A216" s="21">
        <v>44594.177083333336</v>
      </c>
      <c r="B216" s="17">
        <v>576.41</v>
      </c>
      <c r="C216" s="17">
        <v>153.55000000000001</v>
      </c>
      <c r="D216" s="17">
        <v>209.56</v>
      </c>
      <c r="E216" s="17">
        <v>77.86</v>
      </c>
      <c r="F216" s="17">
        <v>102.52</v>
      </c>
      <c r="G216" s="17">
        <v>132.68</v>
      </c>
      <c r="H216" s="17">
        <v>111.58</v>
      </c>
      <c r="I216" s="17">
        <v>40.06</v>
      </c>
      <c r="J216" s="17">
        <v>75.66</v>
      </c>
      <c r="K216" s="17">
        <v>40.479999999999997</v>
      </c>
      <c r="L216" s="17">
        <v>26.12</v>
      </c>
      <c r="M216" s="17">
        <v>44.94</v>
      </c>
      <c r="N216" s="17">
        <v>12.13</v>
      </c>
      <c r="O216" s="17">
        <v>31.87</v>
      </c>
      <c r="P216" s="17">
        <v>9.8000000000000007</v>
      </c>
      <c r="Q216" s="17">
        <v>33.08</v>
      </c>
      <c r="R216" s="17">
        <v>35.97</v>
      </c>
      <c r="S216" s="17">
        <v>6.05</v>
      </c>
      <c r="T216" s="17">
        <v>8.5299999999999994</v>
      </c>
      <c r="U216" s="17">
        <v>1.51</v>
      </c>
      <c r="V216" s="17">
        <v>6.88</v>
      </c>
      <c r="W216" s="17">
        <v>0.97499999999999998</v>
      </c>
      <c r="X216" s="17">
        <v>6.23</v>
      </c>
      <c r="Y216" s="17">
        <v>3.96</v>
      </c>
      <c r="Z216" s="17">
        <v>2.82</v>
      </c>
      <c r="AA216" s="17">
        <v>0</v>
      </c>
      <c r="AB216" s="17">
        <v>4.8099999999999996</v>
      </c>
      <c r="AC216" s="17">
        <v>0</v>
      </c>
      <c r="AD216" s="17">
        <v>0</v>
      </c>
      <c r="AE216" s="17">
        <v>0</v>
      </c>
      <c r="AF216" s="17">
        <v>0</v>
      </c>
      <c r="AG216" s="17">
        <v>0</v>
      </c>
      <c r="AH216" s="17">
        <v>0</v>
      </c>
      <c r="AI216" s="17">
        <f t="shared" si="15"/>
        <v>3</v>
      </c>
      <c r="AJ216" s="17">
        <f t="shared" si="16"/>
        <v>2</v>
      </c>
      <c r="AK216" s="17">
        <f t="shared" si="17"/>
        <v>4</v>
      </c>
      <c r="AL216" s="17">
        <f t="shared" si="18"/>
        <v>1</v>
      </c>
      <c r="AM216" s="17">
        <f>VLOOKUP(AK216,Sheet1!$A$2:$B$25,2,FALSE)</f>
        <v>1</v>
      </c>
    </row>
    <row r="217" spans="1:39" s="17" customFormat="1" x14ac:dyDescent="0.25">
      <c r="A217" s="21">
        <v>44594.1875</v>
      </c>
      <c r="B217" s="17">
        <v>880.05</v>
      </c>
      <c r="C217" s="17">
        <v>313.48</v>
      </c>
      <c r="D217" s="17">
        <v>306.52</v>
      </c>
      <c r="E217" s="17">
        <v>168.19</v>
      </c>
      <c r="F217" s="17">
        <v>168.72</v>
      </c>
      <c r="G217" s="17">
        <v>147.27000000000001</v>
      </c>
      <c r="H217" s="17">
        <v>154.03</v>
      </c>
      <c r="I217" s="17">
        <v>55.33</v>
      </c>
      <c r="J217" s="17">
        <v>151.57</v>
      </c>
      <c r="K217" s="17">
        <v>60.49</v>
      </c>
      <c r="L217" s="17">
        <v>51.05</v>
      </c>
      <c r="M217" s="17">
        <v>54.22</v>
      </c>
      <c r="N217" s="17">
        <v>22.76</v>
      </c>
      <c r="O217" s="17">
        <v>27.51</v>
      </c>
      <c r="P217" s="17">
        <v>17.18</v>
      </c>
      <c r="Q217" s="17">
        <v>65.069999999999993</v>
      </c>
      <c r="R217" s="17">
        <v>16.2</v>
      </c>
      <c r="S217" s="17">
        <v>16.29</v>
      </c>
      <c r="T217" s="17">
        <v>24.31</v>
      </c>
      <c r="U217" s="17">
        <v>1.57</v>
      </c>
      <c r="V217" s="17">
        <v>5.74</v>
      </c>
      <c r="W217" s="17">
        <v>0.93079999999999996</v>
      </c>
      <c r="X217" s="17">
        <v>3.59</v>
      </c>
      <c r="Y217" s="17">
        <v>4.7699999999999996</v>
      </c>
      <c r="Z217" s="17">
        <v>0</v>
      </c>
      <c r="AA217" s="17">
        <v>0</v>
      </c>
      <c r="AB217" s="17">
        <v>9.8699999999999992</v>
      </c>
      <c r="AC217" s="17">
        <v>0</v>
      </c>
      <c r="AD217" s="17">
        <v>0</v>
      </c>
      <c r="AE217" s="17">
        <v>0</v>
      </c>
      <c r="AF217" s="17">
        <v>1.51</v>
      </c>
      <c r="AG217" s="17">
        <v>0</v>
      </c>
      <c r="AH217" s="17">
        <v>0</v>
      </c>
      <c r="AI217" s="17">
        <f t="shared" si="15"/>
        <v>3</v>
      </c>
      <c r="AJ217" s="17">
        <f t="shared" si="16"/>
        <v>2</v>
      </c>
      <c r="AK217" s="17">
        <f t="shared" si="17"/>
        <v>4</v>
      </c>
      <c r="AL217" s="17">
        <f t="shared" si="18"/>
        <v>1</v>
      </c>
      <c r="AM217" s="17">
        <f>VLOOKUP(AK217,Sheet1!$A$2:$B$25,2,FALSE)</f>
        <v>1</v>
      </c>
    </row>
    <row r="218" spans="1:39" s="17" customFormat="1" x14ac:dyDescent="0.25">
      <c r="A218" s="21">
        <v>44594.197916666664</v>
      </c>
      <c r="B218" s="17">
        <v>723.48</v>
      </c>
      <c r="C218" s="17">
        <v>238.62</v>
      </c>
      <c r="D218" s="17">
        <v>251.94</v>
      </c>
      <c r="E218" s="17">
        <v>166.08</v>
      </c>
      <c r="F218" s="17">
        <v>167.65</v>
      </c>
      <c r="G218" s="17">
        <v>136.88</v>
      </c>
      <c r="H218" s="17">
        <v>95.56</v>
      </c>
      <c r="I218" s="17">
        <v>55.66</v>
      </c>
      <c r="J218" s="17">
        <v>58.09</v>
      </c>
      <c r="K218" s="17">
        <v>59.77</v>
      </c>
      <c r="L218" s="17">
        <v>47.64</v>
      </c>
      <c r="M218" s="17">
        <v>46.89</v>
      </c>
      <c r="N218" s="17">
        <v>24.81</v>
      </c>
      <c r="O218" s="17">
        <v>0</v>
      </c>
      <c r="P218" s="17">
        <v>17.489999999999998</v>
      </c>
      <c r="Q218" s="17">
        <v>31.71</v>
      </c>
      <c r="R218" s="17">
        <v>10.51</v>
      </c>
      <c r="S218" s="17">
        <v>14.05</v>
      </c>
      <c r="T218" s="17">
        <v>19.12</v>
      </c>
      <c r="U218" s="17">
        <v>1.61</v>
      </c>
      <c r="V218" s="17">
        <v>2.36</v>
      </c>
      <c r="W218" s="17">
        <v>0.92679999999999996</v>
      </c>
      <c r="X218" s="17">
        <v>5.07</v>
      </c>
      <c r="Y218" s="17">
        <v>0</v>
      </c>
      <c r="Z218" s="17">
        <v>0</v>
      </c>
      <c r="AA218" s="17">
        <v>0</v>
      </c>
      <c r="AB218" s="17">
        <v>1.4</v>
      </c>
      <c r="AC218" s="17">
        <v>0</v>
      </c>
      <c r="AD218" s="17">
        <v>0</v>
      </c>
      <c r="AE218" s="17">
        <v>0</v>
      </c>
      <c r="AF218" s="17">
        <v>1.1200000000000001</v>
      </c>
      <c r="AG218" s="17">
        <v>0</v>
      </c>
      <c r="AH218" s="17">
        <v>0</v>
      </c>
      <c r="AI218" s="17">
        <f t="shared" si="15"/>
        <v>3</v>
      </c>
      <c r="AJ218" s="17">
        <f t="shared" si="16"/>
        <v>2</v>
      </c>
      <c r="AK218" s="17">
        <f t="shared" si="17"/>
        <v>4</v>
      </c>
      <c r="AL218" s="17">
        <f t="shared" si="18"/>
        <v>1</v>
      </c>
      <c r="AM218" s="17">
        <f>VLOOKUP(AK218,Sheet1!$A$2:$B$25,2,FALSE)</f>
        <v>1</v>
      </c>
    </row>
    <row r="219" spans="1:39" s="17" customFormat="1" x14ac:dyDescent="0.25">
      <c r="A219" s="21">
        <v>44594.208333333336</v>
      </c>
      <c r="B219" s="17">
        <v>672.23</v>
      </c>
      <c r="C219" s="17">
        <v>223.83</v>
      </c>
      <c r="D219" s="17">
        <v>209.85</v>
      </c>
      <c r="E219" s="17">
        <v>165.57</v>
      </c>
      <c r="F219" s="17">
        <v>167.31</v>
      </c>
      <c r="G219" s="17">
        <v>132.87</v>
      </c>
      <c r="H219" s="17">
        <v>45.62</v>
      </c>
      <c r="I219" s="17">
        <v>56.16</v>
      </c>
      <c r="J219" s="17">
        <v>38.82</v>
      </c>
      <c r="K219" s="17">
        <v>59.56</v>
      </c>
      <c r="L219" s="17">
        <v>44.73</v>
      </c>
      <c r="M219" s="17">
        <v>36.69</v>
      </c>
      <c r="N219" s="17">
        <v>30.22</v>
      </c>
      <c r="O219" s="17">
        <v>0</v>
      </c>
      <c r="P219" s="17">
        <v>22.46</v>
      </c>
      <c r="Q219" s="17">
        <v>18.309999999999999</v>
      </c>
      <c r="R219" s="17">
        <v>9.26</v>
      </c>
      <c r="S219" s="17">
        <v>13.03</v>
      </c>
      <c r="T219" s="17">
        <v>16.079999999999998</v>
      </c>
      <c r="U219" s="17">
        <v>1.88</v>
      </c>
      <c r="V219" s="17">
        <v>0.75229999999999997</v>
      </c>
      <c r="W219" s="17">
        <v>0.93079999999999996</v>
      </c>
      <c r="X219" s="17">
        <v>6.28</v>
      </c>
      <c r="Y219" s="17">
        <v>3.24</v>
      </c>
      <c r="Z219" s="17">
        <v>0</v>
      </c>
      <c r="AA219" s="17">
        <v>0</v>
      </c>
      <c r="AB219" s="17">
        <v>0</v>
      </c>
      <c r="AC219" s="17">
        <v>3.77</v>
      </c>
      <c r="AD219" s="17">
        <v>0</v>
      </c>
      <c r="AE219" s="17">
        <v>0</v>
      </c>
      <c r="AF219" s="17">
        <v>0</v>
      </c>
      <c r="AG219" s="17">
        <v>0</v>
      </c>
      <c r="AH219" s="17">
        <v>0</v>
      </c>
      <c r="AI219" s="17">
        <f t="shared" si="15"/>
        <v>3</v>
      </c>
      <c r="AJ219" s="17">
        <f t="shared" si="16"/>
        <v>2</v>
      </c>
      <c r="AK219" s="17">
        <f t="shared" si="17"/>
        <v>5</v>
      </c>
      <c r="AL219" s="17">
        <f t="shared" si="18"/>
        <v>1</v>
      </c>
      <c r="AM219" s="17">
        <f>VLOOKUP(AK219,Sheet1!$A$2:$B$25,2,FALSE)</f>
        <v>1</v>
      </c>
    </row>
    <row r="220" spans="1:39" s="17" customFormat="1" x14ac:dyDescent="0.25">
      <c r="A220" s="21">
        <v>44594.21875</v>
      </c>
      <c r="B220" s="17">
        <v>668.51</v>
      </c>
      <c r="C220" s="17">
        <v>221.71</v>
      </c>
      <c r="D220" s="17">
        <v>198.01</v>
      </c>
      <c r="E220" s="17">
        <v>166.66</v>
      </c>
      <c r="F220" s="17">
        <v>167.85</v>
      </c>
      <c r="G220" s="17">
        <v>132.43</v>
      </c>
      <c r="H220" s="17">
        <v>37.799999999999997</v>
      </c>
      <c r="I220" s="17">
        <v>56.66</v>
      </c>
      <c r="J220" s="17">
        <v>36.22</v>
      </c>
      <c r="K220" s="17">
        <v>60.11</v>
      </c>
      <c r="L220" s="17">
        <v>41.43</v>
      </c>
      <c r="M220" s="17">
        <v>24.59</v>
      </c>
      <c r="N220" s="17">
        <v>29.79</v>
      </c>
      <c r="O220" s="17">
        <v>0</v>
      </c>
      <c r="P220" s="17">
        <v>27.45</v>
      </c>
      <c r="Q220" s="17">
        <v>14.59</v>
      </c>
      <c r="R220" s="17">
        <v>8.91</v>
      </c>
      <c r="S220" s="17">
        <v>13.08</v>
      </c>
      <c r="T220" s="17">
        <v>14.57</v>
      </c>
      <c r="U220" s="17">
        <v>2.0299999999999998</v>
      </c>
      <c r="V220" s="17">
        <v>6.86</v>
      </c>
      <c r="W220" s="17">
        <v>0.95369999999999999</v>
      </c>
      <c r="X220" s="17">
        <v>6.08</v>
      </c>
      <c r="Y220" s="17">
        <v>0</v>
      </c>
      <c r="Z220" s="17">
        <v>0</v>
      </c>
      <c r="AA220" s="17">
        <v>0.7752</v>
      </c>
      <c r="AB220" s="17">
        <v>5.15</v>
      </c>
      <c r="AC220" s="17">
        <v>0.30709999999999998</v>
      </c>
      <c r="AD220" s="17">
        <v>0</v>
      </c>
      <c r="AE220" s="17">
        <v>0</v>
      </c>
      <c r="AF220" s="17">
        <v>0</v>
      </c>
      <c r="AG220" s="17">
        <v>0</v>
      </c>
      <c r="AH220" s="17">
        <v>0</v>
      </c>
      <c r="AI220" s="17">
        <f t="shared" si="15"/>
        <v>3</v>
      </c>
      <c r="AJ220" s="17">
        <f t="shared" si="16"/>
        <v>2</v>
      </c>
      <c r="AK220" s="17">
        <f t="shared" si="17"/>
        <v>5</v>
      </c>
      <c r="AL220" s="17">
        <f t="shared" si="18"/>
        <v>1</v>
      </c>
      <c r="AM220" s="17">
        <f>VLOOKUP(AK220,Sheet1!$A$2:$B$25,2,FALSE)</f>
        <v>1</v>
      </c>
    </row>
    <row r="221" spans="1:39" s="17" customFormat="1" x14ac:dyDescent="0.25">
      <c r="A221" s="21">
        <v>44594.229166666664</v>
      </c>
      <c r="B221" s="17">
        <v>691.25</v>
      </c>
      <c r="C221" s="17">
        <v>221.85</v>
      </c>
      <c r="D221" s="17">
        <v>213.62</v>
      </c>
      <c r="E221" s="17">
        <v>169.98</v>
      </c>
      <c r="F221" s="17">
        <v>170.06</v>
      </c>
      <c r="G221" s="17">
        <v>131.63999999999999</v>
      </c>
      <c r="H221" s="17">
        <v>47.7</v>
      </c>
      <c r="I221" s="17">
        <v>56.81</v>
      </c>
      <c r="J221" s="17">
        <v>31.94</v>
      </c>
      <c r="K221" s="17">
        <v>59.72</v>
      </c>
      <c r="L221" s="17">
        <v>33.450000000000003</v>
      </c>
      <c r="M221" s="17">
        <v>34.72</v>
      </c>
      <c r="N221" s="17">
        <v>30.99</v>
      </c>
      <c r="O221" s="17">
        <v>5.0999999999999996</v>
      </c>
      <c r="P221" s="17">
        <v>29.08</v>
      </c>
      <c r="Q221" s="17">
        <v>11.58</v>
      </c>
      <c r="R221" s="17">
        <v>8.89</v>
      </c>
      <c r="S221" s="17">
        <v>10.01</v>
      </c>
      <c r="T221" s="17">
        <v>14.48</v>
      </c>
      <c r="U221" s="17">
        <v>2.0299999999999998</v>
      </c>
      <c r="V221" s="17">
        <v>4.17</v>
      </c>
      <c r="W221" s="17">
        <v>1.43</v>
      </c>
      <c r="X221" s="17">
        <v>4.63</v>
      </c>
      <c r="Y221" s="17">
        <v>2.79</v>
      </c>
      <c r="Z221" s="17">
        <v>2.83</v>
      </c>
      <c r="AA221" s="17">
        <v>1.77</v>
      </c>
      <c r="AB221" s="17">
        <v>12.04</v>
      </c>
      <c r="AC221" s="17">
        <v>0</v>
      </c>
      <c r="AD221" s="17">
        <v>0</v>
      </c>
      <c r="AE221" s="17">
        <v>0</v>
      </c>
      <c r="AF221" s="17">
        <v>0</v>
      </c>
      <c r="AG221" s="17">
        <v>0</v>
      </c>
      <c r="AH221" s="17">
        <v>0</v>
      </c>
      <c r="AI221" s="17">
        <f t="shared" si="15"/>
        <v>3</v>
      </c>
      <c r="AJ221" s="17">
        <f t="shared" si="16"/>
        <v>2</v>
      </c>
      <c r="AK221" s="17">
        <f t="shared" si="17"/>
        <v>5</v>
      </c>
      <c r="AL221" s="17">
        <f t="shared" si="18"/>
        <v>1</v>
      </c>
      <c r="AM221" s="17">
        <f>VLOOKUP(AK221,Sheet1!$A$2:$B$25,2,FALSE)</f>
        <v>1</v>
      </c>
    </row>
    <row r="222" spans="1:39" s="17" customFormat="1" x14ac:dyDescent="0.25">
      <c r="A222" s="21">
        <v>44594.239583333336</v>
      </c>
      <c r="B222" s="17">
        <v>693.32</v>
      </c>
      <c r="C222" s="17">
        <v>209.93</v>
      </c>
      <c r="D222" s="17">
        <v>235.83</v>
      </c>
      <c r="E222" s="17">
        <v>166.92</v>
      </c>
      <c r="F222" s="17">
        <v>184.15</v>
      </c>
      <c r="G222" s="17">
        <v>132.91</v>
      </c>
      <c r="H222" s="17">
        <v>51.97</v>
      </c>
      <c r="I222" s="17">
        <v>56.42</v>
      </c>
      <c r="J222" s="17">
        <v>26.96</v>
      </c>
      <c r="K222" s="17">
        <v>59.98</v>
      </c>
      <c r="L222" s="17">
        <v>31</v>
      </c>
      <c r="M222" s="17">
        <v>35.07</v>
      </c>
      <c r="N222" s="17">
        <v>31.4</v>
      </c>
      <c r="O222" s="17">
        <v>17.34</v>
      </c>
      <c r="P222" s="17">
        <v>26.75</v>
      </c>
      <c r="Q222" s="17">
        <v>11.53</v>
      </c>
      <c r="R222" s="17">
        <v>8.61</v>
      </c>
      <c r="S222" s="17">
        <v>10.32</v>
      </c>
      <c r="T222" s="17">
        <v>14.17</v>
      </c>
      <c r="U222" s="17">
        <v>2.04</v>
      </c>
      <c r="V222" s="17">
        <v>0.36630000000000001</v>
      </c>
      <c r="W222" s="17">
        <v>3.17</v>
      </c>
      <c r="X222" s="17">
        <v>4.6500000000000004</v>
      </c>
      <c r="Y222" s="17">
        <v>0.51</v>
      </c>
      <c r="Z222" s="17">
        <v>0.54390000000000005</v>
      </c>
      <c r="AA222" s="17">
        <v>0</v>
      </c>
      <c r="AB222" s="17">
        <v>11.6</v>
      </c>
      <c r="AC222" s="17">
        <v>3.51</v>
      </c>
      <c r="AD222" s="17">
        <v>0</v>
      </c>
      <c r="AE222" s="17">
        <v>0</v>
      </c>
      <c r="AF222" s="17">
        <v>0</v>
      </c>
      <c r="AG222" s="17">
        <v>0</v>
      </c>
      <c r="AH222" s="17">
        <v>0</v>
      </c>
      <c r="AI222" s="17">
        <f t="shared" si="15"/>
        <v>3</v>
      </c>
      <c r="AJ222" s="17">
        <f t="shared" si="16"/>
        <v>2</v>
      </c>
      <c r="AK222" s="17">
        <f t="shared" si="17"/>
        <v>5</v>
      </c>
      <c r="AL222" s="17">
        <f t="shared" si="18"/>
        <v>1</v>
      </c>
      <c r="AM222" s="17">
        <f>VLOOKUP(AK222,Sheet1!$A$2:$B$25,2,FALSE)</f>
        <v>1</v>
      </c>
    </row>
    <row r="223" spans="1:39" s="17" customFormat="1" x14ac:dyDescent="0.25">
      <c r="A223" s="21">
        <v>44594.25</v>
      </c>
      <c r="B223" s="17">
        <v>700.59</v>
      </c>
      <c r="C223" s="17">
        <v>211.46</v>
      </c>
      <c r="D223" s="17">
        <v>235.71</v>
      </c>
      <c r="E223" s="17">
        <v>167.96</v>
      </c>
      <c r="F223" s="17">
        <v>182.64</v>
      </c>
      <c r="G223" s="17">
        <v>133.47</v>
      </c>
      <c r="H223" s="17">
        <v>56.05</v>
      </c>
      <c r="I223" s="17">
        <v>56.55</v>
      </c>
      <c r="J223" s="17">
        <v>25.71</v>
      </c>
      <c r="K223" s="17">
        <v>60.94</v>
      </c>
      <c r="L223" s="17">
        <v>33.130000000000003</v>
      </c>
      <c r="M223" s="17">
        <v>33.369999999999997</v>
      </c>
      <c r="N223" s="17">
        <v>31.2</v>
      </c>
      <c r="O223" s="17">
        <v>8.94</v>
      </c>
      <c r="P223" s="17">
        <v>25.87</v>
      </c>
      <c r="Q223" s="17">
        <v>9.59</v>
      </c>
      <c r="R223" s="17">
        <v>8.51</v>
      </c>
      <c r="S223" s="17">
        <v>14.36</v>
      </c>
      <c r="T223" s="17">
        <v>13.74</v>
      </c>
      <c r="U223" s="17">
        <v>2.04</v>
      </c>
      <c r="V223" s="17">
        <v>1.68</v>
      </c>
      <c r="W223" s="17">
        <v>3.18</v>
      </c>
      <c r="X223" s="17">
        <v>3.39</v>
      </c>
      <c r="Y223" s="17">
        <v>3.33</v>
      </c>
      <c r="Z223" s="17">
        <v>0</v>
      </c>
      <c r="AA223" s="17">
        <v>0</v>
      </c>
      <c r="AB223" s="17">
        <v>11.96</v>
      </c>
      <c r="AC223" s="17">
        <v>2.82</v>
      </c>
      <c r="AD223" s="17">
        <v>0</v>
      </c>
      <c r="AE223" s="17">
        <v>0</v>
      </c>
      <c r="AF223" s="17">
        <v>0</v>
      </c>
      <c r="AG223" s="17">
        <v>0</v>
      </c>
      <c r="AH223" s="17">
        <v>0</v>
      </c>
      <c r="AI223" s="17">
        <f t="shared" si="15"/>
        <v>3</v>
      </c>
      <c r="AJ223" s="17">
        <f t="shared" si="16"/>
        <v>2</v>
      </c>
      <c r="AK223" s="17">
        <f t="shared" si="17"/>
        <v>6</v>
      </c>
      <c r="AL223" s="17">
        <f t="shared" si="18"/>
        <v>1</v>
      </c>
      <c r="AM223" s="17">
        <f>VLOOKUP(AK223,Sheet1!$A$2:$B$25,2,FALSE)</f>
        <v>1</v>
      </c>
    </row>
    <row r="224" spans="1:39" s="17" customFormat="1" x14ac:dyDescent="0.25">
      <c r="A224" s="21">
        <v>44594.260416666664</v>
      </c>
      <c r="B224" s="17">
        <v>725.64</v>
      </c>
      <c r="C224" s="17">
        <v>213.49</v>
      </c>
      <c r="D224" s="17">
        <v>267.67</v>
      </c>
      <c r="E224" s="17">
        <v>167.58</v>
      </c>
      <c r="F224" s="17">
        <v>197.05</v>
      </c>
      <c r="G224" s="17">
        <v>132.41999999999999</v>
      </c>
      <c r="H224" s="17">
        <v>78.64</v>
      </c>
      <c r="I224" s="17">
        <v>56.56</v>
      </c>
      <c r="J224" s="17">
        <v>24.84</v>
      </c>
      <c r="K224" s="17">
        <v>60.98</v>
      </c>
      <c r="L224" s="17">
        <v>38.56</v>
      </c>
      <c r="M224" s="17">
        <v>36.44</v>
      </c>
      <c r="N224" s="17">
        <v>30.68</v>
      </c>
      <c r="O224" s="17">
        <v>10.33</v>
      </c>
      <c r="P224" s="17">
        <v>24.43</v>
      </c>
      <c r="Q224" s="17">
        <v>9.42</v>
      </c>
      <c r="R224" s="17">
        <v>8.58</v>
      </c>
      <c r="S224" s="17">
        <v>15.77</v>
      </c>
      <c r="T224" s="17">
        <v>12.3</v>
      </c>
      <c r="U224" s="17">
        <v>2.04</v>
      </c>
      <c r="V224" s="17">
        <v>0.53759999999999997</v>
      </c>
      <c r="W224" s="17">
        <v>4.93</v>
      </c>
      <c r="X224" s="17">
        <v>1.45</v>
      </c>
      <c r="Y224" s="17">
        <v>0</v>
      </c>
      <c r="Z224" s="17">
        <v>0</v>
      </c>
      <c r="AA224" s="17">
        <v>0</v>
      </c>
      <c r="AB224" s="17">
        <v>11.62</v>
      </c>
      <c r="AC224" s="17">
        <v>1.69</v>
      </c>
      <c r="AD224" s="17">
        <v>0</v>
      </c>
      <c r="AE224" s="17">
        <v>0</v>
      </c>
      <c r="AF224" s="17">
        <v>0</v>
      </c>
      <c r="AG224" s="17">
        <v>0</v>
      </c>
      <c r="AH224" s="17">
        <v>0</v>
      </c>
      <c r="AI224" s="17">
        <f t="shared" si="15"/>
        <v>3</v>
      </c>
      <c r="AJ224" s="17">
        <f t="shared" si="16"/>
        <v>2</v>
      </c>
      <c r="AK224" s="17">
        <f t="shared" si="17"/>
        <v>6</v>
      </c>
      <c r="AL224" s="17">
        <f t="shared" si="18"/>
        <v>1</v>
      </c>
      <c r="AM224" s="17">
        <f>VLOOKUP(AK224,Sheet1!$A$2:$B$25,2,FALSE)</f>
        <v>1</v>
      </c>
    </row>
    <row r="225" spans="1:39" s="17" customFormat="1" x14ac:dyDescent="0.25">
      <c r="A225" s="21">
        <v>44594.270833333336</v>
      </c>
      <c r="B225" s="17">
        <v>726.29</v>
      </c>
      <c r="C225" s="17">
        <v>214.55</v>
      </c>
      <c r="D225" s="17">
        <v>267.33</v>
      </c>
      <c r="E225" s="17">
        <v>168.23</v>
      </c>
      <c r="F225" s="17">
        <v>198.27</v>
      </c>
      <c r="G225" s="17">
        <v>133.49</v>
      </c>
      <c r="H225" s="17">
        <v>79.56</v>
      </c>
      <c r="I225" s="17">
        <v>58.38</v>
      </c>
      <c r="J225" s="17">
        <v>24.27</v>
      </c>
      <c r="K225" s="17">
        <v>61.45</v>
      </c>
      <c r="L225" s="17">
        <v>42.14</v>
      </c>
      <c r="M225" s="17">
        <v>27.5</v>
      </c>
      <c r="N225" s="17">
        <v>27.99</v>
      </c>
      <c r="O225" s="17">
        <v>13.5</v>
      </c>
      <c r="P225" s="17">
        <v>24.37</v>
      </c>
      <c r="Q225" s="17">
        <v>8.77</v>
      </c>
      <c r="R225" s="17">
        <v>8.27</v>
      </c>
      <c r="S225" s="17">
        <v>9.99</v>
      </c>
      <c r="T225" s="17">
        <v>11.61</v>
      </c>
      <c r="U225" s="17">
        <v>2.0499999999999998</v>
      </c>
      <c r="V225" s="17">
        <v>6.05</v>
      </c>
      <c r="W225" s="17">
        <v>4.6100000000000003</v>
      </c>
      <c r="X225" s="17">
        <v>0.57240000000000002</v>
      </c>
      <c r="Y225" s="17">
        <v>0</v>
      </c>
      <c r="Z225" s="17">
        <v>0</v>
      </c>
      <c r="AA225" s="17">
        <v>0</v>
      </c>
      <c r="AB225" s="17">
        <v>11.57</v>
      </c>
      <c r="AC225" s="17">
        <v>0</v>
      </c>
      <c r="AD225" s="17">
        <v>0</v>
      </c>
      <c r="AE225" s="17">
        <v>0</v>
      </c>
      <c r="AF225" s="17">
        <v>0.59919999999999995</v>
      </c>
      <c r="AG225" s="17">
        <v>0</v>
      </c>
      <c r="AH225" s="17">
        <v>0</v>
      </c>
      <c r="AI225" s="17">
        <f t="shared" si="15"/>
        <v>3</v>
      </c>
      <c r="AJ225" s="17">
        <f t="shared" si="16"/>
        <v>2</v>
      </c>
      <c r="AK225" s="17">
        <f t="shared" si="17"/>
        <v>6</v>
      </c>
      <c r="AL225" s="17">
        <f t="shared" si="18"/>
        <v>1</v>
      </c>
      <c r="AM225" s="17">
        <f>VLOOKUP(AK225,Sheet1!$A$2:$B$25,2,FALSE)</f>
        <v>1</v>
      </c>
    </row>
    <row r="226" spans="1:39" s="17" customFormat="1" x14ac:dyDescent="0.25">
      <c r="A226" s="21">
        <v>44594.28125</v>
      </c>
      <c r="B226" s="17">
        <v>738.17</v>
      </c>
      <c r="C226" s="17">
        <v>214.79</v>
      </c>
      <c r="D226" s="17">
        <v>264.37</v>
      </c>
      <c r="E226" s="17">
        <v>167.17</v>
      </c>
      <c r="F226" s="17">
        <v>196.77</v>
      </c>
      <c r="G226" s="17">
        <v>131.13999999999999</v>
      </c>
      <c r="H226" s="17">
        <v>78.52</v>
      </c>
      <c r="I226" s="17">
        <v>71.25</v>
      </c>
      <c r="J226" s="17">
        <v>23.57</v>
      </c>
      <c r="K226" s="17">
        <v>61.17</v>
      </c>
      <c r="L226" s="17">
        <v>44.67</v>
      </c>
      <c r="M226" s="17">
        <v>27.38</v>
      </c>
      <c r="N226" s="17">
        <v>27.37</v>
      </c>
      <c r="O226" s="17">
        <v>13.17</v>
      </c>
      <c r="P226" s="17">
        <v>22.43</v>
      </c>
      <c r="Q226" s="17">
        <v>9.6300000000000008</v>
      </c>
      <c r="R226" s="17">
        <v>8.8800000000000008</v>
      </c>
      <c r="S226" s="17">
        <v>12.3</v>
      </c>
      <c r="T226" s="17">
        <v>8.92</v>
      </c>
      <c r="U226" s="17">
        <v>2.0499999999999998</v>
      </c>
      <c r="V226" s="17">
        <v>5.38</v>
      </c>
      <c r="W226" s="17">
        <v>5</v>
      </c>
      <c r="X226" s="17">
        <v>4.82</v>
      </c>
      <c r="Y226" s="17">
        <v>0</v>
      </c>
      <c r="Z226" s="17">
        <v>0</v>
      </c>
      <c r="AA226" s="17">
        <v>0</v>
      </c>
      <c r="AB226" s="17">
        <v>11.69</v>
      </c>
      <c r="AC226" s="17">
        <v>0</v>
      </c>
      <c r="AD226" s="17">
        <v>0</v>
      </c>
      <c r="AE226" s="17">
        <v>0</v>
      </c>
      <c r="AF226" s="17">
        <v>0</v>
      </c>
      <c r="AG226" s="17">
        <v>0</v>
      </c>
      <c r="AH226" s="17">
        <v>0</v>
      </c>
      <c r="AI226" s="17">
        <f t="shared" si="15"/>
        <v>3</v>
      </c>
      <c r="AJ226" s="17">
        <f t="shared" si="16"/>
        <v>2</v>
      </c>
      <c r="AK226" s="17">
        <f t="shared" si="17"/>
        <v>6</v>
      </c>
      <c r="AL226" s="17">
        <f t="shared" si="18"/>
        <v>1</v>
      </c>
      <c r="AM226" s="17">
        <f>VLOOKUP(AK226,Sheet1!$A$2:$B$25,2,FALSE)</f>
        <v>1</v>
      </c>
    </row>
    <row r="227" spans="1:39" s="17" customFormat="1" x14ac:dyDescent="0.25">
      <c r="A227" s="21">
        <v>44594.291666666664</v>
      </c>
      <c r="B227" s="17">
        <v>719.92</v>
      </c>
      <c r="C227" s="17">
        <v>216.01</v>
      </c>
      <c r="D227" s="17">
        <v>265.33</v>
      </c>
      <c r="E227" s="17">
        <v>167</v>
      </c>
      <c r="F227" s="17">
        <v>198.21</v>
      </c>
      <c r="G227" s="17">
        <v>131.84</v>
      </c>
      <c r="H227" s="17">
        <v>77.239999999999995</v>
      </c>
      <c r="I227" s="17">
        <v>57.1</v>
      </c>
      <c r="J227" s="17">
        <v>22.61</v>
      </c>
      <c r="K227" s="17">
        <v>61.06</v>
      </c>
      <c r="L227" s="17">
        <v>47.91</v>
      </c>
      <c r="M227" s="17">
        <v>31.15</v>
      </c>
      <c r="N227" s="17">
        <v>27.55</v>
      </c>
      <c r="O227" s="17">
        <v>6.24</v>
      </c>
      <c r="P227" s="17">
        <v>21.23</v>
      </c>
      <c r="Q227" s="17">
        <v>9.33</v>
      </c>
      <c r="R227" s="17">
        <v>8.7200000000000006</v>
      </c>
      <c r="S227" s="17">
        <v>8.23</v>
      </c>
      <c r="T227" s="17">
        <v>8.3699999999999992</v>
      </c>
      <c r="U227" s="17">
        <v>2.0699999999999998</v>
      </c>
      <c r="V227" s="17">
        <v>2.44</v>
      </c>
      <c r="W227" s="17">
        <v>4.68</v>
      </c>
      <c r="X227" s="17">
        <v>5.47</v>
      </c>
      <c r="Y227" s="17">
        <v>0</v>
      </c>
      <c r="Z227" s="17">
        <v>0</v>
      </c>
      <c r="AA227" s="17">
        <v>0</v>
      </c>
      <c r="AB227" s="17">
        <v>12.27</v>
      </c>
      <c r="AC227" s="17">
        <v>0</v>
      </c>
      <c r="AD227" s="17">
        <v>0</v>
      </c>
      <c r="AE227" s="17">
        <v>0</v>
      </c>
      <c r="AF227" s="17">
        <v>0.71450000000000002</v>
      </c>
      <c r="AG227" s="17">
        <v>0</v>
      </c>
      <c r="AH227" s="17">
        <v>0</v>
      </c>
      <c r="AI227" s="17">
        <f t="shared" si="15"/>
        <v>3</v>
      </c>
      <c r="AJ227" s="17">
        <f t="shared" si="16"/>
        <v>2</v>
      </c>
      <c r="AK227" s="17">
        <f t="shared" si="17"/>
        <v>7</v>
      </c>
      <c r="AL227" s="17">
        <f t="shared" si="18"/>
        <v>1</v>
      </c>
      <c r="AM227" s="17">
        <f>VLOOKUP(AK227,Sheet1!$A$2:$B$25,2,FALSE)</f>
        <v>1</v>
      </c>
    </row>
    <row r="228" spans="1:39" s="17" customFormat="1" x14ac:dyDescent="0.25">
      <c r="A228" s="21">
        <v>44594.302083333336</v>
      </c>
      <c r="B228" s="17">
        <v>714.11</v>
      </c>
      <c r="C228" s="17">
        <v>214.61</v>
      </c>
      <c r="D228" s="17">
        <v>257.02</v>
      </c>
      <c r="E228" s="17">
        <v>166.8</v>
      </c>
      <c r="F228" s="17">
        <v>195.72</v>
      </c>
      <c r="G228" s="17">
        <v>131.91</v>
      </c>
      <c r="H228" s="17">
        <v>76.64</v>
      </c>
      <c r="I228" s="17">
        <v>56.74</v>
      </c>
      <c r="J228" s="17">
        <v>23.25</v>
      </c>
      <c r="K228" s="17">
        <v>60.54</v>
      </c>
      <c r="L228" s="17">
        <v>48.32</v>
      </c>
      <c r="M228" s="17">
        <v>26.79</v>
      </c>
      <c r="N228" s="17">
        <v>24.19</v>
      </c>
      <c r="O228" s="17">
        <v>10.07</v>
      </c>
      <c r="P228" s="17">
        <v>21.29</v>
      </c>
      <c r="Q228" s="17">
        <v>8.0299999999999994</v>
      </c>
      <c r="R228" s="17">
        <v>8.77</v>
      </c>
      <c r="S228" s="17">
        <v>14.45</v>
      </c>
      <c r="T228" s="17">
        <v>8.42</v>
      </c>
      <c r="U228" s="17">
        <v>1.89</v>
      </c>
      <c r="V228" s="17">
        <v>0.75949999999999995</v>
      </c>
      <c r="W228" s="17">
        <v>4.59</v>
      </c>
      <c r="X228" s="17">
        <v>4.9000000000000004</v>
      </c>
      <c r="Y228" s="17">
        <v>0</v>
      </c>
      <c r="Z228" s="17">
        <v>0</v>
      </c>
      <c r="AA228" s="17">
        <v>0</v>
      </c>
      <c r="AB228" s="17">
        <v>12.45</v>
      </c>
      <c r="AC228" s="17">
        <v>0</v>
      </c>
      <c r="AD228" s="17">
        <v>0</v>
      </c>
      <c r="AE228" s="17">
        <v>0</v>
      </c>
      <c r="AF228" s="17">
        <v>1.72</v>
      </c>
      <c r="AG228" s="17">
        <v>0</v>
      </c>
      <c r="AH228" s="17">
        <v>0</v>
      </c>
      <c r="AI228" s="17">
        <f t="shared" si="15"/>
        <v>3</v>
      </c>
      <c r="AJ228" s="17">
        <f t="shared" si="16"/>
        <v>2</v>
      </c>
      <c r="AK228" s="17">
        <f t="shared" si="17"/>
        <v>7</v>
      </c>
      <c r="AL228" s="17">
        <f t="shared" si="18"/>
        <v>1</v>
      </c>
      <c r="AM228" s="17">
        <f>VLOOKUP(AK228,Sheet1!$A$2:$B$25,2,FALSE)</f>
        <v>1</v>
      </c>
    </row>
    <row r="229" spans="1:39" s="17" customFormat="1" x14ac:dyDescent="0.25">
      <c r="A229" s="21">
        <v>44594.3125</v>
      </c>
      <c r="B229" s="17">
        <v>714.67</v>
      </c>
      <c r="C229" s="17">
        <v>213.9</v>
      </c>
      <c r="D229" s="17">
        <v>257.64</v>
      </c>
      <c r="E229" s="17">
        <v>166.06</v>
      </c>
      <c r="F229" s="17">
        <v>194.98</v>
      </c>
      <c r="G229" s="17">
        <v>132.07</v>
      </c>
      <c r="H229" s="17">
        <v>78.540000000000006</v>
      </c>
      <c r="I229" s="17">
        <v>56.46</v>
      </c>
      <c r="J229" s="17">
        <v>22.87</v>
      </c>
      <c r="K229" s="17">
        <v>60.09</v>
      </c>
      <c r="L229" s="17">
        <v>47.22</v>
      </c>
      <c r="M229" s="17">
        <v>25.1</v>
      </c>
      <c r="N229" s="17">
        <v>21.58</v>
      </c>
      <c r="O229" s="17">
        <v>9.58</v>
      </c>
      <c r="P229" s="17">
        <v>19.829999999999998</v>
      </c>
      <c r="Q229" s="17">
        <v>8.6300000000000008</v>
      </c>
      <c r="R229" s="17">
        <v>8.4700000000000006</v>
      </c>
      <c r="S229" s="17">
        <v>12.22</v>
      </c>
      <c r="T229" s="17">
        <v>8.4700000000000006</v>
      </c>
      <c r="U229" s="17">
        <v>1.46</v>
      </c>
      <c r="V229" s="17">
        <v>3.72</v>
      </c>
      <c r="W229" s="17">
        <v>4.55</v>
      </c>
      <c r="X229" s="17">
        <v>6.45</v>
      </c>
      <c r="Y229" s="17">
        <v>0</v>
      </c>
      <c r="Z229" s="17">
        <v>0</v>
      </c>
      <c r="AA229" s="17">
        <v>0</v>
      </c>
      <c r="AB229" s="17">
        <v>12.39</v>
      </c>
      <c r="AC229" s="17">
        <v>0</v>
      </c>
      <c r="AD229" s="17">
        <v>0</v>
      </c>
      <c r="AE229" s="17">
        <v>0</v>
      </c>
      <c r="AF229" s="17">
        <v>1.73</v>
      </c>
      <c r="AG229" s="17">
        <v>0</v>
      </c>
      <c r="AH229" s="17">
        <v>0</v>
      </c>
      <c r="AI229" s="17">
        <f t="shared" si="15"/>
        <v>3</v>
      </c>
      <c r="AJ229" s="17">
        <f t="shared" si="16"/>
        <v>2</v>
      </c>
      <c r="AK229" s="17">
        <f t="shared" si="17"/>
        <v>7</v>
      </c>
      <c r="AL229" s="17">
        <f t="shared" si="18"/>
        <v>1</v>
      </c>
      <c r="AM229" s="17">
        <f>VLOOKUP(AK229,Sheet1!$A$2:$B$25,2,FALSE)</f>
        <v>1</v>
      </c>
    </row>
    <row r="230" spans="1:39" s="17" customFormat="1" x14ac:dyDescent="0.25">
      <c r="A230" s="21">
        <v>44594.322916666664</v>
      </c>
      <c r="B230" s="17">
        <v>703.48</v>
      </c>
      <c r="C230" s="17">
        <v>207.46</v>
      </c>
      <c r="D230" s="17">
        <v>255.57</v>
      </c>
      <c r="E230" s="17">
        <v>165.16</v>
      </c>
      <c r="F230" s="17">
        <v>193.44</v>
      </c>
      <c r="G230" s="17">
        <v>132.55000000000001</v>
      </c>
      <c r="H230" s="17">
        <v>76.33</v>
      </c>
      <c r="I230" s="17">
        <v>56.79</v>
      </c>
      <c r="J230" s="17">
        <v>23.79</v>
      </c>
      <c r="K230" s="17">
        <v>60.41</v>
      </c>
      <c r="L230" s="17">
        <v>38.79</v>
      </c>
      <c r="M230" s="17">
        <v>24.66</v>
      </c>
      <c r="N230" s="17">
        <v>22.74</v>
      </c>
      <c r="O230" s="17">
        <v>11.4</v>
      </c>
      <c r="P230" s="17">
        <v>19.989999999999998</v>
      </c>
      <c r="Q230" s="17">
        <v>10.71</v>
      </c>
      <c r="R230" s="17">
        <v>8.92</v>
      </c>
      <c r="S230" s="17">
        <v>8.59</v>
      </c>
      <c r="T230" s="17">
        <v>11.94</v>
      </c>
      <c r="U230" s="17">
        <v>1.44</v>
      </c>
      <c r="V230" s="17">
        <v>2.87</v>
      </c>
      <c r="W230" s="17">
        <v>4.6399999999999997</v>
      </c>
      <c r="X230" s="17">
        <v>3.98</v>
      </c>
      <c r="Y230" s="17">
        <v>3.18</v>
      </c>
      <c r="Z230" s="17">
        <v>0</v>
      </c>
      <c r="AA230" s="17">
        <v>0</v>
      </c>
      <c r="AB230" s="17">
        <v>12.5</v>
      </c>
      <c r="AC230" s="17">
        <v>0</v>
      </c>
      <c r="AD230" s="17">
        <v>0</v>
      </c>
      <c r="AE230" s="17">
        <v>0</v>
      </c>
      <c r="AF230" s="17">
        <v>1.73</v>
      </c>
      <c r="AG230" s="17">
        <v>0</v>
      </c>
      <c r="AH230" s="17">
        <v>0</v>
      </c>
      <c r="AI230" s="17">
        <f t="shared" si="15"/>
        <v>3</v>
      </c>
      <c r="AJ230" s="17">
        <f t="shared" si="16"/>
        <v>2</v>
      </c>
      <c r="AK230" s="17">
        <f t="shared" si="17"/>
        <v>7</v>
      </c>
      <c r="AL230" s="17">
        <f t="shared" si="18"/>
        <v>1</v>
      </c>
      <c r="AM230" s="17">
        <f>VLOOKUP(AK230,Sheet1!$A$2:$B$25,2,FALSE)</f>
        <v>1</v>
      </c>
    </row>
    <row r="231" spans="1:39" s="17" customFormat="1" x14ac:dyDescent="0.25">
      <c r="A231" s="21">
        <v>44594.333333333336</v>
      </c>
      <c r="B231" s="17">
        <v>704.19</v>
      </c>
      <c r="C231" s="17">
        <v>203.92</v>
      </c>
      <c r="D231" s="17">
        <v>257.42</v>
      </c>
      <c r="E231" s="17">
        <v>164.88</v>
      </c>
      <c r="F231" s="17">
        <v>191.34</v>
      </c>
      <c r="G231" s="17">
        <v>131.56</v>
      </c>
      <c r="H231" s="17">
        <v>79.8</v>
      </c>
      <c r="I231" s="17">
        <v>57.18</v>
      </c>
      <c r="J231" s="17">
        <v>22.85</v>
      </c>
      <c r="K231" s="17">
        <v>60.77</v>
      </c>
      <c r="L231" s="17">
        <v>35.380000000000003</v>
      </c>
      <c r="M231" s="17">
        <v>26.63</v>
      </c>
      <c r="N231" s="17">
        <v>21.04</v>
      </c>
      <c r="O231" s="17">
        <v>8.5500000000000007</v>
      </c>
      <c r="P231" s="17">
        <v>19.63</v>
      </c>
      <c r="Q231" s="17">
        <v>8.0500000000000007</v>
      </c>
      <c r="R231" s="17">
        <v>9.02</v>
      </c>
      <c r="S231" s="17">
        <v>10.86</v>
      </c>
      <c r="T231" s="17">
        <v>9.4499999999999993</v>
      </c>
      <c r="U231" s="17">
        <v>1.56</v>
      </c>
      <c r="V231" s="17">
        <v>2.04</v>
      </c>
      <c r="W231" s="17">
        <v>4.3099999999999996</v>
      </c>
      <c r="X231" s="17">
        <v>1.78</v>
      </c>
      <c r="Y231" s="17">
        <v>0</v>
      </c>
      <c r="Z231" s="17">
        <v>0</v>
      </c>
      <c r="AA231" s="17">
        <v>0</v>
      </c>
      <c r="AB231" s="17">
        <v>11.74</v>
      </c>
      <c r="AC231" s="17">
        <v>8.07</v>
      </c>
      <c r="AD231" s="17">
        <v>0</v>
      </c>
      <c r="AE231" s="17">
        <v>0</v>
      </c>
      <c r="AF231" s="17">
        <v>1.76</v>
      </c>
      <c r="AG231" s="17">
        <v>0</v>
      </c>
      <c r="AH231" s="17">
        <v>0</v>
      </c>
      <c r="AI231" s="17">
        <f t="shared" si="15"/>
        <v>3</v>
      </c>
      <c r="AJ231" s="17">
        <f t="shared" si="16"/>
        <v>2</v>
      </c>
      <c r="AK231" s="17">
        <f t="shared" si="17"/>
        <v>8</v>
      </c>
      <c r="AL231" s="17">
        <f t="shared" si="18"/>
        <v>1</v>
      </c>
      <c r="AM231" s="17">
        <f>VLOOKUP(AK231,Sheet1!$A$2:$B$25,2,FALSE)</f>
        <v>1</v>
      </c>
    </row>
    <row r="232" spans="1:39" s="17" customFormat="1" x14ac:dyDescent="0.25">
      <c r="A232" s="21">
        <v>44594.34375</v>
      </c>
      <c r="B232" s="17">
        <v>710.32</v>
      </c>
      <c r="C232" s="17">
        <v>202.18</v>
      </c>
      <c r="D232" s="17">
        <v>266.60000000000002</v>
      </c>
      <c r="E232" s="17">
        <v>164.39</v>
      </c>
      <c r="F232" s="17">
        <v>191.37</v>
      </c>
      <c r="G232" s="17">
        <v>131.41999999999999</v>
      </c>
      <c r="H232" s="17">
        <v>77.02</v>
      </c>
      <c r="I232" s="17">
        <v>57.01</v>
      </c>
      <c r="J232" s="17">
        <v>24.02</v>
      </c>
      <c r="K232" s="17">
        <v>60.46</v>
      </c>
      <c r="L232" s="17">
        <v>32.07</v>
      </c>
      <c r="M232" s="17">
        <v>26.97</v>
      </c>
      <c r="N232" s="17">
        <v>23.3</v>
      </c>
      <c r="O232" s="17">
        <v>11.31</v>
      </c>
      <c r="P232" s="17">
        <v>22.24</v>
      </c>
      <c r="Q232" s="17">
        <v>10.01</v>
      </c>
      <c r="R232" s="17">
        <v>8.89</v>
      </c>
      <c r="S232" s="17">
        <v>14.59</v>
      </c>
      <c r="T232" s="17">
        <v>9.1</v>
      </c>
      <c r="U232" s="17">
        <v>1.88</v>
      </c>
      <c r="V232" s="17">
        <v>3.81</v>
      </c>
      <c r="W232" s="17">
        <v>4.2699999999999996</v>
      </c>
      <c r="X232" s="17">
        <v>0.86919999999999997</v>
      </c>
      <c r="Y232" s="17">
        <v>0</v>
      </c>
      <c r="Z232" s="17">
        <v>0</v>
      </c>
      <c r="AA232" s="17">
        <v>0</v>
      </c>
      <c r="AB232" s="17">
        <v>11.6</v>
      </c>
      <c r="AC232" s="17">
        <v>0</v>
      </c>
      <c r="AD232" s="17">
        <v>0</v>
      </c>
      <c r="AE232" s="17">
        <v>0</v>
      </c>
      <c r="AF232" s="17">
        <v>1.74</v>
      </c>
      <c r="AG232" s="17">
        <v>0</v>
      </c>
      <c r="AH232" s="17">
        <v>0</v>
      </c>
      <c r="AI232" s="17">
        <f t="shared" si="15"/>
        <v>3</v>
      </c>
      <c r="AJ232" s="17">
        <f t="shared" si="16"/>
        <v>2</v>
      </c>
      <c r="AK232" s="17">
        <f t="shared" si="17"/>
        <v>8</v>
      </c>
      <c r="AL232" s="17">
        <f t="shared" si="18"/>
        <v>1</v>
      </c>
      <c r="AM232" s="17">
        <f>VLOOKUP(AK232,Sheet1!$A$2:$B$25,2,FALSE)</f>
        <v>1</v>
      </c>
    </row>
    <row r="233" spans="1:39" s="17" customFormat="1" x14ac:dyDescent="0.25">
      <c r="A233" s="21">
        <v>44594.354166666664</v>
      </c>
      <c r="B233" s="17">
        <v>717.49</v>
      </c>
      <c r="C233" s="17">
        <v>204.57</v>
      </c>
      <c r="D233" s="17">
        <v>267.89999999999998</v>
      </c>
      <c r="E233" s="17">
        <v>167.25</v>
      </c>
      <c r="F233" s="17">
        <v>195.21</v>
      </c>
      <c r="G233" s="17">
        <v>132.62</v>
      </c>
      <c r="H233" s="17">
        <v>76.19</v>
      </c>
      <c r="I233" s="17">
        <v>56.68</v>
      </c>
      <c r="J233" s="17">
        <v>25.58</v>
      </c>
      <c r="K233" s="17">
        <v>60.11</v>
      </c>
      <c r="L233" s="17">
        <v>33.76</v>
      </c>
      <c r="M233" s="17">
        <v>28.5</v>
      </c>
      <c r="N233" s="17">
        <v>21.37</v>
      </c>
      <c r="O233" s="17">
        <v>8.64</v>
      </c>
      <c r="P233" s="17">
        <v>17.309999999999999</v>
      </c>
      <c r="Q233" s="17">
        <v>7.86</v>
      </c>
      <c r="R233" s="17">
        <v>8.94</v>
      </c>
      <c r="S233" s="17">
        <v>13.83</v>
      </c>
      <c r="T233" s="17">
        <v>11.31</v>
      </c>
      <c r="U233" s="17">
        <v>1.86</v>
      </c>
      <c r="V233" s="17">
        <v>6.55</v>
      </c>
      <c r="W233" s="17">
        <v>4.42</v>
      </c>
      <c r="X233" s="17">
        <v>6.49</v>
      </c>
      <c r="Y233" s="17">
        <v>0</v>
      </c>
      <c r="Z233" s="17">
        <v>0</v>
      </c>
      <c r="AA233" s="17">
        <v>0.42470000000000002</v>
      </c>
      <c r="AB233" s="17">
        <v>11.11</v>
      </c>
      <c r="AC233" s="17">
        <v>0</v>
      </c>
      <c r="AD233" s="17">
        <v>0</v>
      </c>
      <c r="AE233" s="17">
        <v>0</v>
      </c>
      <c r="AF233" s="17">
        <v>1.56</v>
      </c>
      <c r="AG233" s="17">
        <v>0</v>
      </c>
      <c r="AH233" s="17">
        <v>0</v>
      </c>
      <c r="AI233" s="17">
        <f t="shared" si="15"/>
        <v>3</v>
      </c>
      <c r="AJ233" s="17">
        <f t="shared" si="16"/>
        <v>2</v>
      </c>
      <c r="AK233" s="17">
        <f t="shared" si="17"/>
        <v>8</v>
      </c>
      <c r="AL233" s="17">
        <f t="shared" si="18"/>
        <v>1</v>
      </c>
      <c r="AM233" s="17">
        <f>VLOOKUP(AK233,Sheet1!$A$2:$B$25,2,FALSE)</f>
        <v>1</v>
      </c>
    </row>
    <row r="234" spans="1:39" s="17" customFormat="1" x14ac:dyDescent="0.25">
      <c r="A234" s="21">
        <v>44594.364583333336</v>
      </c>
      <c r="B234" s="17">
        <v>618.76</v>
      </c>
      <c r="C234" s="17">
        <v>112.13</v>
      </c>
      <c r="D234" s="17">
        <v>265.12</v>
      </c>
      <c r="E234" s="17">
        <v>44.52</v>
      </c>
      <c r="F234" s="17">
        <v>198.58</v>
      </c>
      <c r="G234" s="17">
        <v>133.38999999999999</v>
      </c>
      <c r="H234" s="17">
        <v>75.010000000000005</v>
      </c>
      <c r="I234" s="17">
        <v>56.25</v>
      </c>
      <c r="J234" s="17">
        <v>23.36</v>
      </c>
      <c r="K234" s="17">
        <v>61.55</v>
      </c>
      <c r="L234" s="17">
        <v>40.06</v>
      </c>
      <c r="M234" s="17">
        <v>29.32</v>
      </c>
      <c r="N234" s="17">
        <v>21.96</v>
      </c>
      <c r="O234" s="17">
        <v>13.29</v>
      </c>
      <c r="P234" s="17">
        <v>14.92</v>
      </c>
      <c r="Q234" s="17">
        <v>9.17</v>
      </c>
      <c r="R234" s="17">
        <v>8.68</v>
      </c>
      <c r="S234" s="17">
        <v>14.71</v>
      </c>
      <c r="T234" s="17">
        <v>10.14</v>
      </c>
      <c r="U234" s="17">
        <v>1.9</v>
      </c>
      <c r="V234" s="17">
        <v>0.58420000000000005</v>
      </c>
      <c r="W234" s="17">
        <v>4.84</v>
      </c>
      <c r="X234" s="17">
        <v>1.21</v>
      </c>
      <c r="Y234" s="17">
        <v>3.19</v>
      </c>
      <c r="Z234" s="17">
        <v>3.49</v>
      </c>
      <c r="AA234" s="17">
        <v>1.68</v>
      </c>
      <c r="AB234" s="17">
        <v>12.08</v>
      </c>
      <c r="AC234" s="17">
        <v>0</v>
      </c>
      <c r="AD234" s="17">
        <v>0</v>
      </c>
      <c r="AE234" s="17">
        <v>0</v>
      </c>
      <c r="AF234" s="17">
        <v>0.32840000000000003</v>
      </c>
      <c r="AG234" s="17">
        <v>0</v>
      </c>
      <c r="AH234" s="17">
        <v>0</v>
      </c>
      <c r="AI234" s="17">
        <f t="shared" si="15"/>
        <v>3</v>
      </c>
      <c r="AJ234" s="17">
        <f t="shared" si="16"/>
        <v>2</v>
      </c>
      <c r="AK234" s="17">
        <f t="shared" si="17"/>
        <v>8</v>
      </c>
      <c r="AL234" s="17">
        <f t="shared" si="18"/>
        <v>1</v>
      </c>
      <c r="AM234" s="17">
        <f>VLOOKUP(AK234,Sheet1!$A$2:$B$25,2,FALSE)</f>
        <v>1</v>
      </c>
    </row>
    <row r="235" spans="1:39" s="17" customFormat="1" x14ac:dyDescent="0.25">
      <c r="A235" s="21">
        <v>44594.375</v>
      </c>
      <c r="B235" s="17">
        <v>716.96</v>
      </c>
      <c r="C235" s="17">
        <v>213.22</v>
      </c>
      <c r="D235" s="17">
        <v>265.24</v>
      </c>
      <c r="E235" s="17">
        <v>167.57</v>
      </c>
      <c r="F235" s="17">
        <v>196.85</v>
      </c>
      <c r="G235" s="17">
        <v>133.66999999999999</v>
      </c>
      <c r="H235" s="17">
        <v>76.680000000000007</v>
      </c>
      <c r="I235" s="17">
        <v>56.7</v>
      </c>
      <c r="J235" s="17">
        <v>22.14</v>
      </c>
      <c r="K235" s="17">
        <v>60.74</v>
      </c>
      <c r="L235" s="17">
        <v>47.51</v>
      </c>
      <c r="M235" s="17">
        <v>29.14</v>
      </c>
      <c r="N235" s="17">
        <v>19.829999999999998</v>
      </c>
      <c r="O235" s="17">
        <v>9.2200000000000006</v>
      </c>
      <c r="P235" s="17">
        <v>18.649999999999999</v>
      </c>
      <c r="Q235" s="17">
        <v>9</v>
      </c>
      <c r="R235" s="17">
        <v>8.5</v>
      </c>
      <c r="S235" s="17">
        <v>11.27</v>
      </c>
      <c r="T235" s="17">
        <v>10.24</v>
      </c>
      <c r="U235" s="17">
        <v>1.87</v>
      </c>
      <c r="V235" s="17">
        <v>2.78</v>
      </c>
      <c r="W235" s="17">
        <v>4.51</v>
      </c>
      <c r="X235" s="17">
        <v>4.03</v>
      </c>
      <c r="Y235" s="17">
        <v>0</v>
      </c>
      <c r="Z235" s="17">
        <v>0</v>
      </c>
      <c r="AA235" s="17">
        <v>0</v>
      </c>
      <c r="AB235" s="17">
        <v>11.4</v>
      </c>
      <c r="AC235" s="17">
        <v>0</v>
      </c>
      <c r="AD235" s="17">
        <v>0</v>
      </c>
      <c r="AE235" s="17">
        <v>0</v>
      </c>
      <c r="AF235" s="17">
        <v>1.75</v>
      </c>
      <c r="AG235" s="17">
        <v>0</v>
      </c>
      <c r="AH235" s="17">
        <v>0</v>
      </c>
      <c r="AI235" s="17">
        <f t="shared" si="15"/>
        <v>3</v>
      </c>
      <c r="AJ235" s="17">
        <f t="shared" si="16"/>
        <v>2</v>
      </c>
      <c r="AK235" s="17">
        <f t="shared" si="17"/>
        <v>9</v>
      </c>
      <c r="AL235" s="17">
        <f t="shared" si="18"/>
        <v>1</v>
      </c>
      <c r="AM235" s="17">
        <f>VLOOKUP(AK235,Sheet1!$A$2:$B$25,2,FALSE)</f>
        <v>1</v>
      </c>
    </row>
    <row r="236" spans="1:39" s="17" customFormat="1" x14ac:dyDescent="0.25">
      <c r="A236" s="21">
        <v>44594.385416666664</v>
      </c>
      <c r="B236" s="17">
        <v>718.07</v>
      </c>
      <c r="C236" s="17">
        <v>212.37</v>
      </c>
      <c r="D236" s="17">
        <v>264.56</v>
      </c>
      <c r="E236" s="17">
        <v>165.67</v>
      </c>
      <c r="F236" s="17">
        <v>194.71</v>
      </c>
      <c r="G236" s="17">
        <v>131.33000000000001</v>
      </c>
      <c r="H236" s="17">
        <v>76.569999999999993</v>
      </c>
      <c r="I236" s="17">
        <v>56.96</v>
      </c>
      <c r="J236" s="17">
        <v>22.54</v>
      </c>
      <c r="K236" s="17">
        <v>60.9</v>
      </c>
      <c r="L236" s="17">
        <v>49.53</v>
      </c>
      <c r="M236" s="17">
        <v>26.77</v>
      </c>
      <c r="N236" s="17">
        <v>21.46</v>
      </c>
      <c r="O236" s="17">
        <v>9.4</v>
      </c>
      <c r="P236" s="17">
        <v>16.670000000000002</v>
      </c>
      <c r="Q236" s="17">
        <v>8.51</v>
      </c>
      <c r="R236" s="17">
        <v>8.3699999999999992</v>
      </c>
      <c r="S236" s="17">
        <v>15.24</v>
      </c>
      <c r="T236" s="17">
        <v>9.32</v>
      </c>
      <c r="U236" s="17">
        <v>1.96</v>
      </c>
      <c r="V236" s="17">
        <v>7.17</v>
      </c>
      <c r="W236" s="17">
        <v>4.46</v>
      </c>
      <c r="X236" s="17">
        <v>3.14</v>
      </c>
      <c r="Y236" s="17">
        <v>0</v>
      </c>
      <c r="Z236" s="17">
        <v>0</v>
      </c>
      <c r="AA236" s="17">
        <v>0</v>
      </c>
      <c r="AB236" s="17">
        <v>10.63</v>
      </c>
      <c r="AC236" s="17">
        <v>0</v>
      </c>
      <c r="AD236" s="17">
        <v>0</v>
      </c>
      <c r="AE236" s="17">
        <v>0</v>
      </c>
      <c r="AF236" s="17">
        <v>1.29</v>
      </c>
      <c r="AG236" s="17">
        <v>0</v>
      </c>
      <c r="AH236" s="17">
        <v>0</v>
      </c>
      <c r="AI236" s="17">
        <f t="shared" si="15"/>
        <v>3</v>
      </c>
      <c r="AJ236" s="17">
        <f t="shared" si="16"/>
        <v>2</v>
      </c>
      <c r="AK236" s="17">
        <f t="shared" si="17"/>
        <v>9</v>
      </c>
      <c r="AL236" s="17">
        <f t="shared" si="18"/>
        <v>1</v>
      </c>
      <c r="AM236" s="17">
        <f>VLOOKUP(AK236,Sheet1!$A$2:$B$25,2,FALSE)</f>
        <v>1</v>
      </c>
    </row>
    <row r="237" spans="1:39" s="17" customFormat="1" x14ac:dyDescent="0.25">
      <c r="A237" s="21">
        <v>44594.395833333336</v>
      </c>
      <c r="B237" s="17">
        <v>772.24</v>
      </c>
      <c r="C237" s="17">
        <v>266.48</v>
      </c>
      <c r="D237" s="17">
        <v>261.27999999999997</v>
      </c>
      <c r="E237" s="17">
        <v>189.72</v>
      </c>
      <c r="F237" s="17">
        <v>194.82</v>
      </c>
      <c r="G237" s="17">
        <v>130.80000000000001</v>
      </c>
      <c r="H237" s="17">
        <v>76</v>
      </c>
      <c r="I237" s="17">
        <v>57</v>
      </c>
      <c r="J237" s="17">
        <v>55.25</v>
      </c>
      <c r="K237" s="17">
        <v>60.93</v>
      </c>
      <c r="L237" s="17">
        <v>47.68</v>
      </c>
      <c r="M237" s="17">
        <v>30.33</v>
      </c>
      <c r="N237" s="17">
        <v>21.2</v>
      </c>
      <c r="O237" s="17">
        <v>24.47</v>
      </c>
      <c r="P237" s="17">
        <v>19.059999999999999</v>
      </c>
      <c r="Q237" s="17">
        <v>11.64</v>
      </c>
      <c r="R237" s="17">
        <v>8.8800000000000008</v>
      </c>
      <c r="S237" s="17">
        <v>11.43</v>
      </c>
      <c r="T237" s="17">
        <v>10.09</v>
      </c>
      <c r="U237" s="17">
        <v>6.23</v>
      </c>
      <c r="V237" s="17">
        <v>3.07</v>
      </c>
      <c r="W237" s="17">
        <v>4.76</v>
      </c>
      <c r="X237" s="17">
        <v>1.73</v>
      </c>
      <c r="Y237" s="17">
        <v>2.16</v>
      </c>
      <c r="Z237" s="17">
        <v>2.2200000000000002</v>
      </c>
      <c r="AA237" s="17">
        <v>5.1100000000000003</v>
      </c>
      <c r="AB237" s="17">
        <v>11.9</v>
      </c>
      <c r="AC237" s="17">
        <v>0</v>
      </c>
      <c r="AD237" s="17">
        <v>0</v>
      </c>
      <c r="AE237" s="17">
        <v>0</v>
      </c>
      <c r="AF237" s="17">
        <v>0.46260000000000001</v>
      </c>
      <c r="AG237" s="17">
        <v>0</v>
      </c>
      <c r="AH237" s="17">
        <v>0</v>
      </c>
      <c r="AI237" s="17">
        <f t="shared" si="15"/>
        <v>3</v>
      </c>
      <c r="AJ237" s="17">
        <f t="shared" si="16"/>
        <v>2</v>
      </c>
      <c r="AK237" s="17">
        <f t="shared" si="17"/>
        <v>9</v>
      </c>
      <c r="AL237" s="17">
        <f t="shared" si="18"/>
        <v>1</v>
      </c>
      <c r="AM237" s="17">
        <f>VLOOKUP(AK237,Sheet1!$A$2:$B$25,2,FALSE)</f>
        <v>1</v>
      </c>
    </row>
    <row r="238" spans="1:39" s="17" customFormat="1" x14ac:dyDescent="0.25">
      <c r="A238" s="21">
        <v>44594.40625</v>
      </c>
      <c r="B238" s="17">
        <v>798.3</v>
      </c>
      <c r="C238" s="17">
        <v>273.48</v>
      </c>
      <c r="D238" s="17">
        <v>259.72000000000003</v>
      </c>
      <c r="E238" s="17">
        <v>194.86</v>
      </c>
      <c r="F238" s="17">
        <v>194.6</v>
      </c>
      <c r="G238" s="17">
        <v>132.74</v>
      </c>
      <c r="H238" s="17">
        <v>78.44</v>
      </c>
      <c r="I238" s="17">
        <v>57.04</v>
      </c>
      <c r="J238" s="17">
        <v>60.64</v>
      </c>
      <c r="K238" s="17">
        <v>60.21</v>
      </c>
      <c r="L238" s="17">
        <v>44.73</v>
      </c>
      <c r="M238" s="17">
        <v>25.72</v>
      </c>
      <c r="N238" s="17">
        <v>20.49</v>
      </c>
      <c r="O238" s="17">
        <v>24.12</v>
      </c>
      <c r="P238" s="17">
        <v>17.29</v>
      </c>
      <c r="Q238" s="17">
        <v>13.53</v>
      </c>
      <c r="R238" s="17">
        <v>8.9</v>
      </c>
      <c r="S238" s="17">
        <v>11.02</v>
      </c>
      <c r="T238" s="17">
        <v>12.91</v>
      </c>
      <c r="U238" s="17">
        <v>6.76</v>
      </c>
      <c r="V238" s="17">
        <v>9.76</v>
      </c>
      <c r="W238" s="17">
        <v>4.51</v>
      </c>
      <c r="X238" s="17">
        <v>7.23</v>
      </c>
      <c r="Y238" s="17">
        <v>5.82</v>
      </c>
      <c r="Z238" s="17">
        <v>6.74</v>
      </c>
      <c r="AA238" s="17">
        <v>7.39</v>
      </c>
      <c r="AB238" s="17">
        <v>10.07</v>
      </c>
      <c r="AC238" s="17">
        <v>0</v>
      </c>
      <c r="AD238" s="17">
        <v>0</v>
      </c>
      <c r="AE238" s="17">
        <v>0</v>
      </c>
      <c r="AF238" s="17">
        <v>1.46</v>
      </c>
      <c r="AG238" s="17">
        <v>0</v>
      </c>
      <c r="AH238" s="17">
        <v>0</v>
      </c>
      <c r="AI238" s="17">
        <f t="shared" si="15"/>
        <v>3</v>
      </c>
      <c r="AJ238" s="17">
        <f t="shared" si="16"/>
        <v>2</v>
      </c>
      <c r="AK238" s="17">
        <f t="shared" si="17"/>
        <v>9</v>
      </c>
      <c r="AL238" s="17">
        <f t="shared" si="18"/>
        <v>1</v>
      </c>
      <c r="AM238" s="17">
        <f>VLOOKUP(AK238,Sheet1!$A$2:$B$25,2,FALSE)</f>
        <v>1</v>
      </c>
    </row>
    <row r="239" spans="1:39" s="17" customFormat="1" x14ac:dyDescent="0.25">
      <c r="A239" s="21">
        <v>44594.416666666664</v>
      </c>
      <c r="B239" s="17">
        <v>814.3</v>
      </c>
      <c r="C239" s="17">
        <v>274.32</v>
      </c>
      <c r="D239" s="17">
        <v>259.01</v>
      </c>
      <c r="E239" s="17">
        <v>196.06</v>
      </c>
      <c r="F239" s="17">
        <v>198.02</v>
      </c>
      <c r="G239" s="17">
        <v>133.85</v>
      </c>
      <c r="H239" s="17">
        <v>80.680000000000007</v>
      </c>
      <c r="I239" s="17">
        <v>57.98</v>
      </c>
      <c r="J239" s="17">
        <v>64</v>
      </c>
      <c r="K239" s="17">
        <v>61.29</v>
      </c>
      <c r="L239" s="17">
        <v>40.299999999999997</v>
      </c>
      <c r="M239" s="17">
        <v>19.02</v>
      </c>
      <c r="N239" s="17">
        <v>21.08</v>
      </c>
      <c r="O239" s="17">
        <v>26.41</v>
      </c>
      <c r="P239" s="17">
        <v>15.96</v>
      </c>
      <c r="Q239" s="17">
        <v>12.26</v>
      </c>
      <c r="R239" s="17">
        <v>8.64</v>
      </c>
      <c r="S239" s="17">
        <v>9.86</v>
      </c>
      <c r="T239" s="17">
        <v>11.91</v>
      </c>
      <c r="U239" s="17">
        <v>6.73</v>
      </c>
      <c r="V239" s="17">
        <v>8.18</v>
      </c>
      <c r="W239" s="17">
        <v>5.16</v>
      </c>
      <c r="X239" s="17">
        <v>5.09</v>
      </c>
      <c r="Y239" s="17">
        <v>6.48</v>
      </c>
      <c r="Z239" s="17">
        <v>8.39</v>
      </c>
      <c r="AA239" s="17">
        <v>7.7</v>
      </c>
      <c r="AB239" s="17">
        <v>10.65</v>
      </c>
      <c r="AC239" s="17">
        <v>16.84</v>
      </c>
      <c r="AD239" s="17">
        <v>0</v>
      </c>
      <c r="AE239" s="17">
        <v>0</v>
      </c>
      <c r="AF239" s="17">
        <v>1.05</v>
      </c>
      <c r="AG239" s="17">
        <v>0</v>
      </c>
      <c r="AH239" s="17">
        <v>0</v>
      </c>
      <c r="AI239" s="17">
        <f t="shared" si="15"/>
        <v>3</v>
      </c>
      <c r="AJ239" s="17">
        <f t="shared" si="16"/>
        <v>2</v>
      </c>
      <c r="AK239" s="17">
        <f t="shared" si="17"/>
        <v>10</v>
      </c>
      <c r="AL239" s="17">
        <f t="shared" si="18"/>
        <v>1</v>
      </c>
      <c r="AM239" s="17">
        <f>VLOOKUP(AK239,Sheet1!$A$2:$B$25,2,FALSE)</f>
        <v>1</v>
      </c>
    </row>
    <row r="240" spans="1:39" s="17" customFormat="1" x14ac:dyDescent="0.25">
      <c r="A240" s="21">
        <v>44594.427083333336</v>
      </c>
      <c r="B240" s="17">
        <v>762.38</v>
      </c>
      <c r="C240" s="17">
        <v>266.51</v>
      </c>
      <c r="D240" s="17">
        <v>224.43</v>
      </c>
      <c r="E240" s="17">
        <v>195.74</v>
      </c>
      <c r="F240" s="17">
        <v>162.38999999999999</v>
      </c>
      <c r="G240" s="17">
        <v>134.22999999999999</v>
      </c>
      <c r="H240" s="17">
        <v>56.71</v>
      </c>
      <c r="I240" s="17">
        <v>58.25</v>
      </c>
      <c r="J240" s="17">
        <v>61.86</v>
      </c>
      <c r="K240" s="17">
        <v>61.69</v>
      </c>
      <c r="L240" s="17">
        <v>34.630000000000003</v>
      </c>
      <c r="M240" s="17">
        <v>22.97</v>
      </c>
      <c r="N240" s="17">
        <v>21.73</v>
      </c>
      <c r="O240" s="17">
        <v>21.87</v>
      </c>
      <c r="P240" s="17">
        <v>19.2</v>
      </c>
      <c r="Q240" s="17">
        <v>12.93</v>
      </c>
      <c r="R240" s="17">
        <v>9.02</v>
      </c>
      <c r="S240" s="17">
        <v>6.83</v>
      </c>
      <c r="T240" s="17">
        <v>13.5</v>
      </c>
      <c r="U240" s="17">
        <v>6.63</v>
      </c>
      <c r="V240" s="17">
        <v>5.97</v>
      </c>
      <c r="W240" s="17">
        <v>4.17</v>
      </c>
      <c r="X240" s="17">
        <v>12.28</v>
      </c>
      <c r="Y240" s="17">
        <v>8.0299999999999994</v>
      </c>
      <c r="Z240" s="17">
        <v>8.33</v>
      </c>
      <c r="AA240" s="17">
        <v>6.86</v>
      </c>
      <c r="AB240" s="17">
        <v>10.52</v>
      </c>
      <c r="AC240" s="17">
        <v>0.94340000000000002</v>
      </c>
      <c r="AD240" s="17">
        <v>0</v>
      </c>
      <c r="AE240" s="17">
        <v>0</v>
      </c>
      <c r="AF240" s="17">
        <v>1.05</v>
      </c>
      <c r="AG240" s="17">
        <v>0</v>
      </c>
      <c r="AH240" s="17">
        <v>0</v>
      </c>
      <c r="AI240" s="17">
        <f t="shared" si="15"/>
        <v>3</v>
      </c>
      <c r="AJ240" s="17">
        <f t="shared" si="16"/>
        <v>2</v>
      </c>
      <c r="AK240" s="17">
        <f t="shared" si="17"/>
        <v>10</v>
      </c>
      <c r="AL240" s="17">
        <f t="shared" si="18"/>
        <v>1</v>
      </c>
      <c r="AM240" s="17">
        <f>VLOOKUP(AK240,Sheet1!$A$2:$B$25,2,FALSE)</f>
        <v>1</v>
      </c>
    </row>
    <row r="241" spans="1:39" s="17" customFormat="1" x14ac:dyDescent="0.25">
      <c r="A241" s="21">
        <v>44594.4375</v>
      </c>
      <c r="B241" s="17">
        <v>625.23</v>
      </c>
      <c r="C241" s="17">
        <v>266.60000000000002</v>
      </c>
      <c r="D241" s="17">
        <v>85.35</v>
      </c>
      <c r="E241" s="17">
        <v>198.01</v>
      </c>
      <c r="F241" s="17">
        <v>33.46</v>
      </c>
      <c r="G241" s="17">
        <v>135.55000000000001</v>
      </c>
      <c r="H241" s="17">
        <v>30.83</v>
      </c>
      <c r="I241" s="17">
        <v>57.79</v>
      </c>
      <c r="J241" s="17">
        <v>64.22</v>
      </c>
      <c r="K241" s="17">
        <v>62.73</v>
      </c>
      <c r="L241" s="17">
        <v>28.62</v>
      </c>
      <c r="M241" s="17">
        <v>26.99</v>
      </c>
      <c r="N241" s="17">
        <v>21.07</v>
      </c>
      <c r="O241" s="17">
        <v>22.51</v>
      </c>
      <c r="P241" s="17">
        <v>17.78</v>
      </c>
      <c r="Q241" s="17">
        <v>12.7</v>
      </c>
      <c r="R241" s="17">
        <v>8.5</v>
      </c>
      <c r="S241" s="17">
        <v>15.54</v>
      </c>
      <c r="T241" s="17">
        <v>10.71</v>
      </c>
      <c r="U241" s="17">
        <v>6.49</v>
      </c>
      <c r="V241" s="17">
        <v>10.47</v>
      </c>
      <c r="W241" s="17">
        <v>1.31</v>
      </c>
      <c r="X241" s="17">
        <v>10.44</v>
      </c>
      <c r="Y241" s="17">
        <v>8.1199999999999992</v>
      </c>
      <c r="Z241" s="17">
        <v>8.34</v>
      </c>
      <c r="AA241" s="17">
        <v>7.86</v>
      </c>
      <c r="AB241" s="17">
        <v>0.65290000000000004</v>
      </c>
      <c r="AC241" s="17">
        <v>0.74129999999999996</v>
      </c>
      <c r="AD241" s="17">
        <v>0</v>
      </c>
      <c r="AE241" s="17">
        <v>0</v>
      </c>
      <c r="AF241" s="17">
        <v>0.8226</v>
      </c>
      <c r="AG241" s="17">
        <v>0</v>
      </c>
      <c r="AH241" s="17">
        <v>0</v>
      </c>
      <c r="AI241" s="17">
        <f t="shared" si="15"/>
        <v>3</v>
      </c>
      <c r="AJ241" s="17">
        <f t="shared" si="16"/>
        <v>2</v>
      </c>
      <c r="AK241" s="17">
        <f t="shared" si="17"/>
        <v>10</v>
      </c>
      <c r="AL241" s="17">
        <f t="shared" si="18"/>
        <v>1</v>
      </c>
      <c r="AM241" s="17">
        <f>VLOOKUP(AK241,Sheet1!$A$2:$B$25,2,FALSE)</f>
        <v>1</v>
      </c>
    </row>
    <row r="242" spans="1:39" s="17" customFormat="1" x14ac:dyDescent="0.25">
      <c r="A242" s="21">
        <v>44594.447916666664</v>
      </c>
      <c r="B242" s="17">
        <v>710.55</v>
      </c>
      <c r="C242" s="17">
        <v>266.01</v>
      </c>
      <c r="D242" s="17">
        <v>180.61</v>
      </c>
      <c r="E242" s="17">
        <v>196.06</v>
      </c>
      <c r="F242" s="17">
        <v>169.39</v>
      </c>
      <c r="G242" s="17">
        <v>133.35</v>
      </c>
      <c r="H242" s="17">
        <v>20.39</v>
      </c>
      <c r="I242" s="17">
        <v>57.64</v>
      </c>
      <c r="J242" s="17">
        <v>64.94</v>
      </c>
      <c r="K242" s="17">
        <v>61.05</v>
      </c>
      <c r="L242" s="17">
        <v>27.12</v>
      </c>
      <c r="M242" s="17">
        <v>20.190000000000001</v>
      </c>
      <c r="N242" s="17">
        <v>20.89</v>
      </c>
      <c r="O242" s="17">
        <v>23.94</v>
      </c>
      <c r="P242" s="17">
        <v>17.829999999999998</v>
      </c>
      <c r="Q242" s="17">
        <v>12.53</v>
      </c>
      <c r="R242" s="17">
        <v>8.65</v>
      </c>
      <c r="S242" s="17">
        <v>14.33</v>
      </c>
      <c r="T242" s="17">
        <v>12.86</v>
      </c>
      <c r="U242" s="17">
        <v>6.59</v>
      </c>
      <c r="V242" s="17">
        <v>9.16</v>
      </c>
      <c r="W242" s="17">
        <v>1.22</v>
      </c>
      <c r="X242" s="17">
        <v>6.53</v>
      </c>
      <c r="Y242" s="17">
        <v>8.26</v>
      </c>
      <c r="Z242" s="17">
        <v>8.48</v>
      </c>
      <c r="AA242" s="17">
        <v>8.35</v>
      </c>
      <c r="AB242" s="17">
        <v>0</v>
      </c>
      <c r="AC242" s="17">
        <v>0</v>
      </c>
      <c r="AD242" s="17">
        <v>0</v>
      </c>
      <c r="AE242" s="17">
        <v>0</v>
      </c>
      <c r="AF242" s="17">
        <v>0</v>
      </c>
      <c r="AG242" s="17">
        <v>2.3199999999999998</v>
      </c>
      <c r="AH242" s="17">
        <v>0</v>
      </c>
      <c r="AI242" s="17">
        <f t="shared" si="15"/>
        <v>3</v>
      </c>
      <c r="AJ242" s="17">
        <f t="shared" si="16"/>
        <v>2</v>
      </c>
      <c r="AK242" s="17">
        <f t="shared" si="17"/>
        <v>10</v>
      </c>
      <c r="AL242" s="17">
        <f t="shared" si="18"/>
        <v>1</v>
      </c>
      <c r="AM242" s="17">
        <f>VLOOKUP(AK242,Sheet1!$A$2:$B$25,2,FALSE)</f>
        <v>1</v>
      </c>
    </row>
    <row r="243" spans="1:39" s="17" customFormat="1" x14ac:dyDescent="0.25">
      <c r="A243" s="21">
        <v>44594.458333333336</v>
      </c>
      <c r="B243" s="17">
        <v>695.95</v>
      </c>
      <c r="C243" s="17">
        <v>267.92</v>
      </c>
      <c r="D243" s="17">
        <v>175.28</v>
      </c>
      <c r="E243" s="17">
        <v>198.86</v>
      </c>
      <c r="F243" s="17">
        <v>150</v>
      </c>
      <c r="G243" s="17">
        <v>133.55000000000001</v>
      </c>
      <c r="H243" s="17">
        <v>22.9</v>
      </c>
      <c r="I243" s="17">
        <v>57.38</v>
      </c>
      <c r="J243" s="17">
        <v>59.55</v>
      </c>
      <c r="K243" s="17">
        <v>62.12</v>
      </c>
      <c r="L243" s="17">
        <v>33.729999999999997</v>
      </c>
      <c r="M243" s="17">
        <v>36.340000000000003</v>
      </c>
      <c r="N243" s="17">
        <v>20.11</v>
      </c>
      <c r="O243" s="17">
        <v>17.38</v>
      </c>
      <c r="P243" s="17">
        <v>17.38</v>
      </c>
      <c r="Q243" s="17">
        <v>12.76</v>
      </c>
      <c r="R243" s="17">
        <v>8.76</v>
      </c>
      <c r="S243" s="17">
        <v>12.26</v>
      </c>
      <c r="T243" s="17">
        <v>10.54</v>
      </c>
      <c r="U243" s="17">
        <v>6.54</v>
      </c>
      <c r="V243" s="17">
        <v>7.56</v>
      </c>
      <c r="W243" s="17">
        <v>1.23</v>
      </c>
      <c r="X243" s="17">
        <v>1.42</v>
      </c>
      <c r="Y243" s="17">
        <v>7.97</v>
      </c>
      <c r="Z243" s="17">
        <v>8.59</v>
      </c>
      <c r="AA243" s="17">
        <v>6.64</v>
      </c>
      <c r="AB243" s="17">
        <v>0</v>
      </c>
      <c r="AC243" s="17">
        <v>0</v>
      </c>
      <c r="AD243" s="17">
        <v>0</v>
      </c>
      <c r="AE243" s="17">
        <v>0</v>
      </c>
      <c r="AF243" s="17">
        <v>0</v>
      </c>
      <c r="AG243" s="17">
        <v>0</v>
      </c>
      <c r="AH243" s="17">
        <v>0</v>
      </c>
      <c r="AI243" s="17">
        <f t="shared" si="15"/>
        <v>3</v>
      </c>
      <c r="AJ243" s="17">
        <f t="shared" si="16"/>
        <v>2</v>
      </c>
      <c r="AK243" s="17">
        <f t="shared" si="17"/>
        <v>11</v>
      </c>
      <c r="AL243" s="17">
        <f t="shared" si="18"/>
        <v>1</v>
      </c>
      <c r="AM243" s="17">
        <f>VLOOKUP(AK243,Sheet1!$A$2:$B$25,2,FALSE)</f>
        <v>1</v>
      </c>
    </row>
    <row r="244" spans="1:39" s="17" customFormat="1" x14ac:dyDescent="0.25">
      <c r="A244" s="21">
        <v>44594.46875</v>
      </c>
      <c r="B244" s="17">
        <v>727.46</v>
      </c>
      <c r="C244" s="17">
        <v>274.2</v>
      </c>
      <c r="D244" s="17">
        <v>198.92</v>
      </c>
      <c r="E244" s="17">
        <v>197.34</v>
      </c>
      <c r="F244" s="17">
        <v>172.09</v>
      </c>
      <c r="G244" s="17">
        <v>134.38</v>
      </c>
      <c r="H244" s="17">
        <v>27.89</v>
      </c>
      <c r="I244" s="17">
        <v>57.83</v>
      </c>
      <c r="J244" s="17">
        <v>64.73</v>
      </c>
      <c r="K244" s="17">
        <v>62.01</v>
      </c>
      <c r="L244" s="17">
        <v>41.62</v>
      </c>
      <c r="M244" s="17">
        <v>28.41</v>
      </c>
      <c r="N244" s="17">
        <v>21.35</v>
      </c>
      <c r="O244" s="17">
        <v>22.69</v>
      </c>
      <c r="P244" s="17">
        <v>17.93</v>
      </c>
      <c r="Q244" s="17">
        <v>12.78</v>
      </c>
      <c r="R244" s="17">
        <v>8.6999999999999993</v>
      </c>
      <c r="S244" s="17">
        <v>6.24</v>
      </c>
      <c r="T244" s="17">
        <v>11.54</v>
      </c>
      <c r="U244" s="17">
        <v>6.68</v>
      </c>
      <c r="V244" s="17">
        <v>7.74</v>
      </c>
      <c r="W244" s="17">
        <v>1.22</v>
      </c>
      <c r="X244" s="17">
        <v>7.72</v>
      </c>
      <c r="Y244" s="17">
        <v>8.02</v>
      </c>
      <c r="Z244" s="17">
        <v>8.26</v>
      </c>
      <c r="AA244" s="17">
        <v>5.68</v>
      </c>
      <c r="AB244" s="17">
        <v>0</v>
      </c>
      <c r="AC244" s="17">
        <v>0.54310000000000003</v>
      </c>
      <c r="AD244" s="17">
        <v>0</v>
      </c>
      <c r="AE244" s="17">
        <v>0</v>
      </c>
      <c r="AF244" s="17">
        <v>0</v>
      </c>
      <c r="AG244" s="17">
        <v>0</v>
      </c>
      <c r="AH244" s="17">
        <v>0</v>
      </c>
      <c r="AI244" s="17">
        <f t="shared" si="15"/>
        <v>3</v>
      </c>
      <c r="AJ244" s="17">
        <f t="shared" si="16"/>
        <v>2</v>
      </c>
      <c r="AK244" s="17">
        <f t="shared" si="17"/>
        <v>11</v>
      </c>
      <c r="AL244" s="17">
        <f t="shared" si="18"/>
        <v>1</v>
      </c>
      <c r="AM244" s="17">
        <f>VLOOKUP(AK244,Sheet1!$A$2:$B$25,2,FALSE)</f>
        <v>1</v>
      </c>
    </row>
    <row r="245" spans="1:39" s="17" customFormat="1" x14ac:dyDescent="0.25">
      <c r="A245" s="21">
        <v>44594.479166666664</v>
      </c>
      <c r="B245" s="17">
        <v>690.38</v>
      </c>
      <c r="C245" s="17">
        <v>280.91000000000003</v>
      </c>
      <c r="D245" s="17">
        <v>144.74</v>
      </c>
      <c r="E245" s="17">
        <v>199.1</v>
      </c>
      <c r="F245" s="17">
        <v>113.91</v>
      </c>
      <c r="G245" s="17">
        <v>135.94</v>
      </c>
      <c r="H245" s="17">
        <v>28.01</v>
      </c>
      <c r="I245" s="17">
        <v>57.89</v>
      </c>
      <c r="J245" s="17">
        <v>63.76</v>
      </c>
      <c r="K245" s="17">
        <v>62.89</v>
      </c>
      <c r="L245" s="17">
        <v>45.12</v>
      </c>
      <c r="M245" s="17">
        <v>25.3</v>
      </c>
      <c r="N245" s="17">
        <v>20.41</v>
      </c>
      <c r="O245" s="17">
        <v>25.93</v>
      </c>
      <c r="P245" s="17">
        <v>16.57</v>
      </c>
      <c r="Q245" s="17">
        <v>12.35</v>
      </c>
      <c r="R245" s="17">
        <v>8.8699999999999992</v>
      </c>
      <c r="S245" s="17">
        <v>12.71</v>
      </c>
      <c r="T245" s="17">
        <v>11.88</v>
      </c>
      <c r="U245" s="17">
        <v>6.59</v>
      </c>
      <c r="V245" s="17">
        <v>8.02</v>
      </c>
      <c r="W245" s="17">
        <v>1.26</v>
      </c>
      <c r="X245" s="17">
        <v>9.91</v>
      </c>
      <c r="Y245" s="17">
        <v>8.02</v>
      </c>
      <c r="Z245" s="17">
        <v>8.39</v>
      </c>
      <c r="AA245" s="17">
        <v>6.98</v>
      </c>
      <c r="AB245" s="17">
        <v>0</v>
      </c>
      <c r="AC245" s="17">
        <v>0.29920000000000002</v>
      </c>
      <c r="AD245" s="17">
        <v>0</v>
      </c>
      <c r="AE245" s="17">
        <v>0</v>
      </c>
      <c r="AF245" s="17">
        <v>0</v>
      </c>
      <c r="AG245" s="17">
        <v>0</v>
      </c>
      <c r="AH245" s="17">
        <v>0</v>
      </c>
      <c r="AI245" s="17">
        <f t="shared" si="15"/>
        <v>3</v>
      </c>
      <c r="AJ245" s="17">
        <f t="shared" si="16"/>
        <v>2</v>
      </c>
      <c r="AK245" s="17">
        <f t="shared" si="17"/>
        <v>11</v>
      </c>
      <c r="AL245" s="17">
        <f t="shared" si="18"/>
        <v>1</v>
      </c>
      <c r="AM245" s="17">
        <f>VLOOKUP(AK245,Sheet1!$A$2:$B$25,2,FALSE)</f>
        <v>1</v>
      </c>
    </row>
    <row r="246" spans="1:39" s="17" customFormat="1" x14ac:dyDescent="0.25">
      <c r="A246" s="21">
        <v>44594.489583333336</v>
      </c>
      <c r="B246" s="17">
        <v>737.16</v>
      </c>
      <c r="C246" s="17">
        <v>274.93</v>
      </c>
      <c r="D246" s="17">
        <v>196.96</v>
      </c>
      <c r="E246" s="17">
        <v>197.7</v>
      </c>
      <c r="F246" s="17">
        <v>173.69</v>
      </c>
      <c r="G246" s="17">
        <v>134.79</v>
      </c>
      <c r="H246" s="17">
        <v>28.19</v>
      </c>
      <c r="I246" s="17">
        <v>57.43</v>
      </c>
      <c r="J246" s="17">
        <v>63.3</v>
      </c>
      <c r="K246" s="17">
        <v>62.26</v>
      </c>
      <c r="L246" s="17">
        <v>45.14</v>
      </c>
      <c r="M246" s="17">
        <v>21.14</v>
      </c>
      <c r="N246" s="17">
        <v>21.29</v>
      </c>
      <c r="O246" s="17">
        <v>24.11</v>
      </c>
      <c r="P246" s="17">
        <v>16.829999999999998</v>
      </c>
      <c r="Q246" s="17">
        <v>13.04</v>
      </c>
      <c r="R246" s="17">
        <v>8.7200000000000006</v>
      </c>
      <c r="S246" s="17">
        <v>9.67</v>
      </c>
      <c r="T246" s="17">
        <v>13.65</v>
      </c>
      <c r="U246" s="17">
        <v>6.52</v>
      </c>
      <c r="V246" s="17">
        <v>12.47</v>
      </c>
      <c r="W246" s="17">
        <v>1.23</v>
      </c>
      <c r="X246" s="17">
        <v>10.67</v>
      </c>
      <c r="Y246" s="17">
        <v>8.1300000000000008</v>
      </c>
      <c r="Z246" s="17">
        <v>8.35</v>
      </c>
      <c r="AA246" s="17">
        <v>6.93</v>
      </c>
      <c r="AB246" s="17">
        <v>0</v>
      </c>
      <c r="AC246" s="17">
        <v>0</v>
      </c>
      <c r="AD246" s="17">
        <v>0</v>
      </c>
      <c r="AE246" s="17">
        <v>0</v>
      </c>
      <c r="AF246" s="17">
        <v>0</v>
      </c>
      <c r="AG246" s="17">
        <v>0</v>
      </c>
      <c r="AH246" s="17">
        <v>0</v>
      </c>
      <c r="AI246" s="17">
        <f t="shared" si="15"/>
        <v>3</v>
      </c>
      <c r="AJ246" s="17">
        <f t="shared" si="16"/>
        <v>2</v>
      </c>
      <c r="AK246" s="17">
        <f t="shared" si="17"/>
        <v>11</v>
      </c>
      <c r="AL246" s="17">
        <f t="shared" si="18"/>
        <v>1</v>
      </c>
      <c r="AM246" s="17">
        <f>VLOOKUP(AK246,Sheet1!$A$2:$B$25,2,FALSE)</f>
        <v>1</v>
      </c>
    </row>
    <row r="247" spans="1:39" s="17" customFormat="1" x14ac:dyDescent="0.25">
      <c r="A247" s="21">
        <v>44594.5</v>
      </c>
      <c r="B247" s="17">
        <v>749</v>
      </c>
      <c r="C247" s="17">
        <v>272.26</v>
      </c>
      <c r="D247" s="17">
        <v>213.62</v>
      </c>
      <c r="E247" s="17">
        <v>199.03</v>
      </c>
      <c r="F247" s="17">
        <v>182.98</v>
      </c>
      <c r="G247" s="17">
        <v>134.87</v>
      </c>
      <c r="H247" s="17">
        <v>40.19</v>
      </c>
      <c r="I247" s="17">
        <v>57.55</v>
      </c>
      <c r="J247" s="17">
        <v>60.65</v>
      </c>
      <c r="K247" s="17">
        <v>62.07</v>
      </c>
      <c r="L247" s="17">
        <v>41</v>
      </c>
      <c r="M247" s="17">
        <v>15.99</v>
      </c>
      <c r="N247" s="17">
        <v>20.67</v>
      </c>
      <c r="O247" s="17">
        <v>23.66</v>
      </c>
      <c r="P247" s="17">
        <v>17.23</v>
      </c>
      <c r="Q247" s="17">
        <v>10.93</v>
      </c>
      <c r="R247" s="17">
        <v>8.48</v>
      </c>
      <c r="S247" s="17">
        <v>9.1</v>
      </c>
      <c r="T247" s="17">
        <v>12.26</v>
      </c>
      <c r="U247" s="17">
        <v>6.57</v>
      </c>
      <c r="V247" s="17">
        <v>11.29</v>
      </c>
      <c r="W247" s="17">
        <v>1.23</v>
      </c>
      <c r="X247" s="17">
        <v>5.27</v>
      </c>
      <c r="Y247" s="17">
        <v>8.17</v>
      </c>
      <c r="Z247" s="17">
        <v>8.5</v>
      </c>
      <c r="AA247" s="17">
        <v>6.54</v>
      </c>
      <c r="AB247" s="17">
        <v>4.6100000000000003</v>
      </c>
      <c r="AC247" s="17">
        <v>0</v>
      </c>
      <c r="AD247" s="17">
        <v>0</v>
      </c>
      <c r="AE247" s="17">
        <v>0</v>
      </c>
      <c r="AF247" s="17">
        <v>0</v>
      </c>
      <c r="AG247" s="17">
        <v>0</v>
      </c>
      <c r="AH247" s="17">
        <v>0</v>
      </c>
      <c r="AI247" s="17">
        <f t="shared" si="15"/>
        <v>3</v>
      </c>
      <c r="AJ247" s="17">
        <f t="shared" si="16"/>
        <v>2</v>
      </c>
      <c r="AK247" s="17">
        <f t="shared" si="17"/>
        <v>12</v>
      </c>
      <c r="AL247" s="17">
        <f t="shared" si="18"/>
        <v>1</v>
      </c>
      <c r="AM247" s="17">
        <f>VLOOKUP(AK247,Sheet1!$A$2:$B$25,2,FALSE)</f>
        <v>1</v>
      </c>
    </row>
    <row r="248" spans="1:39" s="17" customFormat="1" x14ac:dyDescent="0.25">
      <c r="A248" s="21">
        <v>44594.510416666664</v>
      </c>
      <c r="B248" s="17">
        <v>715.11</v>
      </c>
      <c r="C248" s="17">
        <v>269.94</v>
      </c>
      <c r="D248" s="17">
        <v>192.86</v>
      </c>
      <c r="E248" s="17">
        <v>197.52</v>
      </c>
      <c r="F248" s="17">
        <v>171.93</v>
      </c>
      <c r="G248" s="17">
        <v>133.71</v>
      </c>
      <c r="H248" s="17">
        <v>25.33</v>
      </c>
      <c r="I248" s="17">
        <v>57.53</v>
      </c>
      <c r="J248" s="17">
        <v>61.36</v>
      </c>
      <c r="K248" s="17">
        <v>61.87</v>
      </c>
      <c r="L248" s="17">
        <v>37.1</v>
      </c>
      <c r="M248" s="17">
        <v>17.399999999999999</v>
      </c>
      <c r="N248" s="17">
        <v>21.64</v>
      </c>
      <c r="O248" s="17">
        <v>22.3</v>
      </c>
      <c r="P248" s="17">
        <v>17.5</v>
      </c>
      <c r="Q248" s="17">
        <v>13.4</v>
      </c>
      <c r="R248" s="17">
        <v>8.66</v>
      </c>
      <c r="S248" s="17">
        <v>11.19</v>
      </c>
      <c r="T248" s="17">
        <v>11.26</v>
      </c>
      <c r="U248" s="17">
        <v>6.6</v>
      </c>
      <c r="V248" s="17">
        <v>7.29</v>
      </c>
      <c r="W248" s="17">
        <v>1.24</v>
      </c>
      <c r="X248" s="17">
        <v>4.04</v>
      </c>
      <c r="Y248" s="17">
        <v>8.1</v>
      </c>
      <c r="Z248" s="17">
        <v>8.44</v>
      </c>
      <c r="AA248" s="17">
        <v>4.51</v>
      </c>
      <c r="AB248" s="17">
        <v>0</v>
      </c>
      <c r="AC248" s="17">
        <v>0</v>
      </c>
      <c r="AD248" s="17">
        <v>0</v>
      </c>
      <c r="AE248" s="17">
        <v>0</v>
      </c>
      <c r="AF248" s="17">
        <v>0</v>
      </c>
      <c r="AG248" s="17">
        <v>0</v>
      </c>
      <c r="AH248" s="17">
        <v>0</v>
      </c>
      <c r="AI248" s="17">
        <f t="shared" si="15"/>
        <v>3</v>
      </c>
      <c r="AJ248" s="17">
        <f t="shared" si="16"/>
        <v>2</v>
      </c>
      <c r="AK248" s="17">
        <f t="shared" si="17"/>
        <v>12</v>
      </c>
      <c r="AL248" s="17">
        <f t="shared" si="18"/>
        <v>1</v>
      </c>
      <c r="AM248" s="17">
        <f>VLOOKUP(AK248,Sheet1!$A$2:$B$25,2,FALSE)</f>
        <v>1</v>
      </c>
    </row>
    <row r="249" spans="1:39" s="17" customFormat="1" x14ac:dyDescent="0.25">
      <c r="A249" s="21">
        <v>44594.520833333336</v>
      </c>
      <c r="B249" s="17">
        <v>720.76</v>
      </c>
      <c r="C249" s="17">
        <v>271.10000000000002</v>
      </c>
      <c r="D249" s="17">
        <v>194.73</v>
      </c>
      <c r="E249" s="17">
        <v>196.55</v>
      </c>
      <c r="F249" s="17">
        <v>171.4</v>
      </c>
      <c r="G249" s="17">
        <v>134.63</v>
      </c>
      <c r="H249" s="17">
        <v>25.49</v>
      </c>
      <c r="I249" s="17">
        <v>58.09</v>
      </c>
      <c r="J249" s="17">
        <v>63.55</v>
      </c>
      <c r="K249" s="17">
        <v>61.85</v>
      </c>
      <c r="L249" s="17">
        <v>35.96</v>
      </c>
      <c r="M249" s="17">
        <v>22.86</v>
      </c>
      <c r="N249" s="17">
        <v>20.73</v>
      </c>
      <c r="O249" s="17">
        <v>22.03</v>
      </c>
      <c r="P249" s="17">
        <v>18.05</v>
      </c>
      <c r="Q249" s="17">
        <v>10.4</v>
      </c>
      <c r="R249" s="17">
        <v>8.82</v>
      </c>
      <c r="S249" s="17">
        <v>9.94</v>
      </c>
      <c r="T249" s="17">
        <v>13.74</v>
      </c>
      <c r="U249" s="17">
        <v>6.44</v>
      </c>
      <c r="V249" s="17">
        <v>10.72</v>
      </c>
      <c r="W249" s="17">
        <v>1.24</v>
      </c>
      <c r="X249" s="17">
        <v>2.4</v>
      </c>
      <c r="Y249" s="17">
        <v>8.17</v>
      </c>
      <c r="Z249" s="17">
        <v>8.32</v>
      </c>
      <c r="AA249" s="17">
        <v>4.62</v>
      </c>
      <c r="AB249" s="17">
        <v>0</v>
      </c>
      <c r="AC249" s="17">
        <v>0</v>
      </c>
      <c r="AD249" s="17">
        <v>0</v>
      </c>
      <c r="AE249" s="17">
        <v>0</v>
      </c>
      <c r="AF249" s="17">
        <v>0</v>
      </c>
      <c r="AG249" s="17">
        <v>0</v>
      </c>
      <c r="AH249" s="17">
        <v>0</v>
      </c>
      <c r="AI249" s="17">
        <f t="shared" si="15"/>
        <v>3</v>
      </c>
      <c r="AJ249" s="17">
        <f t="shared" si="16"/>
        <v>2</v>
      </c>
      <c r="AK249" s="17">
        <f t="shared" si="17"/>
        <v>12</v>
      </c>
      <c r="AL249" s="17">
        <f t="shared" si="18"/>
        <v>1</v>
      </c>
      <c r="AM249" s="17">
        <f>VLOOKUP(AK249,Sheet1!$A$2:$B$25,2,FALSE)</f>
        <v>1</v>
      </c>
    </row>
    <row r="250" spans="1:39" s="17" customFormat="1" x14ac:dyDescent="0.25">
      <c r="A250" s="21">
        <v>44594.53125</v>
      </c>
      <c r="B250" s="17">
        <v>711.96</v>
      </c>
      <c r="C250" s="17">
        <v>265.29000000000002</v>
      </c>
      <c r="D250" s="17">
        <v>191.51</v>
      </c>
      <c r="E250" s="17">
        <v>194.72</v>
      </c>
      <c r="F250" s="17">
        <v>170.29</v>
      </c>
      <c r="G250" s="17">
        <v>134.02000000000001</v>
      </c>
      <c r="H250" s="17">
        <v>26.62</v>
      </c>
      <c r="I250" s="17">
        <v>58.36</v>
      </c>
      <c r="J250" s="17">
        <v>63.56</v>
      </c>
      <c r="K250" s="17">
        <v>61.79</v>
      </c>
      <c r="L250" s="17">
        <v>29.64</v>
      </c>
      <c r="M250" s="17">
        <v>16.68</v>
      </c>
      <c r="N250" s="17">
        <v>21.35</v>
      </c>
      <c r="O250" s="17">
        <v>24.5</v>
      </c>
      <c r="P250" s="17">
        <v>17.989999999999998</v>
      </c>
      <c r="Q250" s="17">
        <v>12.9</v>
      </c>
      <c r="R250" s="17">
        <v>8.77</v>
      </c>
      <c r="S250" s="17">
        <v>12.66</v>
      </c>
      <c r="T250" s="17">
        <v>15.03</v>
      </c>
      <c r="U250" s="17">
        <v>6.47</v>
      </c>
      <c r="V250" s="17">
        <v>8.81</v>
      </c>
      <c r="W250" s="17">
        <v>1.23</v>
      </c>
      <c r="X250" s="17">
        <v>4.08</v>
      </c>
      <c r="Y250" s="17">
        <v>7.92</v>
      </c>
      <c r="Z250" s="17">
        <v>8.39</v>
      </c>
      <c r="AA250" s="17">
        <v>1.64</v>
      </c>
      <c r="AB250" s="17">
        <v>1.28</v>
      </c>
      <c r="AC250" s="17">
        <v>0</v>
      </c>
      <c r="AD250" s="17">
        <v>0</v>
      </c>
      <c r="AE250" s="17">
        <v>0</v>
      </c>
      <c r="AF250" s="17">
        <v>0</v>
      </c>
      <c r="AG250" s="17">
        <v>0</v>
      </c>
      <c r="AH250" s="17">
        <v>0</v>
      </c>
      <c r="AI250" s="17">
        <f t="shared" si="15"/>
        <v>3</v>
      </c>
      <c r="AJ250" s="17">
        <f t="shared" si="16"/>
        <v>2</v>
      </c>
      <c r="AK250" s="17">
        <f t="shared" si="17"/>
        <v>12</v>
      </c>
      <c r="AL250" s="17">
        <f t="shared" si="18"/>
        <v>1</v>
      </c>
      <c r="AM250" s="17">
        <f>VLOOKUP(AK250,Sheet1!$A$2:$B$25,2,FALSE)</f>
        <v>1</v>
      </c>
    </row>
    <row r="251" spans="1:39" s="17" customFormat="1" x14ac:dyDescent="0.25">
      <c r="A251" s="21">
        <v>44594.541666666664</v>
      </c>
      <c r="B251" s="17">
        <v>712.07</v>
      </c>
      <c r="C251" s="17">
        <v>262.23</v>
      </c>
      <c r="D251" s="17">
        <v>195.13</v>
      </c>
      <c r="E251" s="17">
        <v>197.79</v>
      </c>
      <c r="F251" s="17">
        <v>173.07</v>
      </c>
      <c r="G251" s="17">
        <v>127.31</v>
      </c>
      <c r="H251" s="17">
        <v>25.49</v>
      </c>
      <c r="I251" s="17">
        <v>57.31</v>
      </c>
      <c r="J251" s="17">
        <v>59.01</v>
      </c>
      <c r="K251" s="17">
        <v>62.68</v>
      </c>
      <c r="L251" s="17">
        <v>27.3</v>
      </c>
      <c r="M251" s="17">
        <v>20.39</v>
      </c>
      <c r="N251" s="17">
        <v>21.86</v>
      </c>
      <c r="O251" s="17">
        <v>20.440000000000001</v>
      </c>
      <c r="P251" s="17">
        <v>17.3</v>
      </c>
      <c r="Q251" s="17">
        <v>12.36</v>
      </c>
      <c r="R251" s="17">
        <v>6.82</v>
      </c>
      <c r="S251" s="17">
        <v>9.26</v>
      </c>
      <c r="T251" s="17">
        <v>1.97</v>
      </c>
      <c r="U251" s="17">
        <v>6.51</v>
      </c>
      <c r="V251" s="17">
        <v>7.05</v>
      </c>
      <c r="W251" s="17">
        <v>1.26</v>
      </c>
      <c r="X251" s="17">
        <v>7.99</v>
      </c>
      <c r="Y251" s="17">
        <v>8.19</v>
      </c>
      <c r="Z251" s="17">
        <v>8.24</v>
      </c>
      <c r="AA251" s="17">
        <v>5.46</v>
      </c>
      <c r="AB251" s="17">
        <v>0</v>
      </c>
      <c r="AC251" s="17">
        <v>6.58</v>
      </c>
      <c r="AD251" s="17">
        <v>0</v>
      </c>
      <c r="AE251" s="17">
        <v>7.8200000000000006E-2</v>
      </c>
      <c r="AF251" s="17">
        <v>0</v>
      </c>
      <c r="AG251" s="17">
        <v>0</v>
      </c>
      <c r="AH251" s="17">
        <v>0</v>
      </c>
      <c r="AI251" s="17">
        <f t="shared" si="15"/>
        <v>3</v>
      </c>
      <c r="AJ251" s="17">
        <f t="shared" si="16"/>
        <v>2</v>
      </c>
      <c r="AK251" s="17">
        <f t="shared" si="17"/>
        <v>13</v>
      </c>
      <c r="AL251" s="17">
        <f t="shared" si="18"/>
        <v>1</v>
      </c>
      <c r="AM251" s="17">
        <f>VLOOKUP(AK251,Sheet1!$A$2:$B$25,2,FALSE)</f>
        <v>1</v>
      </c>
    </row>
    <row r="252" spans="1:39" s="17" customFormat="1" x14ac:dyDescent="0.25">
      <c r="A252" s="21">
        <v>44594.552083333336</v>
      </c>
      <c r="B252" s="17">
        <v>725.78</v>
      </c>
      <c r="C252" s="17">
        <v>265.52</v>
      </c>
      <c r="D252" s="17">
        <v>199.34</v>
      </c>
      <c r="E252" s="17">
        <v>198.25</v>
      </c>
      <c r="F252" s="17">
        <v>171.59</v>
      </c>
      <c r="G252" s="17">
        <v>125.19</v>
      </c>
      <c r="H252" s="17">
        <v>26.94</v>
      </c>
      <c r="I252" s="17">
        <v>57.87</v>
      </c>
      <c r="J252" s="17">
        <v>60.92</v>
      </c>
      <c r="K252" s="17">
        <v>62.09</v>
      </c>
      <c r="L252" s="17">
        <v>30.18</v>
      </c>
      <c r="M252" s="17">
        <v>18.899999999999999</v>
      </c>
      <c r="N252" s="17">
        <v>19.75</v>
      </c>
      <c r="O252" s="17">
        <v>18.97</v>
      </c>
      <c r="P252" s="17">
        <v>17.690000000000001</v>
      </c>
      <c r="Q252" s="17">
        <v>12.9</v>
      </c>
      <c r="R252" s="17">
        <v>6.77</v>
      </c>
      <c r="S252" s="17">
        <v>15.29</v>
      </c>
      <c r="T252" s="17">
        <v>0</v>
      </c>
      <c r="U252" s="17">
        <v>6.47</v>
      </c>
      <c r="V252" s="17">
        <v>6.5</v>
      </c>
      <c r="W252" s="17">
        <v>1.22</v>
      </c>
      <c r="X252" s="17">
        <v>6.89</v>
      </c>
      <c r="Y252" s="17">
        <v>8.24</v>
      </c>
      <c r="Z252" s="17">
        <v>8.3699999999999992</v>
      </c>
      <c r="AA252" s="17">
        <v>7.24</v>
      </c>
      <c r="AB252" s="17">
        <v>0</v>
      </c>
      <c r="AC252" s="17">
        <v>7.64</v>
      </c>
      <c r="AD252" s="17">
        <v>0</v>
      </c>
      <c r="AE252" s="17">
        <v>0</v>
      </c>
      <c r="AF252" s="17">
        <v>0</v>
      </c>
      <c r="AG252" s="17">
        <v>0</v>
      </c>
      <c r="AH252" s="17">
        <v>0</v>
      </c>
      <c r="AI252" s="17">
        <f t="shared" si="15"/>
        <v>3</v>
      </c>
      <c r="AJ252" s="17">
        <f t="shared" si="16"/>
        <v>2</v>
      </c>
      <c r="AK252" s="17">
        <f t="shared" si="17"/>
        <v>13</v>
      </c>
      <c r="AL252" s="17">
        <f t="shared" si="18"/>
        <v>1</v>
      </c>
      <c r="AM252" s="17">
        <f>VLOOKUP(AK252,Sheet1!$A$2:$B$25,2,FALSE)</f>
        <v>1</v>
      </c>
    </row>
    <row r="253" spans="1:39" s="17" customFormat="1" x14ac:dyDescent="0.25">
      <c r="A253" s="21">
        <v>44594.5625</v>
      </c>
      <c r="B253" s="17">
        <v>720.62</v>
      </c>
      <c r="C253" s="17">
        <v>250.83</v>
      </c>
      <c r="D253" s="17">
        <v>209.95</v>
      </c>
      <c r="E253" s="17">
        <v>189.02</v>
      </c>
      <c r="F253" s="17">
        <v>172.86</v>
      </c>
      <c r="G253" s="17">
        <v>126.14</v>
      </c>
      <c r="H253" s="17">
        <v>27.21</v>
      </c>
      <c r="I253" s="17">
        <v>57.89</v>
      </c>
      <c r="J253" s="17">
        <v>52.62</v>
      </c>
      <c r="K253" s="17">
        <v>62.49</v>
      </c>
      <c r="L253" s="17">
        <v>39.08</v>
      </c>
      <c r="M253" s="17">
        <v>19.82</v>
      </c>
      <c r="N253" s="17">
        <v>22.63</v>
      </c>
      <c r="O253" s="17">
        <v>13.25</v>
      </c>
      <c r="P253" s="17">
        <v>19.75</v>
      </c>
      <c r="Q253" s="17">
        <v>9.44</v>
      </c>
      <c r="R253" s="17">
        <v>7.09</v>
      </c>
      <c r="S253" s="17">
        <v>12.07</v>
      </c>
      <c r="T253" s="17">
        <v>0</v>
      </c>
      <c r="U253" s="17">
        <v>5.73</v>
      </c>
      <c r="V253" s="17">
        <v>5.0999999999999996</v>
      </c>
      <c r="W253" s="17">
        <v>1.22</v>
      </c>
      <c r="X253" s="17">
        <v>12.07</v>
      </c>
      <c r="Y253" s="17">
        <v>8.0299999999999994</v>
      </c>
      <c r="Z253" s="17">
        <v>6.49</v>
      </c>
      <c r="AA253" s="17">
        <v>2.9</v>
      </c>
      <c r="AB253" s="17">
        <v>0</v>
      </c>
      <c r="AC253" s="17">
        <v>9.3800000000000008</v>
      </c>
      <c r="AD253" s="17">
        <v>0</v>
      </c>
      <c r="AE253" s="17">
        <v>0</v>
      </c>
      <c r="AF253" s="17">
        <v>0</v>
      </c>
      <c r="AG253" s="17">
        <v>0</v>
      </c>
      <c r="AH253" s="17">
        <v>0</v>
      </c>
      <c r="AI253" s="17">
        <f t="shared" si="15"/>
        <v>3</v>
      </c>
      <c r="AJ253" s="17">
        <f t="shared" si="16"/>
        <v>2</v>
      </c>
      <c r="AK253" s="17">
        <f t="shared" si="17"/>
        <v>13</v>
      </c>
      <c r="AL253" s="17">
        <f t="shared" si="18"/>
        <v>1</v>
      </c>
      <c r="AM253" s="17">
        <f>VLOOKUP(AK253,Sheet1!$A$2:$B$25,2,FALSE)</f>
        <v>1</v>
      </c>
    </row>
    <row r="254" spans="1:39" s="17" customFormat="1" x14ac:dyDescent="0.25">
      <c r="A254" s="21">
        <v>44594.572916666664</v>
      </c>
      <c r="B254" s="17">
        <v>516.15</v>
      </c>
      <c r="C254" s="17">
        <v>83.77</v>
      </c>
      <c r="D254" s="17">
        <v>208.68</v>
      </c>
      <c r="E254" s="17">
        <v>0</v>
      </c>
      <c r="F254" s="17">
        <v>179.42</v>
      </c>
      <c r="G254" s="17">
        <v>119.53</v>
      </c>
      <c r="H254" s="17">
        <v>26.79</v>
      </c>
      <c r="I254" s="17">
        <v>57.48</v>
      </c>
      <c r="J254" s="17">
        <v>23.19</v>
      </c>
      <c r="K254" s="17">
        <v>56.49</v>
      </c>
      <c r="L254" s="17">
        <v>47.22</v>
      </c>
      <c r="M254" s="17">
        <v>20.149999999999999</v>
      </c>
      <c r="N254" s="17">
        <v>21.2</v>
      </c>
      <c r="O254" s="17">
        <v>10.55</v>
      </c>
      <c r="P254" s="17">
        <v>18.82</v>
      </c>
      <c r="Q254" s="17">
        <v>7.57</v>
      </c>
      <c r="R254" s="17">
        <v>3.24</v>
      </c>
      <c r="S254" s="17">
        <v>12.99</v>
      </c>
      <c r="T254" s="17">
        <v>0</v>
      </c>
      <c r="U254" s="17">
        <v>3.09</v>
      </c>
      <c r="V254" s="17">
        <v>4.32</v>
      </c>
      <c r="W254" s="17">
        <v>1.25</v>
      </c>
      <c r="X254" s="17">
        <v>2.4900000000000002</v>
      </c>
      <c r="Y254" s="17">
        <v>7.53</v>
      </c>
      <c r="Z254" s="17">
        <v>0</v>
      </c>
      <c r="AA254" s="17">
        <v>0</v>
      </c>
      <c r="AB254" s="17">
        <v>0</v>
      </c>
      <c r="AC254" s="17">
        <v>0.54710000000000003</v>
      </c>
      <c r="AD254" s="17">
        <v>0</v>
      </c>
      <c r="AE254" s="17">
        <v>0</v>
      </c>
      <c r="AF254" s="17">
        <v>0</v>
      </c>
      <c r="AG254" s="17">
        <v>0</v>
      </c>
      <c r="AH254" s="17">
        <v>0</v>
      </c>
      <c r="AI254" s="17">
        <f t="shared" si="15"/>
        <v>3</v>
      </c>
      <c r="AJ254" s="17">
        <f t="shared" si="16"/>
        <v>2</v>
      </c>
      <c r="AK254" s="17">
        <f t="shared" si="17"/>
        <v>13</v>
      </c>
      <c r="AL254" s="17">
        <f t="shared" si="18"/>
        <v>1</v>
      </c>
      <c r="AM254" s="17">
        <f>VLOOKUP(AK254,Sheet1!$A$2:$B$25,2,FALSE)</f>
        <v>1</v>
      </c>
    </row>
    <row r="255" spans="1:39" s="17" customFormat="1" x14ac:dyDescent="0.25">
      <c r="A255" s="21">
        <v>44594.583333333336</v>
      </c>
      <c r="B255" s="17">
        <v>633.80999999999995</v>
      </c>
      <c r="C255" s="17">
        <v>203.28</v>
      </c>
      <c r="D255" s="17">
        <v>204.89</v>
      </c>
      <c r="E255" s="17">
        <v>150.12</v>
      </c>
      <c r="F255" s="17">
        <v>176.4</v>
      </c>
      <c r="G255" s="17">
        <v>127.01</v>
      </c>
      <c r="H255" s="17">
        <v>25.05</v>
      </c>
      <c r="I255" s="17">
        <v>57.54</v>
      </c>
      <c r="J255" s="17">
        <v>23.57</v>
      </c>
      <c r="K255" s="17">
        <v>64.16</v>
      </c>
      <c r="L255" s="17">
        <v>49.2</v>
      </c>
      <c r="M255" s="17">
        <v>23.67</v>
      </c>
      <c r="N255" s="17">
        <v>20.41</v>
      </c>
      <c r="O255" s="17">
        <v>14.13</v>
      </c>
      <c r="P255" s="17">
        <v>18.59</v>
      </c>
      <c r="Q255" s="17">
        <v>7.66</v>
      </c>
      <c r="R255" s="17">
        <v>6.28</v>
      </c>
      <c r="S255" s="17">
        <v>14.92</v>
      </c>
      <c r="T255" s="17">
        <v>0</v>
      </c>
      <c r="U255" s="17">
        <v>1.87</v>
      </c>
      <c r="V255" s="17">
        <v>2.85</v>
      </c>
      <c r="W255" s="17">
        <v>1.39</v>
      </c>
      <c r="X255" s="17">
        <v>1.27</v>
      </c>
      <c r="Y255" s="17">
        <v>2.1800000000000002</v>
      </c>
      <c r="Z255" s="17">
        <v>0</v>
      </c>
      <c r="AA255" s="17">
        <v>0</v>
      </c>
      <c r="AB255" s="17">
        <v>0</v>
      </c>
      <c r="AC255" s="17">
        <v>1.28</v>
      </c>
      <c r="AD255" s="17">
        <v>0</v>
      </c>
      <c r="AE255" s="17">
        <v>0</v>
      </c>
      <c r="AF255" s="17">
        <v>0</v>
      </c>
      <c r="AG255" s="17">
        <v>0</v>
      </c>
      <c r="AH255" s="17">
        <v>0</v>
      </c>
      <c r="AI255" s="17">
        <f t="shared" si="15"/>
        <v>3</v>
      </c>
      <c r="AJ255" s="17">
        <f t="shared" si="16"/>
        <v>2</v>
      </c>
      <c r="AK255" s="17">
        <f t="shared" si="17"/>
        <v>14</v>
      </c>
      <c r="AL255" s="17">
        <f t="shared" si="18"/>
        <v>1</v>
      </c>
      <c r="AM255" s="17">
        <f>VLOOKUP(AK255,Sheet1!$A$2:$B$25,2,FALSE)</f>
        <v>1</v>
      </c>
    </row>
    <row r="256" spans="1:39" s="17" customFormat="1" x14ac:dyDescent="0.25">
      <c r="A256" s="21">
        <v>44594.59375</v>
      </c>
      <c r="B256" s="17">
        <v>661.66</v>
      </c>
      <c r="C256" s="17">
        <v>220.61</v>
      </c>
      <c r="D256" s="17">
        <v>203.66</v>
      </c>
      <c r="E256" s="17">
        <v>173.99</v>
      </c>
      <c r="F256" s="17">
        <v>176.27</v>
      </c>
      <c r="G256" s="17">
        <v>129.94999999999999</v>
      </c>
      <c r="H256" s="17">
        <v>25.74</v>
      </c>
      <c r="I256" s="17">
        <v>57.67</v>
      </c>
      <c r="J256" s="17">
        <v>23.85</v>
      </c>
      <c r="K256" s="17">
        <v>63.49</v>
      </c>
      <c r="L256" s="17">
        <v>49.25</v>
      </c>
      <c r="M256" s="17">
        <v>21.7</v>
      </c>
      <c r="N256" s="17">
        <v>18.62</v>
      </c>
      <c r="O256" s="17">
        <v>11.41</v>
      </c>
      <c r="P256" s="17">
        <v>19.73</v>
      </c>
      <c r="Q256" s="17">
        <v>9.01</v>
      </c>
      <c r="R256" s="17">
        <v>6.74</v>
      </c>
      <c r="S256" s="17">
        <v>11.44</v>
      </c>
      <c r="T256" s="17">
        <v>0</v>
      </c>
      <c r="U256" s="17">
        <v>1.62</v>
      </c>
      <c r="V256" s="17">
        <v>3.17</v>
      </c>
      <c r="W256" s="17">
        <v>1.45</v>
      </c>
      <c r="X256" s="17">
        <v>1.41</v>
      </c>
      <c r="Y256" s="17">
        <v>4.3099999999999996</v>
      </c>
      <c r="Z256" s="17">
        <v>0</v>
      </c>
      <c r="AA256" s="17">
        <v>0</v>
      </c>
      <c r="AB256" s="17">
        <v>0</v>
      </c>
      <c r="AC256" s="17">
        <v>9.7200000000000006</v>
      </c>
      <c r="AD256" s="17">
        <v>0</v>
      </c>
      <c r="AE256" s="17">
        <v>0</v>
      </c>
      <c r="AF256" s="17">
        <v>0</v>
      </c>
      <c r="AG256" s="17">
        <v>0</v>
      </c>
      <c r="AH256" s="17">
        <v>0</v>
      </c>
      <c r="AI256" s="17">
        <f t="shared" si="15"/>
        <v>3</v>
      </c>
      <c r="AJ256" s="17">
        <f t="shared" si="16"/>
        <v>2</v>
      </c>
      <c r="AK256" s="17">
        <f t="shared" si="17"/>
        <v>14</v>
      </c>
      <c r="AL256" s="17">
        <f t="shared" si="18"/>
        <v>1</v>
      </c>
      <c r="AM256" s="17">
        <f>VLOOKUP(AK256,Sheet1!$A$2:$B$25,2,FALSE)</f>
        <v>1</v>
      </c>
    </row>
    <row r="257" spans="1:39" s="17" customFormat="1" x14ac:dyDescent="0.25">
      <c r="A257" s="21">
        <v>44594.604166666664</v>
      </c>
      <c r="B257" s="17">
        <v>651.33000000000004</v>
      </c>
      <c r="C257" s="17">
        <v>219.57</v>
      </c>
      <c r="D257" s="17">
        <v>201.93</v>
      </c>
      <c r="E257" s="17">
        <v>173.95</v>
      </c>
      <c r="F257" s="17">
        <v>176.15</v>
      </c>
      <c r="G257" s="17">
        <v>128.28</v>
      </c>
      <c r="H257" s="17">
        <v>25.43</v>
      </c>
      <c r="I257" s="17">
        <v>56.74</v>
      </c>
      <c r="J257" s="17">
        <v>23.47</v>
      </c>
      <c r="K257" s="17">
        <v>63.78</v>
      </c>
      <c r="L257" s="17">
        <v>48.36</v>
      </c>
      <c r="M257" s="17">
        <v>18.510000000000002</v>
      </c>
      <c r="N257" s="17">
        <v>22.93</v>
      </c>
      <c r="O257" s="17">
        <v>15.45</v>
      </c>
      <c r="P257" s="17">
        <v>19.43</v>
      </c>
      <c r="Q257" s="17">
        <v>9.2799999999999994</v>
      </c>
      <c r="R257" s="17">
        <v>6.5</v>
      </c>
      <c r="S257" s="17">
        <v>15.26</v>
      </c>
      <c r="T257" s="17">
        <v>0</v>
      </c>
      <c r="U257" s="17">
        <v>1.61</v>
      </c>
      <c r="V257" s="17">
        <v>3.53</v>
      </c>
      <c r="W257" s="17">
        <v>1.34</v>
      </c>
      <c r="X257" s="17">
        <v>1.43</v>
      </c>
      <c r="Y257" s="17">
        <v>1.58</v>
      </c>
      <c r="Z257" s="17">
        <v>0</v>
      </c>
      <c r="AA257" s="17">
        <v>0</v>
      </c>
      <c r="AB257" s="17">
        <v>2.13</v>
      </c>
      <c r="AC257" s="17">
        <v>1.45</v>
      </c>
      <c r="AD257" s="17">
        <v>0</v>
      </c>
      <c r="AE257" s="17">
        <v>8.2900000000000001E-2</v>
      </c>
      <c r="AF257" s="17">
        <v>0</v>
      </c>
      <c r="AG257" s="17">
        <v>0</v>
      </c>
      <c r="AH257" s="17">
        <v>0</v>
      </c>
      <c r="AI257" s="17">
        <f t="shared" si="15"/>
        <v>3</v>
      </c>
      <c r="AJ257" s="17">
        <f t="shared" si="16"/>
        <v>2</v>
      </c>
      <c r="AK257" s="17">
        <f t="shared" si="17"/>
        <v>14</v>
      </c>
      <c r="AL257" s="17">
        <f t="shared" si="18"/>
        <v>1</v>
      </c>
      <c r="AM257" s="17">
        <f>VLOOKUP(AK257,Sheet1!$A$2:$B$25,2,FALSE)</f>
        <v>1</v>
      </c>
    </row>
    <row r="258" spans="1:39" s="17" customFormat="1" x14ac:dyDescent="0.25">
      <c r="A258" s="21">
        <v>44594.614583333336</v>
      </c>
      <c r="B258" s="17">
        <v>514.08000000000004</v>
      </c>
      <c r="C258" s="17">
        <v>213.04</v>
      </c>
      <c r="D258" s="17">
        <v>200.26</v>
      </c>
      <c r="E258" s="17">
        <v>162.58000000000001</v>
      </c>
      <c r="F258" s="17">
        <v>176.6</v>
      </c>
      <c r="G258" s="17">
        <v>8.82</v>
      </c>
      <c r="H258" s="17">
        <v>25.99</v>
      </c>
      <c r="I258" s="17">
        <v>57.04</v>
      </c>
      <c r="J258" s="17">
        <v>39.97</v>
      </c>
      <c r="K258" s="17">
        <v>4.2699999999999996</v>
      </c>
      <c r="L258" s="17">
        <v>35.08</v>
      </c>
      <c r="M258" s="17">
        <v>20.16</v>
      </c>
      <c r="N258" s="17">
        <v>20.21</v>
      </c>
      <c r="O258" s="17">
        <v>19.28</v>
      </c>
      <c r="P258" s="17">
        <v>18.96</v>
      </c>
      <c r="Q258" s="17">
        <v>16.489999999999998</v>
      </c>
      <c r="R258" s="17">
        <v>1.45</v>
      </c>
      <c r="S258" s="17">
        <v>10.66</v>
      </c>
      <c r="T258" s="17">
        <v>0</v>
      </c>
      <c r="U258" s="17">
        <v>1.74</v>
      </c>
      <c r="V258" s="17">
        <v>2.95</v>
      </c>
      <c r="W258" s="17">
        <v>1.26</v>
      </c>
      <c r="X258" s="17">
        <v>2.36</v>
      </c>
      <c r="Y258" s="17">
        <v>0</v>
      </c>
      <c r="Z258" s="17">
        <v>0</v>
      </c>
      <c r="AA258" s="17">
        <v>0</v>
      </c>
      <c r="AB258" s="17">
        <v>0</v>
      </c>
      <c r="AC258" s="17">
        <v>0</v>
      </c>
      <c r="AD258" s="17">
        <v>0</v>
      </c>
      <c r="AE258" s="17">
        <v>0</v>
      </c>
      <c r="AF258" s="17">
        <v>0</v>
      </c>
      <c r="AG258" s="17">
        <v>2.02</v>
      </c>
      <c r="AH258" s="17">
        <v>0</v>
      </c>
      <c r="AI258" s="17">
        <f t="shared" si="15"/>
        <v>3</v>
      </c>
      <c r="AJ258" s="17">
        <f t="shared" si="16"/>
        <v>2</v>
      </c>
      <c r="AK258" s="17">
        <f t="shared" si="17"/>
        <v>14</v>
      </c>
      <c r="AL258" s="17">
        <f t="shared" si="18"/>
        <v>1</v>
      </c>
      <c r="AM258" s="17">
        <f>VLOOKUP(AK258,Sheet1!$A$2:$B$25,2,FALSE)</f>
        <v>1</v>
      </c>
    </row>
    <row r="259" spans="1:39" s="17" customFormat="1" x14ac:dyDescent="0.25">
      <c r="A259" s="21">
        <v>44594.625</v>
      </c>
      <c r="B259" s="17">
        <v>301.97000000000003</v>
      </c>
      <c r="C259" s="17">
        <v>22.66</v>
      </c>
      <c r="D259" s="17">
        <v>202.5</v>
      </c>
      <c r="E259" s="17">
        <v>0</v>
      </c>
      <c r="F259" s="17">
        <v>181.19</v>
      </c>
      <c r="G259" s="17">
        <v>0</v>
      </c>
      <c r="H259" s="17">
        <v>26.68</v>
      </c>
      <c r="I259" s="17">
        <v>56.65</v>
      </c>
      <c r="J259" s="17">
        <v>2.16</v>
      </c>
      <c r="K259" s="17">
        <v>0</v>
      </c>
      <c r="L259" s="17">
        <v>0</v>
      </c>
      <c r="M259" s="17">
        <v>17.899999999999999</v>
      </c>
      <c r="N259" s="17">
        <v>19.84</v>
      </c>
      <c r="O259" s="17">
        <v>0</v>
      </c>
      <c r="P259" s="17">
        <v>17.8</v>
      </c>
      <c r="Q259" s="17">
        <v>0</v>
      </c>
      <c r="R259" s="17">
        <v>0.2455</v>
      </c>
      <c r="S259" s="17">
        <v>2.37</v>
      </c>
      <c r="T259" s="17">
        <v>0</v>
      </c>
      <c r="U259" s="17">
        <v>1.75</v>
      </c>
      <c r="V259" s="17">
        <v>0</v>
      </c>
      <c r="W259" s="17">
        <v>1.1200000000000001</v>
      </c>
      <c r="X259" s="17">
        <v>0</v>
      </c>
      <c r="Y259" s="17">
        <v>0</v>
      </c>
      <c r="Z259" s="17">
        <v>0</v>
      </c>
      <c r="AA259" s="17">
        <v>0</v>
      </c>
      <c r="AB259" s="17">
        <v>0</v>
      </c>
      <c r="AC259" s="17">
        <v>0</v>
      </c>
      <c r="AD259" s="17">
        <v>0</v>
      </c>
      <c r="AE259" s="17">
        <v>0</v>
      </c>
      <c r="AF259" s="17">
        <v>0</v>
      </c>
      <c r="AG259" s="17">
        <v>0</v>
      </c>
      <c r="AH259" s="17">
        <v>0</v>
      </c>
      <c r="AI259" s="17">
        <f t="shared" si="15"/>
        <v>3</v>
      </c>
      <c r="AJ259" s="17">
        <f t="shared" si="16"/>
        <v>2</v>
      </c>
      <c r="AK259" s="17">
        <f t="shared" si="17"/>
        <v>15</v>
      </c>
      <c r="AL259" s="17">
        <f t="shared" si="18"/>
        <v>1</v>
      </c>
      <c r="AM259" s="17">
        <f>VLOOKUP(AK259,Sheet1!$A$2:$B$25,2,FALSE)</f>
        <v>1</v>
      </c>
    </row>
    <row r="260" spans="1:39" s="17" customFormat="1" x14ac:dyDescent="0.25">
      <c r="A260" s="21">
        <v>44594.635416666664</v>
      </c>
      <c r="B260" s="17">
        <v>280.06</v>
      </c>
      <c r="C260" s="17">
        <v>11.34</v>
      </c>
      <c r="D260" s="17">
        <v>203.63</v>
      </c>
      <c r="E260" s="17">
        <v>0</v>
      </c>
      <c r="F260" s="17">
        <v>182.05</v>
      </c>
      <c r="G260" s="17">
        <v>0</v>
      </c>
      <c r="H260" s="17">
        <v>26.49</v>
      </c>
      <c r="I260" s="17">
        <v>56.67</v>
      </c>
      <c r="J260" s="17">
        <v>2.35</v>
      </c>
      <c r="K260" s="17">
        <v>0</v>
      </c>
      <c r="L260" s="17">
        <v>0</v>
      </c>
      <c r="M260" s="17">
        <v>19.920000000000002</v>
      </c>
      <c r="N260" s="17">
        <v>9.8699999999999992</v>
      </c>
      <c r="O260" s="17">
        <v>0</v>
      </c>
      <c r="P260" s="17">
        <v>8.42</v>
      </c>
      <c r="Q260" s="17">
        <v>0</v>
      </c>
      <c r="R260" s="17">
        <v>0.45710000000000001</v>
      </c>
      <c r="S260" s="17">
        <v>0</v>
      </c>
      <c r="T260" s="17">
        <v>0</v>
      </c>
      <c r="U260" s="17">
        <v>1.77</v>
      </c>
      <c r="V260" s="17">
        <v>0</v>
      </c>
      <c r="W260" s="17">
        <v>1.1299999999999999</v>
      </c>
      <c r="X260" s="17">
        <v>0</v>
      </c>
      <c r="Y260" s="17">
        <v>0</v>
      </c>
      <c r="Z260" s="17">
        <v>0</v>
      </c>
      <c r="AA260" s="17">
        <v>0</v>
      </c>
      <c r="AB260" s="17">
        <v>0</v>
      </c>
      <c r="AC260" s="17">
        <v>0</v>
      </c>
      <c r="AD260" s="17">
        <v>0</v>
      </c>
      <c r="AE260" s="17">
        <v>0</v>
      </c>
      <c r="AF260" s="17">
        <v>0</v>
      </c>
      <c r="AG260" s="17">
        <v>0</v>
      </c>
      <c r="AH260" s="17">
        <v>0</v>
      </c>
      <c r="AI260" s="17">
        <f t="shared" si="15"/>
        <v>3</v>
      </c>
      <c r="AJ260" s="17">
        <f t="shared" si="16"/>
        <v>2</v>
      </c>
      <c r="AK260" s="17">
        <f t="shared" si="17"/>
        <v>15</v>
      </c>
      <c r="AL260" s="17">
        <f t="shared" si="18"/>
        <v>1</v>
      </c>
      <c r="AM260" s="17">
        <f>VLOOKUP(AK260,Sheet1!$A$2:$B$25,2,FALSE)</f>
        <v>1</v>
      </c>
    </row>
    <row r="261" spans="1:39" s="17" customFormat="1" x14ac:dyDescent="0.25">
      <c r="A261" s="21">
        <v>44594.645833333336</v>
      </c>
      <c r="B261" s="17">
        <v>260.08999999999997</v>
      </c>
      <c r="C261" s="17">
        <v>0.25259999999999999</v>
      </c>
      <c r="D261" s="17">
        <v>203.51</v>
      </c>
      <c r="E261" s="17">
        <v>0</v>
      </c>
      <c r="F261" s="17">
        <v>182.38</v>
      </c>
      <c r="G261" s="17">
        <v>0</v>
      </c>
      <c r="H261" s="17">
        <v>24.8</v>
      </c>
      <c r="I261" s="17">
        <v>56.33</v>
      </c>
      <c r="J261" s="17">
        <v>2.35</v>
      </c>
      <c r="K261" s="17">
        <v>0</v>
      </c>
      <c r="L261" s="17">
        <v>0</v>
      </c>
      <c r="M261" s="17">
        <v>19.63</v>
      </c>
      <c r="N261" s="17">
        <v>0</v>
      </c>
      <c r="O261" s="17">
        <v>0</v>
      </c>
      <c r="P261" s="17">
        <v>0</v>
      </c>
      <c r="Q261" s="17">
        <v>0</v>
      </c>
      <c r="R261" s="17">
        <v>0.5242</v>
      </c>
      <c r="S261" s="17">
        <v>0</v>
      </c>
      <c r="T261" s="17">
        <v>0</v>
      </c>
      <c r="U261" s="17">
        <v>1.79</v>
      </c>
      <c r="V261" s="17">
        <v>0</v>
      </c>
      <c r="W261" s="17">
        <v>1.1299999999999999</v>
      </c>
      <c r="X261" s="17">
        <v>0</v>
      </c>
      <c r="Y261" s="17">
        <v>0</v>
      </c>
      <c r="Z261" s="17">
        <v>0</v>
      </c>
      <c r="AA261" s="17">
        <v>0</v>
      </c>
      <c r="AB261" s="17">
        <v>0</v>
      </c>
      <c r="AC261" s="17">
        <v>0</v>
      </c>
      <c r="AD261" s="17">
        <v>0</v>
      </c>
      <c r="AE261" s="17">
        <v>0</v>
      </c>
      <c r="AF261" s="17">
        <v>0</v>
      </c>
      <c r="AG261" s="17">
        <v>0</v>
      </c>
      <c r="AH261" s="17">
        <v>0</v>
      </c>
      <c r="AI261" s="17">
        <f t="shared" si="15"/>
        <v>3</v>
      </c>
      <c r="AJ261" s="17">
        <f t="shared" si="16"/>
        <v>2</v>
      </c>
      <c r="AK261" s="17">
        <f t="shared" si="17"/>
        <v>15</v>
      </c>
      <c r="AL261" s="17">
        <f t="shared" si="18"/>
        <v>1</v>
      </c>
      <c r="AM261" s="17">
        <f>VLOOKUP(AK261,Sheet1!$A$2:$B$25,2,FALSE)</f>
        <v>1</v>
      </c>
    </row>
    <row r="262" spans="1:39" s="17" customFormat="1" x14ac:dyDescent="0.25">
      <c r="A262" s="21">
        <v>44594.65625</v>
      </c>
      <c r="B262" s="17">
        <v>244.38</v>
      </c>
      <c r="C262" s="17">
        <v>0.25259999999999999</v>
      </c>
      <c r="D262" s="17">
        <v>200.8</v>
      </c>
      <c r="E262" s="17">
        <v>0</v>
      </c>
      <c r="F262" s="17">
        <v>182.95</v>
      </c>
      <c r="G262" s="17">
        <v>0</v>
      </c>
      <c r="H262" s="17">
        <v>23.95</v>
      </c>
      <c r="I262" s="17">
        <v>43.32</v>
      </c>
      <c r="J262" s="17">
        <v>2.31</v>
      </c>
      <c r="K262" s="17">
        <v>0</v>
      </c>
      <c r="L262" s="17">
        <v>0</v>
      </c>
      <c r="M262" s="17">
        <v>14.36</v>
      </c>
      <c r="N262" s="17">
        <v>0</v>
      </c>
      <c r="O262" s="17">
        <v>0</v>
      </c>
      <c r="P262" s="17">
        <v>0</v>
      </c>
      <c r="Q262" s="17">
        <v>0</v>
      </c>
      <c r="R262" s="17">
        <v>0.48709999999999998</v>
      </c>
      <c r="S262" s="17">
        <v>0</v>
      </c>
      <c r="T262" s="17">
        <v>0</v>
      </c>
      <c r="U262" s="17">
        <v>1.79</v>
      </c>
      <c r="V262" s="17">
        <v>0</v>
      </c>
      <c r="W262" s="17">
        <v>1.25</v>
      </c>
      <c r="X262" s="17">
        <v>0</v>
      </c>
      <c r="Y262" s="17">
        <v>0</v>
      </c>
      <c r="Z262" s="17">
        <v>0</v>
      </c>
      <c r="AA262" s="17">
        <v>0</v>
      </c>
      <c r="AB262" s="17">
        <v>0</v>
      </c>
      <c r="AC262" s="17">
        <v>0</v>
      </c>
      <c r="AD262" s="17">
        <v>0</v>
      </c>
      <c r="AE262" s="17">
        <v>0</v>
      </c>
      <c r="AF262" s="17">
        <v>0</v>
      </c>
      <c r="AG262" s="17">
        <v>0</v>
      </c>
      <c r="AH262" s="17">
        <v>0</v>
      </c>
      <c r="AI262" s="17">
        <f t="shared" si="15"/>
        <v>3</v>
      </c>
      <c r="AJ262" s="17">
        <f t="shared" si="16"/>
        <v>2</v>
      </c>
      <c r="AK262" s="17">
        <f t="shared" si="17"/>
        <v>15</v>
      </c>
      <c r="AL262" s="17">
        <f t="shared" si="18"/>
        <v>1</v>
      </c>
      <c r="AM262" s="17">
        <f>VLOOKUP(AK262,Sheet1!$A$2:$B$25,2,FALSE)</f>
        <v>1</v>
      </c>
    </row>
    <row r="263" spans="1:39" s="17" customFormat="1" x14ac:dyDescent="0.25">
      <c r="A263" s="21">
        <v>44594.666666666664</v>
      </c>
      <c r="B263" s="17">
        <v>188.5</v>
      </c>
      <c r="C263" s="17">
        <v>0</v>
      </c>
      <c r="D263" s="17">
        <v>188.5</v>
      </c>
      <c r="E263" s="17">
        <v>0</v>
      </c>
      <c r="F263" s="17">
        <v>180.64</v>
      </c>
      <c r="G263" s="17">
        <v>0</v>
      </c>
      <c r="H263" s="17">
        <v>20.79</v>
      </c>
      <c r="I263" s="17">
        <v>0</v>
      </c>
      <c r="J263" s="17">
        <v>2.31</v>
      </c>
      <c r="K263" s="17">
        <v>0</v>
      </c>
      <c r="L263" s="17">
        <v>0</v>
      </c>
      <c r="M263" s="17">
        <v>0</v>
      </c>
      <c r="N263" s="17">
        <v>0</v>
      </c>
      <c r="O263" s="17">
        <v>0</v>
      </c>
      <c r="P263" s="17">
        <v>0</v>
      </c>
      <c r="Q263" s="17">
        <v>0</v>
      </c>
      <c r="R263" s="17">
        <v>0.27550000000000002</v>
      </c>
      <c r="S263" s="17">
        <v>0</v>
      </c>
      <c r="T263" s="17">
        <v>0</v>
      </c>
      <c r="U263" s="17">
        <v>1.77</v>
      </c>
      <c r="V263" s="17">
        <v>0</v>
      </c>
      <c r="W263" s="17">
        <v>1.48</v>
      </c>
      <c r="X263" s="17">
        <v>0</v>
      </c>
      <c r="Y263" s="17">
        <v>0</v>
      </c>
      <c r="Z263" s="17">
        <v>0</v>
      </c>
      <c r="AA263" s="17">
        <v>0</v>
      </c>
      <c r="AB263" s="17">
        <v>0</v>
      </c>
      <c r="AC263" s="17">
        <v>0</v>
      </c>
      <c r="AD263" s="17">
        <v>0</v>
      </c>
      <c r="AE263" s="17">
        <v>0</v>
      </c>
      <c r="AF263" s="17">
        <v>0</v>
      </c>
      <c r="AG263" s="17">
        <v>0</v>
      </c>
      <c r="AH263" s="17">
        <v>0</v>
      </c>
      <c r="AI263" s="17">
        <f t="shared" ref="AI263:AI327" si="19">WEEKDAY(A263,2)</f>
        <v>3</v>
      </c>
      <c r="AJ263" s="17">
        <f t="shared" ref="AJ263:AJ327" si="20">DAY(A263)</f>
        <v>2</v>
      </c>
      <c r="AK263" s="17">
        <f t="shared" ref="AK263:AK327" si="21">HOUR(A263)</f>
        <v>16</v>
      </c>
      <c r="AL263" s="17">
        <f t="shared" ref="AL263:AL327" si="22">IF(AI263&gt;=6,0,1)</f>
        <v>1</v>
      </c>
      <c r="AM263" s="17">
        <f>VLOOKUP(AK263,Sheet1!$A$2:$B$25,2,FALSE)</f>
        <v>0</v>
      </c>
    </row>
    <row r="264" spans="1:39" s="17" customFormat="1" x14ac:dyDescent="0.25">
      <c r="A264" s="21">
        <v>44594.677083333336</v>
      </c>
      <c r="B264" s="17">
        <v>188.88</v>
      </c>
      <c r="C264" s="17">
        <v>0</v>
      </c>
      <c r="D264" s="17">
        <v>188.88</v>
      </c>
      <c r="E264" s="17">
        <v>0</v>
      </c>
      <c r="F264" s="17">
        <v>181.19</v>
      </c>
      <c r="G264" s="17">
        <v>0</v>
      </c>
      <c r="H264" s="17">
        <v>20.399999999999999</v>
      </c>
      <c r="I264" s="17">
        <v>0</v>
      </c>
      <c r="J264" s="17">
        <v>2.3199999999999998</v>
      </c>
      <c r="K264" s="17">
        <v>0</v>
      </c>
      <c r="L264" s="17">
        <v>0</v>
      </c>
      <c r="M264" s="17">
        <v>0</v>
      </c>
      <c r="N264" s="17">
        <v>0</v>
      </c>
      <c r="O264" s="17">
        <v>0</v>
      </c>
      <c r="P264" s="17">
        <v>0</v>
      </c>
      <c r="Q264" s="17">
        <v>0</v>
      </c>
      <c r="R264" s="17">
        <v>0.3221</v>
      </c>
      <c r="S264" s="17">
        <v>0</v>
      </c>
      <c r="T264" s="17">
        <v>0</v>
      </c>
      <c r="U264" s="17">
        <v>1.78</v>
      </c>
      <c r="V264" s="17">
        <v>0</v>
      </c>
      <c r="W264" s="17">
        <v>1.2</v>
      </c>
      <c r="X264" s="17">
        <v>0</v>
      </c>
      <c r="Y264" s="17">
        <v>0</v>
      </c>
      <c r="Z264" s="17">
        <v>0</v>
      </c>
      <c r="AA264" s="17">
        <v>0</v>
      </c>
      <c r="AB264" s="17">
        <v>0</v>
      </c>
      <c r="AC264" s="17">
        <v>0</v>
      </c>
      <c r="AD264" s="17">
        <v>0</v>
      </c>
      <c r="AE264" s="17">
        <v>0</v>
      </c>
      <c r="AF264" s="17">
        <v>0</v>
      </c>
      <c r="AG264" s="17">
        <v>0</v>
      </c>
      <c r="AH264" s="17">
        <v>0</v>
      </c>
      <c r="AI264" s="17">
        <f t="shared" si="19"/>
        <v>3</v>
      </c>
      <c r="AJ264" s="17">
        <f t="shared" si="20"/>
        <v>2</v>
      </c>
      <c r="AK264" s="17">
        <f t="shared" si="21"/>
        <v>16</v>
      </c>
      <c r="AL264" s="17">
        <f t="shared" si="22"/>
        <v>1</v>
      </c>
      <c r="AM264" s="17">
        <f>VLOOKUP(AK264,Sheet1!$A$2:$B$25,2,FALSE)</f>
        <v>0</v>
      </c>
    </row>
    <row r="265" spans="1:39" s="17" customFormat="1" x14ac:dyDescent="0.25">
      <c r="A265" s="21">
        <v>44594.6875</v>
      </c>
      <c r="B265" s="17">
        <v>188.14</v>
      </c>
      <c r="C265" s="17">
        <v>0.25259999999999999</v>
      </c>
      <c r="D265" s="17">
        <v>187.88</v>
      </c>
      <c r="E265" s="17">
        <v>0</v>
      </c>
      <c r="F265" s="17">
        <v>180.27</v>
      </c>
      <c r="G265" s="17">
        <v>0</v>
      </c>
      <c r="H265" s="17">
        <v>20.73</v>
      </c>
      <c r="I265" s="17">
        <v>0</v>
      </c>
      <c r="J265" s="17">
        <v>2.38</v>
      </c>
      <c r="K265" s="17">
        <v>0</v>
      </c>
      <c r="L265" s="17">
        <v>0</v>
      </c>
      <c r="M265" s="17">
        <v>0</v>
      </c>
      <c r="N265" s="17">
        <v>0</v>
      </c>
      <c r="O265" s="17">
        <v>0</v>
      </c>
      <c r="P265" s="17">
        <v>0</v>
      </c>
      <c r="Q265" s="17">
        <v>0</v>
      </c>
      <c r="R265" s="17">
        <v>0.33789999999999998</v>
      </c>
      <c r="S265" s="17">
        <v>0</v>
      </c>
      <c r="T265" s="17">
        <v>0</v>
      </c>
      <c r="U265" s="17">
        <v>1.77</v>
      </c>
      <c r="V265" s="17">
        <v>0</v>
      </c>
      <c r="W265" s="17">
        <v>1.1399999999999999</v>
      </c>
      <c r="X265" s="17">
        <v>0</v>
      </c>
      <c r="Y265" s="17">
        <v>0</v>
      </c>
      <c r="Z265" s="17">
        <v>0</v>
      </c>
      <c r="AA265" s="17">
        <v>0</v>
      </c>
      <c r="AB265" s="17">
        <v>0</v>
      </c>
      <c r="AC265" s="17">
        <v>0</v>
      </c>
      <c r="AD265" s="17">
        <v>0</v>
      </c>
      <c r="AE265" s="17">
        <v>0</v>
      </c>
      <c r="AF265" s="17">
        <v>0</v>
      </c>
      <c r="AG265" s="17">
        <v>0</v>
      </c>
      <c r="AH265" s="17">
        <v>0</v>
      </c>
      <c r="AI265" s="17">
        <f t="shared" si="19"/>
        <v>3</v>
      </c>
      <c r="AJ265" s="17">
        <f t="shared" si="20"/>
        <v>2</v>
      </c>
      <c r="AK265" s="17">
        <f t="shared" si="21"/>
        <v>16</v>
      </c>
      <c r="AL265" s="17">
        <f t="shared" si="22"/>
        <v>1</v>
      </c>
      <c r="AM265" s="17">
        <f>VLOOKUP(AK265,Sheet1!$A$2:$B$25,2,FALSE)</f>
        <v>0</v>
      </c>
    </row>
    <row r="266" spans="1:39" s="17" customFormat="1" x14ac:dyDescent="0.25">
      <c r="A266" s="21">
        <v>44594.697916666664</v>
      </c>
      <c r="B266" s="17">
        <v>187.82</v>
      </c>
      <c r="C266" s="17">
        <v>0</v>
      </c>
      <c r="D266" s="17">
        <v>187.82</v>
      </c>
      <c r="E266" s="17">
        <v>0</v>
      </c>
      <c r="F266" s="17">
        <v>180.21</v>
      </c>
      <c r="G266" s="17">
        <v>0</v>
      </c>
      <c r="H266" s="17">
        <v>21.22</v>
      </c>
      <c r="I266" s="17">
        <v>0</v>
      </c>
      <c r="J266" s="17">
        <v>1.77</v>
      </c>
      <c r="K266" s="17">
        <v>0</v>
      </c>
      <c r="L266" s="17">
        <v>0</v>
      </c>
      <c r="M266" s="17">
        <v>0</v>
      </c>
      <c r="N266" s="17">
        <v>0</v>
      </c>
      <c r="O266" s="17">
        <v>0</v>
      </c>
      <c r="P266" s="17">
        <v>0</v>
      </c>
      <c r="Q266" s="17">
        <v>0</v>
      </c>
      <c r="R266" s="17">
        <v>0.61339999999999995</v>
      </c>
      <c r="S266" s="17">
        <v>0</v>
      </c>
      <c r="T266" s="17">
        <v>0</v>
      </c>
      <c r="U266" s="17">
        <v>1.77</v>
      </c>
      <c r="V266" s="17">
        <v>0</v>
      </c>
      <c r="W266" s="17">
        <v>1.24</v>
      </c>
      <c r="X266" s="17">
        <v>0</v>
      </c>
      <c r="Y266" s="17">
        <v>0</v>
      </c>
      <c r="Z266" s="17">
        <v>0</v>
      </c>
      <c r="AA266" s="17">
        <v>0</v>
      </c>
      <c r="AB266" s="17">
        <v>0</v>
      </c>
      <c r="AC266" s="17">
        <v>0</v>
      </c>
      <c r="AD266" s="17">
        <v>0</v>
      </c>
      <c r="AE266" s="17">
        <v>0</v>
      </c>
      <c r="AF266" s="17">
        <v>0</v>
      </c>
      <c r="AG266" s="17">
        <v>0</v>
      </c>
      <c r="AH266" s="17">
        <v>0</v>
      </c>
      <c r="AI266" s="17">
        <f t="shared" si="19"/>
        <v>3</v>
      </c>
      <c r="AJ266" s="17">
        <f t="shared" si="20"/>
        <v>2</v>
      </c>
      <c r="AK266" s="17">
        <f t="shared" si="21"/>
        <v>16</v>
      </c>
      <c r="AL266" s="17">
        <f t="shared" si="22"/>
        <v>1</v>
      </c>
      <c r="AM266" s="17">
        <f>VLOOKUP(AK266,Sheet1!$A$2:$B$25,2,FALSE)</f>
        <v>0</v>
      </c>
    </row>
    <row r="267" spans="1:39" s="17" customFormat="1" x14ac:dyDescent="0.25">
      <c r="A267" s="21">
        <v>44594.708333333336</v>
      </c>
      <c r="B267" s="17">
        <v>45.29</v>
      </c>
      <c r="C267" s="17">
        <v>0.23599999999999999</v>
      </c>
      <c r="D267" s="17">
        <v>45.06</v>
      </c>
      <c r="E267" s="17">
        <v>0</v>
      </c>
      <c r="F267" s="17">
        <v>36.14</v>
      </c>
      <c r="G267" s="17">
        <v>0</v>
      </c>
      <c r="H267" s="17">
        <v>18.93</v>
      </c>
      <c r="I267" s="17">
        <v>0</v>
      </c>
      <c r="J267" s="17">
        <v>2.5</v>
      </c>
      <c r="K267" s="17">
        <v>0</v>
      </c>
      <c r="L267" s="17">
        <v>0</v>
      </c>
      <c r="M267" s="17">
        <v>0</v>
      </c>
      <c r="N267" s="17">
        <v>0</v>
      </c>
      <c r="O267" s="17">
        <v>0</v>
      </c>
      <c r="P267" s="17">
        <v>0</v>
      </c>
      <c r="Q267" s="17">
        <v>0</v>
      </c>
      <c r="R267" s="17">
        <v>0.33950000000000002</v>
      </c>
      <c r="S267" s="17">
        <v>0</v>
      </c>
      <c r="T267" s="17">
        <v>0</v>
      </c>
      <c r="U267" s="17">
        <v>1.79</v>
      </c>
      <c r="V267" s="17">
        <v>0</v>
      </c>
      <c r="W267" s="17">
        <v>1.2</v>
      </c>
      <c r="X267" s="17">
        <v>0</v>
      </c>
      <c r="Y267" s="17">
        <v>0</v>
      </c>
      <c r="Z267" s="17">
        <v>0</v>
      </c>
      <c r="AA267" s="17">
        <v>0</v>
      </c>
      <c r="AB267" s="17">
        <v>0</v>
      </c>
      <c r="AC267" s="17">
        <v>0</v>
      </c>
      <c r="AD267" s="17">
        <v>0</v>
      </c>
      <c r="AE267" s="17">
        <v>0</v>
      </c>
      <c r="AF267" s="17">
        <v>0</v>
      </c>
      <c r="AG267" s="17">
        <v>0</v>
      </c>
      <c r="AH267" s="17">
        <v>0</v>
      </c>
      <c r="AI267" s="17">
        <f t="shared" si="19"/>
        <v>3</v>
      </c>
      <c r="AJ267" s="17">
        <f t="shared" si="20"/>
        <v>2</v>
      </c>
      <c r="AK267" s="17">
        <f t="shared" si="21"/>
        <v>17</v>
      </c>
      <c r="AL267" s="17">
        <f t="shared" si="22"/>
        <v>1</v>
      </c>
      <c r="AM267" s="17">
        <f>VLOOKUP(AK267,Sheet1!$A$2:$B$25,2,FALSE)</f>
        <v>0</v>
      </c>
    </row>
    <row r="268" spans="1:39" s="17" customFormat="1" x14ac:dyDescent="0.25">
      <c r="A268" s="21">
        <v>44594.71875</v>
      </c>
      <c r="B268" s="17">
        <v>21.61</v>
      </c>
      <c r="C268" s="17">
        <v>0.25259999999999999</v>
      </c>
      <c r="D268" s="17">
        <v>21.35</v>
      </c>
      <c r="E268" s="17">
        <v>0</v>
      </c>
      <c r="F268" s="17">
        <v>0</v>
      </c>
      <c r="G268" s="17">
        <v>0</v>
      </c>
      <c r="H268" s="17">
        <v>20.38</v>
      </c>
      <c r="I268" s="17">
        <v>0</v>
      </c>
      <c r="J268" s="17">
        <v>2.5299999999999998</v>
      </c>
      <c r="K268" s="17">
        <v>0</v>
      </c>
      <c r="L268" s="17">
        <v>0</v>
      </c>
      <c r="M268" s="17">
        <v>0</v>
      </c>
      <c r="N268" s="17">
        <v>0</v>
      </c>
      <c r="O268" s="17">
        <v>0</v>
      </c>
      <c r="P268" s="17">
        <v>0</v>
      </c>
      <c r="Q268" s="17">
        <v>0</v>
      </c>
      <c r="R268" s="17">
        <v>0.35599999999999998</v>
      </c>
      <c r="S268" s="17">
        <v>0</v>
      </c>
      <c r="T268" s="17">
        <v>0</v>
      </c>
      <c r="U268" s="17">
        <v>1.71</v>
      </c>
      <c r="V268" s="17">
        <v>0</v>
      </c>
      <c r="W268" s="17">
        <v>1.1499999999999999</v>
      </c>
      <c r="X268" s="17">
        <v>0</v>
      </c>
      <c r="Y268" s="17">
        <v>0</v>
      </c>
      <c r="Z268" s="17">
        <v>0</v>
      </c>
      <c r="AA268" s="17">
        <v>0</v>
      </c>
      <c r="AB268" s="17">
        <v>0</v>
      </c>
      <c r="AC268" s="17">
        <v>0</v>
      </c>
      <c r="AD268" s="17">
        <v>0</v>
      </c>
      <c r="AE268" s="17">
        <v>0</v>
      </c>
      <c r="AF268" s="17">
        <v>0</v>
      </c>
      <c r="AG268" s="17">
        <v>0</v>
      </c>
      <c r="AH268" s="17">
        <v>0</v>
      </c>
      <c r="AI268" s="17">
        <f t="shared" si="19"/>
        <v>3</v>
      </c>
      <c r="AJ268" s="17">
        <f t="shared" si="20"/>
        <v>2</v>
      </c>
      <c r="AK268" s="17">
        <f t="shared" si="21"/>
        <v>17</v>
      </c>
      <c r="AL268" s="17">
        <f t="shared" si="22"/>
        <v>1</v>
      </c>
      <c r="AM268" s="17">
        <f>VLOOKUP(AK268,Sheet1!$A$2:$B$25,2,FALSE)</f>
        <v>0</v>
      </c>
    </row>
    <row r="269" spans="1:39" s="17" customFormat="1" x14ac:dyDescent="0.25">
      <c r="A269" s="21">
        <v>44594.729166666664</v>
      </c>
      <c r="B269" s="17">
        <v>20.13</v>
      </c>
      <c r="C269" s="17">
        <v>0</v>
      </c>
      <c r="D269" s="17">
        <v>20.13</v>
      </c>
      <c r="E269" s="17">
        <v>0</v>
      </c>
      <c r="F269" s="17">
        <v>0</v>
      </c>
      <c r="G269" s="17">
        <v>0</v>
      </c>
      <c r="H269" s="17">
        <v>19.8</v>
      </c>
      <c r="I269" s="17">
        <v>0</v>
      </c>
      <c r="J269" s="17">
        <v>2.46</v>
      </c>
      <c r="K269" s="17">
        <v>0</v>
      </c>
      <c r="L269" s="17">
        <v>0</v>
      </c>
      <c r="M269" s="17">
        <v>0</v>
      </c>
      <c r="N269" s="17">
        <v>0</v>
      </c>
      <c r="O269" s="17">
        <v>0</v>
      </c>
      <c r="P269" s="17">
        <v>0</v>
      </c>
      <c r="Q269" s="17">
        <v>0</v>
      </c>
      <c r="R269" s="17">
        <v>0.49580000000000002</v>
      </c>
      <c r="S269" s="17">
        <v>0</v>
      </c>
      <c r="T269" s="17">
        <v>0</v>
      </c>
      <c r="U269" s="17">
        <v>1.71</v>
      </c>
      <c r="V269" s="17">
        <v>0</v>
      </c>
      <c r="W269" s="17">
        <v>1.1200000000000001</v>
      </c>
      <c r="X269" s="17">
        <v>0</v>
      </c>
      <c r="Y269" s="17">
        <v>0</v>
      </c>
      <c r="Z269" s="17">
        <v>0</v>
      </c>
      <c r="AA269" s="17">
        <v>0</v>
      </c>
      <c r="AB269" s="17">
        <v>0</v>
      </c>
      <c r="AC269" s="17">
        <v>0</v>
      </c>
      <c r="AD269" s="17">
        <v>0</v>
      </c>
      <c r="AE269" s="17">
        <v>0</v>
      </c>
      <c r="AF269" s="17">
        <v>0</v>
      </c>
      <c r="AG269" s="17">
        <v>0</v>
      </c>
      <c r="AH269" s="17">
        <v>0</v>
      </c>
      <c r="AI269" s="17">
        <f t="shared" si="19"/>
        <v>3</v>
      </c>
      <c r="AJ269" s="17">
        <f t="shared" si="20"/>
        <v>2</v>
      </c>
      <c r="AK269" s="17">
        <f t="shared" si="21"/>
        <v>17</v>
      </c>
      <c r="AL269" s="17">
        <f t="shared" si="22"/>
        <v>1</v>
      </c>
      <c r="AM269" s="17">
        <f>VLOOKUP(AK269,Sheet1!$A$2:$B$25,2,FALSE)</f>
        <v>0</v>
      </c>
    </row>
    <row r="270" spans="1:39" s="17" customFormat="1" x14ac:dyDescent="0.25">
      <c r="A270" s="21">
        <v>44594.739583333336</v>
      </c>
      <c r="B270" s="17">
        <v>21.56</v>
      </c>
      <c r="C270" s="17">
        <v>0.25259999999999999</v>
      </c>
      <c r="D270" s="17">
        <v>21.31</v>
      </c>
      <c r="E270" s="17">
        <v>0</v>
      </c>
      <c r="F270" s="17">
        <v>0</v>
      </c>
      <c r="G270" s="17">
        <v>0</v>
      </c>
      <c r="H270" s="17">
        <v>19.72</v>
      </c>
      <c r="I270" s="17">
        <v>0</v>
      </c>
      <c r="J270" s="17">
        <v>2.5</v>
      </c>
      <c r="K270" s="17">
        <v>0</v>
      </c>
      <c r="L270" s="17">
        <v>0</v>
      </c>
      <c r="M270" s="17">
        <v>0</v>
      </c>
      <c r="N270" s="17">
        <v>0</v>
      </c>
      <c r="O270" s="17">
        <v>0</v>
      </c>
      <c r="P270" s="17">
        <v>0</v>
      </c>
      <c r="Q270" s="17">
        <v>0</v>
      </c>
      <c r="R270" s="17">
        <v>0.41289999999999999</v>
      </c>
      <c r="S270" s="17">
        <v>0</v>
      </c>
      <c r="T270" s="17">
        <v>0</v>
      </c>
      <c r="U270" s="17">
        <v>1.73</v>
      </c>
      <c r="V270" s="17">
        <v>0</v>
      </c>
      <c r="W270" s="17">
        <v>1.32</v>
      </c>
      <c r="X270" s="17">
        <v>0</v>
      </c>
      <c r="Y270" s="17">
        <v>0</v>
      </c>
      <c r="Z270" s="17">
        <v>0</v>
      </c>
      <c r="AA270" s="17">
        <v>0</v>
      </c>
      <c r="AB270" s="17">
        <v>0</v>
      </c>
      <c r="AC270" s="17">
        <v>0</v>
      </c>
      <c r="AD270" s="17">
        <v>0</v>
      </c>
      <c r="AE270" s="17">
        <v>0</v>
      </c>
      <c r="AF270" s="17">
        <v>0</v>
      </c>
      <c r="AG270" s="17">
        <v>0</v>
      </c>
      <c r="AH270" s="17">
        <v>0</v>
      </c>
      <c r="AI270" s="17">
        <f t="shared" si="19"/>
        <v>3</v>
      </c>
      <c r="AJ270" s="17">
        <f t="shared" si="20"/>
        <v>2</v>
      </c>
      <c r="AK270" s="17">
        <f t="shared" si="21"/>
        <v>17</v>
      </c>
      <c r="AL270" s="17">
        <f t="shared" si="22"/>
        <v>1</v>
      </c>
      <c r="AM270" s="17">
        <f>VLOOKUP(AK270,Sheet1!$A$2:$B$25,2,FALSE)</f>
        <v>0</v>
      </c>
    </row>
    <row r="271" spans="1:39" s="17" customFormat="1" x14ac:dyDescent="0.25">
      <c r="A271" s="21">
        <v>44594.75</v>
      </c>
      <c r="B271" s="17">
        <v>21.47</v>
      </c>
      <c r="C271" s="17">
        <v>0.26919999999999999</v>
      </c>
      <c r="D271" s="17">
        <v>21.2</v>
      </c>
      <c r="E271" s="17">
        <v>0</v>
      </c>
      <c r="F271" s="17">
        <v>0</v>
      </c>
      <c r="G271" s="17">
        <v>0</v>
      </c>
      <c r="H271" s="17">
        <v>19.809999999999999</v>
      </c>
      <c r="I271" s="17">
        <v>0</v>
      </c>
      <c r="J271" s="17">
        <v>2.4700000000000002</v>
      </c>
      <c r="K271" s="17">
        <v>0</v>
      </c>
      <c r="L271" s="17">
        <v>0</v>
      </c>
      <c r="M271" s="17">
        <v>0</v>
      </c>
      <c r="N271" s="17">
        <v>0</v>
      </c>
      <c r="O271" s="17">
        <v>0</v>
      </c>
      <c r="P271" s="17">
        <v>0</v>
      </c>
      <c r="Q271" s="17">
        <v>0</v>
      </c>
      <c r="R271" s="17">
        <v>0.51790000000000003</v>
      </c>
      <c r="S271" s="17">
        <v>0</v>
      </c>
      <c r="T271" s="17">
        <v>0</v>
      </c>
      <c r="U271" s="17">
        <v>1.74</v>
      </c>
      <c r="V271" s="17">
        <v>0</v>
      </c>
      <c r="W271" s="17">
        <v>1.58</v>
      </c>
      <c r="X271" s="17">
        <v>0</v>
      </c>
      <c r="Y271" s="17">
        <v>0</v>
      </c>
      <c r="Z271" s="17">
        <v>0</v>
      </c>
      <c r="AA271" s="17">
        <v>0</v>
      </c>
      <c r="AB271" s="17">
        <v>0</v>
      </c>
      <c r="AC271" s="17">
        <v>0</v>
      </c>
      <c r="AD271" s="17">
        <v>0</v>
      </c>
      <c r="AE271" s="17">
        <v>0</v>
      </c>
      <c r="AF271" s="17">
        <v>0</v>
      </c>
      <c r="AG271" s="17">
        <v>0</v>
      </c>
      <c r="AH271" s="17">
        <v>0</v>
      </c>
      <c r="AI271" s="17">
        <f t="shared" si="19"/>
        <v>3</v>
      </c>
      <c r="AJ271" s="17">
        <f t="shared" si="20"/>
        <v>2</v>
      </c>
      <c r="AK271" s="17">
        <f t="shared" si="21"/>
        <v>18</v>
      </c>
      <c r="AL271" s="17">
        <f t="shared" si="22"/>
        <v>1</v>
      </c>
      <c r="AM271" s="17">
        <f>VLOOKUP(AK271,Sheet1!$A$2:$B$25,2,FALSE)</f>
        <v>0</v>
      </c>
    </row>
    <row r="272" spans="1:39" s="17" customFormat="1" x14ac:dyDescent="0.25">
      <c r="A272" s="21">
        <v>44594.760416666664</v>
      </c>
      <c r="B272" s="17">
        <v>21.9</v>
      </c>
      <c r="C272" s="17">
        <v>0.25259999999999999</v>
      </c>
      <c r="D272" s="17">
        <v>21.65</v>
      </c>
      <c r="E272" s="17">
        <v>0</v>
      </c>
      <c r="F272" s="17">
        <v>0</v>
      </c>
      <c r="G272" s="17">
        <v>0</v>
      </c>
      <c r="H272" s="17">
        <v>19.57</v>
      </c>
      <c r="I272" s="17">
        <v>0</v>
      </c>
      <c r="J272" s="17">
        <v>2.5</v>
      </c>
      <c r="K272" s="17">
        <v>0</v>
      </c>
      <c r="L272" s="17">
        <v>0</v>
      </c>
      <c r="M272" s="17">
        <v>0</v>
      </c>
      <c r="N272" s="17">
        <v>0</v>
      </c>
      <c r="O272" s="17">
        <v>0</v>
      </c>
      <c r="P272" s="17">
        <v>0</v>
      </c>
      <c r="Q272" s="17">
        <v>0</v>
      </c>
      <c r="R272" s="17">
        <v>0.51870000000000005</v>
      </c>
      <c r="S272" s="17">
        <v>0</v>
      </c>
      <c r="T272" s="17">
        <v>0</v>
      </c>
      <c r="U272" s="17">
        <v>1.74</v>
      </c>
      <c r="V272" s="17">
        <v>0</v>
      </c>
      <c r="W272" s="17">
        <v>1.2</v>
      </c>
      <c r="X272" s="17">
        <v>0</v>
      </c>
      <c r="Y272" s="17">
        <v>0</v>
      </c>
      <c r="Z272" s="17">
        <v>0</v>
      </c>
      <c r="AA272" s="17">
        <v>0</v>
      </c>
      <c r="AB272" s="17">
        <v>0</v>
      </c>
      <c r="AC272" s="17">
        <v>0</v>
      </c>
      <c r="AD272" s="17">
        <v>0</v>
      </c>
      <c r="AE272" s="17">
        <v>0</v>
      </c>
      <c r="AF272" s="17">
        <v>0</v>
      </c>
      <c r="AG272" s="17">
        <v>0</v>
      </c>
      <c r="AH272" s="17">
        <v>0</v>
      </c>
      <c r="AI272" s="17">
        <f t="shared" si="19"/>
        <v>3</v>
      </c>
      <c r="AJ272" s="17">
        <f t="shared" si="20"/>
        <v>2</v>
      </c>
      <c r="AK272" s="17">
        <f t="shared" si="21"/>
        <v>18</v>
      </c>
      <c r="AL272" s="17">
        <f t="shared" si="22"/>
        <v>1</v>
      </c>
      <c r="AM272" s="17">
        <f>VLOOKUP(AK272,Sheet1!$A$2:$B$25,2,FALSE)</f>
        <v>0</v>
      </c>
    </row>
    <row r="273" spans="1:39" s="17" customFormat="1" x14ac:dyDescent="0.25">
      <c r="A273" s="21">
        <v>44594.770833333336</v>
      </c>
      <c r="B273" s="17">
        <v>20.59</v>
      </c>
      <c r="C273" s="17">
        <v>0.23599999999999999</v>
      </c>
      <c r="D273" s="17">
        <v>20.350000000000001</v>
      </c>
      <c r="E273" s="17">
        <v>0</v>
      </c>
      <c r="F273" s="17">
        <v>0</v>
      </c>
      <c r="G273" s="17">
        <v>0</v>
      </c>
      <c r="H273" s="17">
        <v>20.28</v>
      </c>
      <c r="I273" s="17">
        <v>0</v>
      </c>
      <c r="J273" s="17">
        <v>2.5299999999999998</v>
      </c>
      <c r="K273" s="17">
        <v>0</v>
      </c>
      <c r="L273" s="17">
        <v>0</v>
      </c>
      <c r="M273" s="17">
        <v>0</v>
      </c>
      <c r="N273" s="17">
        <v>0</v>
      </c>
      <c r="O273" s="17">
        <v>0</v>
      </c>
      <c r="P273" s="17">
        <v>0</v>
      </c>
      <c r="Q273" s="17">
        <v>0</v>
      </c>
      <c r="R273" s="17">
        <v>0.46970000000000001</v>
      </c>
      <c r="S273" s="17">
        <v>0</v>
      </c>
      <c r="T273" s="17">
        <v>0</v>
      </c>
      <c r="U273" s="17">
        <v>1.74</v>
      </c>
      <c r="V273" s="17">
        <v>0</v>
      </c>
      <c r="W273" s="17">
        <v>1.24</v>
      </c>
      <c r="X273" s="17">
        <v>0</v>
      </c>
      <c r="Y273" s="17">
        <v>0</v>
      </c>
      <c r="Z273" s="17">
        <v>0</v>
      </c>
      <c r="AA273" s="17">
        <v>0</v>
      </c>
      <c r="AB273" s="17">
        <v>0</v>
      </c>
      <c r="AC273" s="17">
        <v>0</v>
      </c>
      <c r="AD273" s="17">
        <v>0</v>
      </c>
      <c r="AE273" s="17">
        <v>0</v>
      </c>
      <c r="AF273" s="17">
        <v>0</v>
      </c>
      <c r="AG273" s="17">
        <v>0</v>
      </c>
      <c r="AH273" s="17">
        <v>0</v>
      </c>
      <c r="AI273" s="17">
        <f t="shared" si="19"/>
        <v>3</v>
      </c>
      <c r="AJ273" s="17">
        <f t="shared" si="20"/>
        <v>2</v>
      </c>
      <c r="AK273" s="17">
        <f t="shared" si="21"/>
        <v>18</v>
      </c>
      <c r="AL273" s="17">
        <f t="shared" si="22"/>
        <v>1</v>
      </c>
      <c r="AM273" s="17">
        <f>VLOOKUP(AK273,Sheet1!$A$2:$B$25,2,FALSE)</f>
        <v>0</v>
      </c>
    </row>
    <row r="274" spans="1:39" s="17" customFormat="1" x14ac:dyDescent="0.25">
      <c r="A274" s="21">
        <v>44594.78125</v>
      </c>
      <c r="B274" s="17">
        <v>20.25</v>
      </c>
      <c r="C274" s="17">
        <v>0</v>
      </c>
      <c r="D274" s="17">
        <v>20.25</v>
      </c>
      <c r="E274" s="17">
        <v>0</v>
      </c>
      <c r="F274" s="17">
        <v>0</v>
      </c>
      <c r="G274" s="17">
        <v>0</v>
      </c>
      <c r="H274" s="17">
        <v>19.170000000000002</v>
      </c>
      <c r="I274" s="17">
        <v>0</v>
      </c>
      <c r="J274" s="17">
        <v>2.48</v>
      </c>
      <c r="K274" s="17">
        <v>0</v>
      </c>
      <c r="L274" s="17">
        <v>0</v>
      </c>
      <c r="M274" s="17">
        <v>0</v>
      </c>
      <c r="N274" s="17">
        <v>0</v>
      </c>
      <c r="O274" s="17">
        <v>0</v>
      </c>
      <c r="P274" s="17">
        <v>0</v>
      </c>
      <c r="Q274" s="17">
        <v>0</v>
      </c>
      <c r="R274" s="17">
        <v>0.61260000000000003</v>
      </c>
      <c r="S274" s="17">
        <v>0</v>
      </c>
      <c r="T274" s="17">
        <v>0</v>
      </c>
      <c r="U274" s="17">
        <v>1.75</v>
      </c>
      <c r="V274" s="17">
        <v>0</v>
      </c>
      <c r="W274" s="17">
        <v>1.22</v>
      </c>
      <c r="X274" s="17">
        <v>0</v>
      </c>
      <c r="Y274" s="17">
        <v>0</v>
      </c>
      <c r="Z274" s="17">
        <v>0</v>
      </c>
      <c r="AA274" s="17">
        <v>0</v>
      </c>
      <c r="AB274" s="17">
        <v>0</v>
      </c>
      <c r="AC274" s="17">
        <v>0</v>
      </c>
      <c r="AD274" s="17">
        <v>0</v>
      </c>
      <c r="AE274" s="17">
        <v>0</v>
      </c>
      <c r="AF274" s="17">
        <v>0</v>
      </c>
      <c r="AG274" s="17">
        <v>0</v>
      </c>
      <c r="AH274" s="17">
        <v>0</v>
      </c>
      <c r="AI274" s="17">
        <f t="shared" si="19"/>
        <v>3</v>
      </c>
      <c r="AJ274" s="17">
        <f t="shared" si="20"/>
        <v>2</v>
      </c>
      <c r="AK274" s="17">
        <f t="shared" si="21"/>
        <v>18</v>
      </c>
      <c r="AL274" s="17">
        <f t="shared" si="22"/>
        <v>1</v>
      </c>
      <c r="AM274" s="17">
        <f>VLOOKUP(AK274,Sheet1!$A$2:$B$25,2,FALSE)</f>
        <v>0</v>
      </c>
    </row>
    <row r="275" spans="1:39" s="17" customFormat="1" x14ac:dyDescent="0.25">
      <c r="A275" s="21">
        <v>44594.791666666664</v>
      </c>
      <c r="B275" s="17">
        <v>21.21</v>
      </c>
      <c r="C275" s="17">
        <v>0.21870000000000001</v>
      </c>
      <c r="D275" s="17">
        <v>20.99</v>
      </c>
      <c r="E275" s="17">
        <v>0</v>
      </c>
      <c r="F275" s="17">
        <v>0</v>
      </c>
      <c r="G275" s="17">
        <v>0</v>
      </c>
      <c r="H275" s="17">
        <v>19.739999999999998</v>
      </c>
      <c r="I275" s="17">
        <v>0</v>
      </c>
      <c r="J275" s="17">
        <v>2.5</v>
      </c>
      <c r="K275" s="17">
        <v>0</v>
      </c>
      <c r="L275" s="17">
        <v>0</v>
      </c>
      <c r="M275" s="17">
        <v>0</v>
      </c>
      <c r="N275" s="17">
        <v>0</v>
      </c>
      <c r="O275" s="17">
        <v>0</v>
      </c>
      <c r="P275" s="17">
        <v>0</v>
      </c>
      <c r="Q275" s="17">
        <v>0</v>
      </c>
      <c r="R275" s="17">
        <v>0.97419999999999995</v>
      </c>
      <c r="S275" s="17">
        <v>0</v>
      </c>
      <c r="T275" s="17">
        <v>0</v>
      </c>
      <c r="U275" s="17">
        <v>1.75</v>
      </c>
      <c r="V275" s="17">
        <v>0</v>
      </c>
      <c r="W275" s="17">
        <v>1.1399999999999999</v>
      </c>
      <c r="X275" s="17">
        <v>0</v>
      </c>
      <c r="Y275" s="17">
        <v>0</v>
      </c>
      <c r="Z275" s="17">
        <v>0</v>
      </c>
      <c r="AA275" s="17">
        <v>0</v>
      </c>
      <c r="AB275" s="17">
        <v>0</v>
      </c>
      <c r="AC275" s="17">
        <v>0</v>
      </c>
      <c r="AD275" s="17">
        <v>0</v>
      </c>
      <c r="AE275" s="17">
        <v>0</v>
      </c>
      <c r="AF275" s="17">
        <v>0</v>
      </c>
      <c r="AG275" s="17">
        <v>0</v>
      </c>
      <c r="AH275" s="17">
        <v>0</v>
      </c>
      <c r="AI275" s="17">
        <f t="shared" si="19"/>
        <v>3</v>
      </c>
      <c r="AJ275" s="17">
        <f t="shared" si="20"/>
        <v>2</v>
      </c>
      <c r="AK275" s="17">
        <f t="shared" si="21"/>
        <v>19</v>
      </c>
      <c r="AL275" s="17">
        <f t="shared" si="22"/>
        <v>1</v>
      </c>
      <c r="AM275" s="17">
        <f>VLOOKUP(AK275,Sheet1!$A$2:$B$25,2,FALSE)</f>
        <v>0</v>
      </c>
    </row>
    <row r="276" spans="1:39" s="17" customFormat="1" x14ac:dyDescent="0.25">
      <c r="A276" s="21">
        <v>44594.802083333336</v>
      </c>
      <c r="B276" s="17">
        <v>21.3</v>
      </c>
      <c r="C276" s="17">
        <v>0.4713</v>
      </c>
      <c r="D276" s="17">
        <v>20.83</v>
      </c>
      <c r="E276" s="17">
        <v>0</v>
      </c>
      <c r="F276" s="17">
        <v>0</v>
      </c>
      <c r="G276" s="17">
        <v>0</v>
      </c>
      <c r="H276" s="17">
        <v>20.49</v>
      </c>
      <c r="I276" s="17">
        <v>0</v>
      </c>
      <c r="J276" s="17">
        <v>2.5</v>
      </c>
      <c r="K276" s="17">
        <v>0</v>
      </c>
      <c r="L276" s="17">
        <v>0</v>
      </c>
      <c r="M276" s="17">
        <v>0</v>
      </c>
      <c r="N276" s="17">
        <v>0</v>
      </c>
      <c r="O276" s="17">
        <v>0</v>
      </c>
      <c r="P276" s="17">
        <v>0</v>
      </c>
      <c r="Q276" s="17">
        <v>0</v>
      </c>
      <c r="R276" s="17">
        <v>0.52339999999999998</v>
      </c>
      <c r="S276" s="17">
        <v>0</v>
      </c>
      <c r="T276" s="17">
        <v>0</v>
      </c>
      <c r="U276" s="17">
        <v>1.75</v>
      </c>
      <c r="V276" s="17">
        <v>0</v>
      </c>
      <c r="W276" s="17">
        <v>1.1399999999999999</v>
      </c>
      <c r="X276" s="17">
        <v>0</v>
      </c>
      <c r="Y276" s="17">
        <v>0</v>
      </c>
      <c r="Z276" s="17">
        <v>0</v>
      </c>
      <c r="AA276" s="17">
        <v>0</v>
      </c>
      <c r="AB276" s="17">
        <v>0</v>
      </c>
      <c r="AC276" s="17">
        <v>0</v>
      </c>
      <c r="AD276" s="17">
        <v>0</v>
      </c>
      <c r="AE276" s="17">
        <v>0</v>
      </c>
      <c r="AF276" s="17">
        <v>0</v>
      </c>
      <c r="AG276" s="17">
        <v>0</v>
      </c>
      <c r="AH276" s="17">
        <v>0</v>
      </c>
      <c r="AI276" s="17">
        <f t="shared" si="19"/>
        <v>3</v>
      </c>
      <c r="AJ276" s="17">
        <f t="shared" si="20"/>
        <v>2</v>
      </c>
      <c r="AK276" s="17">
        <f t="shared" si="21"/>
        <v>19</v>
      </c>
      <c r="AL276" s="17">
        <f t="shared" si="22"/>
        <v>1</v>
      </c>
      <c r="AM276" s="17">
        <f>VLOOKUP(AK276,Sheet1!$A$2:$B$25,2,FALSE)</f>
        <v>0</v>
      </c>
    </row>
    <row r="277" spans="1:39" s="17" customFormat="1" x14ac:dyDescent="0.25">
      <c r="A277" s="21">
        <v>44594.8125</v>
      </c>
      <c r="B277" s="17">
        <v>21.35</v>
      </c>
      <c r="C277" s="17">
        <v>0.25259999999999999</v>
      </c>
      <c r="D277" s="17">
        <v>21.1</v>
      </c>
      <c r="E277" s="17">
        <v>0</v>
      </c>
      <c r="F277" s="17">
        <v>0</v>
      </c>
      <c r="G277" s="17">
        <v>0</v>
      </c>
      <c r="H277" s="17">
        <v>20.79</v>
      </c>
      <c r="I277" s="17">
        <v>0</v>
      </c>
      <c r="J277" s="17">
        <v>2.48</v>
      </c>
      <c r="K277" s="17">
        <v>0</v>
      </c>
      <c r="L277" s="17">
        <v>0</v>
      </c>
      <c r="M277" s="17">
        <v>0</v>
      </c>
      <c r="N277" s="17">
        <v>0</v>
      </c>
      <c r="O277" s="17">
        <v>0</v>
      </c>
      <c r="P277" s="17">
        <v>0</v>
      </c>
      <c r="Q277" s="17">
        <v>0</v>
      </c>
      <c r="R277" s="17">
        <v>0.42309999999999998</v>
      </c>
      <c r="S277" s="17">
        <v>0</v>
      </c>
      <c r="T277" s="17">
        <v>0</v>
      </c>
      <c r="U277" s="17">
        <v>1.76</v>
      </c>
      <c r="V277" s="17">
        <v>0</v>
      </c>
      <c r="W277" s="17">
        <v>1.1499999999999999</v>
      </c>
      <c r="X277" s="17">
        <v>0</v>
      </c>
      <c r="Y277" s="17">
        <v>0</v>
      </c>
      <c r="Z277" s="17">
        <v>0</v>
      </c>
      <c r="AA277" s="17">
        <v>0</v>
      </c>
      <c r="AB277" s="17">
        <v>0</v>
      </c>
      <c r="AC277" s="17">
        <v>0</v>
      </c>
      <c r="AD277" s="17">
        <v>0</v>
      </c>
      <c r="AE277" s="17">
        <v>0</v>
      </c>
      <c r="AF277" s="17">
        <v>0</v>
      </c>
      <c r="AG277" s="17">
        <v>0</v>
      </c>
      <c r="AH277" s="17">
        <v>0</v>
      </c>
      <c r="AI277" s="17">
        <f t="shared" si="19"/>
        <v>3</v>
      </c>
      <c r="AJ277" s="17">
        <f t="shared" si="20"/>
        <v>2</v>
      </c>
      <c r="AK277" s="17">
        <f t="shared" si="21"/>
        <v>19</v>
      </c>
      <c r="AL277" s="17">
        <f t="shared" si="22"/>
        <v>1</v>
      </c>
      <c r="AM277" s="17">
        <f>VLOOKUP(AK277,Sheet1!$A$2:$B$25,2,FALSE)</f>
        <v>0</v>
      </c>
    </row>
    <row r="278" spans="1:39" s="17" customFormat="1" x14ac:dyDescent="0.25">
      <c r="A278" s="21">
        <v>44594.822916666664</v>
      </c>
      <c r="B278" s="17">
        <v>21.25</v>
      </c>
      <c r="C278" s="17">
        <v>0</v>
      </c>
      <c r="D278" s="17">
        <v>21.25</v>
      </c>
      <c r="E278" s="17">
        <v>0</v>
      </c>
      <c r="F278" s="17">
        <v>0</v>
      </c>
      <c r="G278" s="17">
        <v>0</v>
      </c>
      <c r="H278" s="17">
        <v>20.329999999999998</v>
      </c>
      <c r="I278" s="17">
        <v>0</v>
      </c>
      <c r="J278" s="17">
        <v>2.5299999999999998</v>
      </c>
      <c r="K278" s="17">
        <v>0</v>
      </c>
      <c r="L278" s="17">
        <v>0</v>
      </c>
      <c r="M278" s="17">
        <v>0</v>
      </c>
      <c r="N278" s="17">
        <v>0</v>
      </c>
      <c r="O278" s="17">
        <v>0</v>
      </c>
      <c r="P278" s="17">
        <v>0</v>
      </c>
      <c r="Q278" s="17">
        <v>0</v>
      </c>
      <c r="R278" s="17">
        <v>0.54869999999999997</v>
      </c>
      <c r="S278" s="17">
        <v>0</v>
      </c>
      <c r="T278" s="17">
        <v>0</v>
      </c>
      <c r="U278" s="17">
        <v>1.77</v>
      </c>
      <c r="V278" s="17">
        <v>0</v>
      </c>
      <c r="W278" s="17">
        <v>1.1499999999999999</v>
      </c>
      <c r="X278" s="17">
        <v>0</v>
      </c>
      <c r="Y278" s="17">
        <v>0</v>
      </c>
      <c r="Z278" s="17">
        <v>0</v>
      </c>
      <c r="AA278" s="17">
        <v>0</v>
      </c>
      <c r="AB278" s="17">
        <v>0</v>
      </c>
      <c r="AC278" s="17">
        <v>0</v>
      </c>
      <c r="AD278" s="17">
        <v>0</v>
      </c>
      <c r="AE278" s="17">
        <v>0</v>
      </c>
      <c r="AF278" s="17">
        <v>0</v>
      </c>
      <c r="AG278" s="17">
        <v>0</v>
      </c>
      <c r="AH278" s="17">
        <v>0</v>
      </c>
      <c r="AI278" s="17">
        <f t="shared" si="19"/>
        <v>3</v>
      </c>
      <c r="AJ278" s="17">
        <f t="shared" si="20"/>
        <v>2</v>
      </c>
      <c r="AK278" s="17">
        <f t="shared" si="21"/>
        <v>19</v>
      </c>
      <c r="AL278" s="17">
        <f t="shared" si="22"/>
        <v>1</v>
      </c>
      <c r="AM278" s="17">
        <f>VLOOKUP(AK278,Sheet1!$A$2:$B$25,2,FALSE)</f>
        <v>0</v>
      </c>
    </row>
    <row r="279" spans="1:39" s="17" customFormat="1" x14ac:dyDescent="0.25">
      <c r="A279" s="21">
        <v>44594.833333333336</v>
      </c>
      <c r="B279" s="17">
        <v>22.68</v>
      </c>
      <c r="C279" s="17">
        <v>0.48870000000000002</v>
      </c>
      <c r="D279" s="17">
        <v>22.19</v>
      </c>
      <c r="E279" s="17">
        <v>0</v>
      </c>
      <c r="F279" s="17">
        <v>0</v>
      </c>
      <c r="G279" s="17">
        <v>0</v>
      </c>
      <c r="H279" s="17">
        <v>21.27</v>
      </c>
      <c r="I279" s="17">
        <v>0</v>
      </c>
      <c r="J279" s="17">
        <v>2.52</v>
      </c>
      <c r="K279" s="17">
        <v>0</v>
      </c>
      <c r="L279" s="17">
        <v>0</v>
      </c>
      <c r="M279" s="17">
        <v>0</v>
      </c>
      <c r="N279" s="17">
        <v>0</v>
      </c>
      <c r="O279" s="17">
        <v>0</v>
      </c>
      <c r="P279" s="17">
        <v>0</v>
      </c>
      <c r="Q279" s="17">
        <v>0</v>
      </c>
      <c r="R279" s="17">
        <v>0.86129999999999995</v>
      </c>
      <c r="S279" s="17">
        <v>0</v>
      </c>
      <c r="T279" s="17">
        <v>0</v>
      </c>
      <c r="U279" s="17">
        <v>1.8</v>
      </c>
      <c r="V279" s="17">
        <v>0</v>
      </c>
      <c r="W279" s="17">
        <v>1.18</v>
      </c>
      <c r="X279" s="17">
        <v>0</v>
      </c>
      <c r="Y279" s="17">
        <v>0</v>
      </c>
      <c r="Z279" s="17">
        <v>0</v>
      </c>
      <c r="AA279" s="17">
        <v>0</v>
      </c>
      <c r="AB279" s="17">
        <v>0</v>
      </c>
      <c r="AC279" s="17">
        <v>0</v>
      </c>
      <c r="AD279" s="17">
        <v>0</v>
      </c>
      <c r="AE279" s="17">
        <v>0</v>
      </c>
      <c r="AF279" s="17">
        <v>0</v>
      </c>
      <c r="AG279" s="17">
        <v>0</v>
      </c>
      <c r="AH279" s="17">
        <v>0</v>
      </c>
      <c r="AI279" s="17">
        <f t="shared" si="19"/>
        <v>3</v>
      </c>
      <c r="AJ279" s="17">
        <f t="shared" si="20"/>
        <v>2</v>
      </c>
      <c r="AK279" s="17">
        <f t="shared" si="21"/>
        <v>20</v>
      </c>
      <c r="AL279" s="17">
        <f t="shared" si="22"/>
        <v>1</v>
      </c>
      <c r="AM279" s="17">
        <f>VLOOKUP(AK279,Sheet1!$A$2:$B$25,2,FALSE)</f>
        <v>0</v>
      </c>
    </row>
    <row r="280" spans="1:39" s="17" customFormat="1" x14ac:dyDescent="0.25">
      <c r="A280" s="21">
        <v>44594.84375</v>
      </c>
      <c r="B280" s="17">
        <v>20.71</v>
      </c>
      <c r="C280" s="17">
        <v>0.26919999999999999</v>
      </c>
      <c r="D280" s="17">
        <v>20.440000000000001</v>
      </c>
      <c r="E280" s="17">
        <v>0</v>
      </c>
      <c r="F280" s="17">
        <v>0</v>
      </c>
      <c r="G280" s="17">
        <v>0</v>
      </c>
      <c r="H280" s="17">
        <v>20.02</v>
      </c>
      <c r="I280" s="17">
        <v>0</v>
      </c>
      <c r="J280" s="17">
        <v>2.5499999999999998</v>
      </c>
      <c r="K280" s="17">
        <v>0</v>
      </c>
      <c r="L280" s="17">
        <v>0</v>
      </c>
      <c r="M280" s="17">
        <v>0</v>
      </c>
      <c r="N280" s="17">
        <v>0</v>
      </c>
      <c r="O280" s="17">
        <v>0</v>
      </c>
      <c r="P280" s="17">
        <v>0</v>
      </c>
      <c r="Q280" s="17">
        <v>0</v>
      </c>
      <c r="R280" s="17">
        <v>0.49890000000000001</v>
      </c>
      <c r="S280" s="17">
        <v>0</v>
      </c>
      <c r="T280" s="17">
        <v>0</v>
      </c>
      <c r="U280" s="17">
        <v>1.81</v>
      </c>
      <c r="V280" s="17">
        <v>0</v>
      </c>
      <c r="W280" s="17">
        <v>1.49</v>
      </c>
      <c r="X280" s="17">
        <v>0</v>
      </c>
      <c r="Y280" s="17">
        <v>0</v>
      </c>
      <c r="Z280" s="17">
        <v>0</v>
      </c>
      <c r="AA280" s="17">
        <v>0</v>
      </c>
      <c r="AB280" s="17">
        <v>0</v>
      </c>
      <c r="AC280" s="17">
        <v>0</v>
      </c>
      <c r="AD280" s="17">
        <v>0</v>
      </c>
      <c r="AE280" s="17">
        <v>0</v>
      </c>
      <c r="AF280" s="17">
        <v>0</v>
      </c>
      <c r="AG280" s="17">
        <v>0</v>
      </c>
      <c r="AH280" s="17">
        <v>0</v>
      </c>
      <c r="AI280" s="17">
        <f t="shared" si="19"/>
        <v>3</v>
      </c>
      <c r="AJ280" s="17">
        <f t="shared" si="20"/>
        <v>2</v>
      </c>
      <c r="AK280" s="17">
        <f t="shared" si="21"/>
        <v>20</v>
      </c>
      <c r="AL280" s="17">
        <f t="shared" si="22"/>
        <v>1</v>
      </c>
      <c r="AM280" s="17">
        <f>VLOOKUP(AK280,Sheet1!$A$2:$B$25,2,FALSE)</f>
        <v>0</v>
      </c>
    </row>
    <row r="281" spans="1:39" s="17" customFormat="1" x14ac:dyDescent="0.25">
      <c r="A281" s="21">
        <v>44594.854166666664</v>
      </c>
      <c r="B281" s="17">
        <v>21.65</v>
      </c>
      <c r="C281" s="17">
        <v>0.75790000000000002</v>
      </c>
      <c r="D281" s="17">
        <v>20.89</v>
      </c>
      <c r="E281" s="17">
        <v>0</v>
      </c>
      <c r="F281" s="17">
        <v>0</v>
      </c>
      <c r="G281" s="17">
        <v>0</v>
      </c>
      <c r="H281" s="17">
        <v>20.62</v>
      </c>
      <c r="I281" s="17">
        <v>0</v>
      </c>
      <c r="J281" s="17">
        <v>2.4900000000000002</v>
      </c>
      <c r="K281" s="17">
        <v>0</v>
      </c>
      <c r="L281" s="17">
        <v>0</v>
      </c>
      <c r="M281" s="17">
        <v>0</v>
      </c>
      <c r="N281" s="17">
        <v>0</v>
      </c>
      <c r="O281" s="17">
        <v>0</v>
      </c>
      <c r="P281" s="17">
        <v>0</v>
      </c>
      <c r="Q281" s="17">
        <v>0</v>
      </c>
      <c r="R281" s="17">
        <v>0.37259999999999999</v>
      </c>
      <c r="S281" s="17">
        <v>0</v>
      </c>
      <c r="T281" s="17">
        <v>0</v>
      </c>
      <c r="U281" s="17">
        <v>1.82</v>
      </c>
      <c r="V281" s="17">
        <v>0</v>
      </c>
      <c r="W281" s="17">
        <v>1.39</v>
      </c>
      <c r="X281" s="17">
        <v>0</v>
      </c>
      <c r="Y281" s="17">
        <v>0</v>
      </c>
      <c r="Z281" s="17">
        <v>0</v>
      </c>
      <c r="AA281" s="17">
        <v>0</v>
      </c>
      <c r="AB281" s="17">
        <v>0</v>
      </c>
      <c r="AC281" s="17">
        <v>0</v>
      </c>
      <c r="AD281" s="17">
        <v>0</v>
      </c>
      <c r="AE281" s="17">
        <v>0</v>
      </c>
      <c r="AF281" s="17">
        <v>0</v>
      </c>
      <c r="AG281" s="17">
        <v>0</v>
      </c>
      <c r="AH281" s="17">
        <v>0</v>
      </c>
      <c r="AI281" s="17">
        <f t="shared" si="19"/>
        <v>3</v>
      </c>
      <c r="AJ281" s="17">
        <f t="shared" si="20"/>
        <v>2</v>
      </c>
      <c r="AK281" s="17">
        <f t="shared" si="21"/>
        <v>20</v>
      </c>
      <c r="AL281" s="17">
        <f t="shared" si="22"/>
        <v>1</v>
      </c>
      <c r="AM281" s="17">
        <f>VLOOKUP(AK281,Sheet1!$A$2:$B$25,2,FALSE)</f>
        <v>0</v>
      </c>
    </row>
    <row r="282" spans="1:39" s="17" customFormat="1" x14ac:dyDescent="0.25">
      <c r="A282" s="21">
        <v>44594.864583333336</v>
      </c>
      <c r="B282" s="17">
        <v>120.79</v>
      </c>
      <c r="C282" s="17">
        <v>0</v>
      </c>
      <c r="D282" s="17">
        <v>120.79</v>
      </c>
      <c r="E282" s="17">
        <v>0</v>
      </c>
      <c r="F282" s="17">
        <v>115.8</v>
      </c>
      <c r="G282" s="17">
        <v>0</v>
      </c>
      <c r="H282" s="17">
        <v>17.28</v>
      </c>
      <c r="I282" s="17">
        <v>0</v>
      </c>
      <c r="J282" s="17">
        <v>2.5</v>
      </c>
      <c r="K282" s="17">
        <v>0</v>
      </c>
      <c r="L282" s="17">
        <v>0</v>
      </c>
      <c r="M282" s="17">
        <v>0</v>
      </c>
      <c r="N282" s="17">
        <v>0</v>
      </c>
      <c r="O282" s="17">
        <v>0</v>
      </c>
      <c r="P282" s="17">
        <v>0</v>
      </c>
      <c r="Q282" s="17">
        <v>0</v>
      </c>
      <c r="R282" s="17">
        <v>0.59519999999999995</v>
      </c>
      <c r="S282" s="17">
        <v>0</v>
      </c>
      <c r="T282" s="17">
        <v>0</v>
      </c>
      <c r="U282" s="17">
        <v>1.69</v>
      </c>
      <c r="V282" s="17">
        <v>0</v>
      </c>
      <c r="W282" s="17">
        <v>1.76</v>
      </c>
      <c r="X282" s="17">
        <v>0</v>
      </c>
      <c r="Y282" s="17">
        <v>0</v>
      </c>
      <c r="Z282" s="17">
        <v>0</v>
      </c>
      <c r="AA282" s="17">
        <v>0</v>
      </c>
      <c r="AB282" s="17">
        <v>0</v>
      </c>
      <c r="AC282" s="17">
        <v>0</v>
      </c>
      <c r="AD282" s="17">
        <v>0</v>
      </c>
      <c r="AE282" s="17">
        <v>0</v>
      </c>
      <c r="AF282" s="17">
        <v>0</v>
      </c>
      <c r="AG282" s="17">
        <v>0</v>
      </c>
      <c r="AH282" s="17">
        <v>0</v>
      </c>
      <c r="AI282" s="17">
        <f t="shared" si="19"/>
        <v>3</v>
      </c>
      <c r="AJ282" s="17">
        <f t="shared" si="20"/>
        <v>2</v>
      </c>
      <c r="AK282" s="17">
        <f t="shared" si="21"/>
        <v>20</v>
      </c>
      <c r="AL282" s="17">
        <f t="shared" si="22"/>
        <v>1</v>
      </c>
      <c r="AM282" s="17">
        <f>VLOOKUP(AK282,Sheet1!$A$2:$B$25,2,FALSE)</f>
        <v>0</v>
      </c>
    </row>
    <row r="283" spans="1:39" s="17" customFormat="1" x14ac:dyDescent="0.25">
      <c r="A283" s="21">
        <v>44594.875</v>
      </c>
      <c r="B283" s="17">
        <v>4.74</v>
      </c>
      <c r="C283" s="17">
        <v>0.50519999999999998</v>
      </c>
      <c r="D283" s="17">
        <v>4.2300000000000004</v>
      </c>
      <c r="E283" s="17">
        <v>0</v>
      </c>
      <c r="F283" s="17">
        <v>0</v>
      </c>
      <c r="G283" s="17">
        <v>0</v>
      </c>
      <c r="H283" s="17">
        <v>2.21</v>
      </c>
      <c r="I283" s="17">
        <v>0</v>
      </c>
      <c r="J283" s="17">
        <v>2.5099999999999998</v>
      </c>
      <c r="K283" s="17">
        <v>0</v>
      </c>
      <c r="L283" s="17">
        <v>0</v>
      </c>
      <c r="M283" s="17">
        <v>0</v>
      </c>
      <c r="N283" s="17">
        <v>0</v>
      </c>
      <c r="O283" s="17">
        <v>0</v>
      </c>
      <c r="P283" s="17">
        <v>0</v>
      </c>
      <c r="Q283" s="17">
        <v>0</v>
      </c>
      <c r="R283" s="17">
        <v>0.80289999999999995</v>
      </c>
      <c r="S283" s="17">
        <v>0</v>
      </c>
      <c r="T283" s="17">
        <v>0</v>
      </c>
      <c r="U283" s="17">
        <v>1.82</v>
      </c>
      <c r="V283" s="17">
        <v>0</v>
      </c>
      <c r="W283" s="17">
        <v>1.18</v>
      </c>
      <c r="X283" s="17">
        <v>0</v>
      </c>
      <c r="Y283" s="17">
        <v>0</v>
      </c>
      <c r="Z283" s="17">
        <v>0</v>
      </c>
      <c r="AA283" s="17">
        <v>0</v>
      </c>
      <c r="AB283" s="17">
        <v>0</v>
      </c>
      <c r="AC283" s="17">
        <v>0</v>
      </c>
      <c r="AD283" s="17">
        <v>0</v>
      </c>
      <c r="AE283" s="17">
        <v>0</v>
      </c>
      <c r="AF283" s="17">
        <v>0</v>
      </c>
      <c r="AG283" s="17">
        <v>0</v>
      </c>
      <c r="AH283" s="17">
        <v>0</v>
      </c>
      <c r="AI283" s="17">
        <f t="shared" si="19"/>
        <v>3</v>
      </c>
      <c r="AJ283" s="17">
        <f t="shared" si="20"/>
        <v>2</v>
      </c>
      <c r="AK283" s="17">
        <f t="shared" si="21"/>
        <v>21</v>
      </c>
      <c r="AL283" s="17">
        <f t="shared" si="22"/>
        <v>1</v>
      </c>
      <c r="AM283" s="17">
        <f>VLOOKUP(AK283,Sheet1!$A$2:$B$25,2,FALSE)</f>
        <v>0</v>
      </c>
    </row>
    <row r="284" spans="1:39" s="17" customFormat="1" x14ac:dyDescent="0.25">
      <c r="A284" s="21">
        <v>44594.885416666664</v>
      </c>
      <c r="B284" s="17">
        <v>4.55</v>
      </c>
      <c r="C284" s="17">
        <v>0.25259999999999999</v>
      </c>
      <c r="D284" s="17">
        <v>4.3</v>
      </c>
      <c r="E284" s="17">
        <v>0</v>
      </c>
      <c r="F284" s="17">
        <v>0</v>
      </c>
      <c r="G284" s="17">
        <v>0</v>
      </c>
      <c r="H284" s="17">
        <v>2.37</v>
      </c>
      <c r="I284" s="17">
        <v>0</v>
      </c>
      <c r="J284" s="17">
        <v>2.46</v>
      </c>
      <c r="K284" s="17">
        <v>0</v>
      </c>
      <c r="L284" s="17">
        <v>0</v>
      </c>
      <c r="M284" s="17">
        <v>0</v>
      </c>
      <c r="N284" s="17">
        <v>0</v>
      </c>
      <c r="O284" s="17">
        <v>0</v>
      </c>
      <c r="P284" s="17">
        <v>0</v>
      </c>
      <c r="Q284" s="17">
        <v>0</v>
      </c>
      <c r="R284" s="17">
        <v>0.60629999999999995</v>
      </c>
      <c r="S284" s="17">
        <v>0</v>
      </c>
      <c r="T284" s="17">
        <v>0</v>
      </c>
      <c r="U284" s="17">
        <v>1.84</v>
      </c>
      <c r="V284" s="17">
        <v>0</v>
      </c>
      <c r="W284" s="17">
        <v>1.21</v>
      </c>
      <c r="X284" s="17">
        <v>0</v>
      </c>
      <c r="Y284" s="17">
        <v>0</v>
      </c>
      <c r="Z284" s="17">
        <v>0</v>
      </c>
      <c r="AA284" s="17">
        <v>0</v>
      </c>
      <c r="AB284" s="17">
        <v>0</v>
      </c>
      <c r="AC284" s="17">
        <v>0</v>
      </c>
      <c r="AD284" s="17">
        <v>0</v>
      </c>
      <c r="AE284" s="17">
        <v>0</v>
      </c>
      <c r="AF284" s="17">
        <v>0</v>
      </c>
      <c r="AG284" s="17">
        <v>0</v>
      </c>
      <c r="AH284" s="17">
        <v>0</v>
      </c>
      <c r="AI284" s="17">
        <f t="shared" si="19"/>
        <v>3</v>
      </c>
      <c r="AJ284" s="17">
        <f t="shared" si="20"/>
        <v>2</v>
      </c>
      <c r="AK284" s="17">
        <f t="shared" si="21"/>
        <v>21</v>
      </c>
      <c r="AL284" s="17">
        <f t="shared" si="22"/>
        <v>1</v>
      </c>
      <c r="AM284" s="17">
        <f>VLOOKUP(AK284,Sheet1!$A$2:$B$25,2,FALSE)</f>
        <v>0</v>
      </c>
    </row>
    <row r="285" spans="1:39" s="17" customFormat="1" x14ac:dyDescent="0.25">
      <c r="A285" s="21">
        <v>44594.895833333336</v>
      </c>
      <c r="B285" s="17">
        <v>4.4800000000000004</v>
      </c>
      <c r="C285" s="17">
        <v>0.23599999999999999</v>
      </c>
      <c r="D285" s="17">
        <v>4.24</v>
      </c>
      <c r="E285" s="17">
        <v>0</v>
      </c>
      <c r="F285" s="17">
        <v>0</v>
      </c>
      <c r="G285" s="17">
        <v>0</v>
      </c>
      <c r="H285" s="17">
        <v>2.2200000000000002</v>
      </c>
      <c r="I285" s="17">
        <v>0</v>
      </c>
      <c r="J285" s="17">
        <v>2.5499999999999998</v>
      </c>
      <c r="K285" s="17">
        <v>0</v>
      </c>
      <c r="L285" s="17">
        <v>0</v>
      </c>
      <c r="M285" s="17">
        <v>0</v>
      </c>
      <c r="N285" s="17">
        <v>0</v>
      </c>
      <c r="O285" s="17">
        <v>0</v>
      </c>
      <c r="P285" s="17">
        <v>0</v>
      </c>
      <c r="Q285" s="17">
        <v>0</v>
      </c>
      <c r="R285" s="17">
        <v>0.79659999999999997</v>
      </c>
      <c r="S285" s="17">
        <v>0</v>
      </c>
      <c r="T285" s="17">
        <v>0</v>
      </c>
      <c r="U285" s="17">
        <v>1.86</v>
      </c>
      <c r="V285" s="17">
        <v>0</v>
      </c>
      <c r="W285" s="17">
        <v>1.21</v>
      </c>
      <c r="X285" s="17">
        <v>0</v>
      </c>
      <c r="Y285" s="17">
        <v>0</v>
      </c>
      <c r="Z285" s="17">
        <v>0</v>
      </c>
      <c r="AA285" s="17">
        <v>0</v>
      </c>
      <c r="AB285" s="17">
        <v>0</v>
      </c>
      <c r="AC285" s="17">
        <v>0</v>
      </c>
      <c r="AD285" s="17">
        <v>0</v>
      </c>
      <c r="AE285" s="17">
        <v>0</v>
      </c>
      <c r="AF285" s="17">
        <v>0</v>
      </c>
      <c r="AG285" s="17">
        <v>0</v>
      </c>
      <c r="AH285" s="17">
        <v>0</v>
      </c>
      <c r="AI285" s="17">
        <f t="shared" si="19"/>
        <v>3</v>
      </c>
      <c r="AJ285" s="17">
        <f t="shared" si="20"/>
        <v>2</v>
      </c>
      <c r="AK285" s="17">
        <f t="shared" si="21"/>
        <v>21</v>
      </c>
      <c r="AL285" s="17">
        <f t="shared" si="22"/>
        <v>1</v>
      </c>
      <c r="AM285" s="17">
        <f>VLOOKUP(AK285,Sheet1!$A$2:$B$25,2,FALSE)</f>
        <v>0</v>
      </c>
    </row>
    <row r="286" spans="1:39" s="17" customFormat="1" x14ac:dyDescent="0.25">
      <c r="A286" s="21">
        <v>44594.90625</v>
      </c>
      <c r="B286" s="17">
        <v>4.9800000000000004</v>
      </c>
      <c r="C286" s="17">
        <v>0.48870000000000002</v>
      </c>
      <c r="D286" s="17">
        <v>4.49</v>
      </c>
      <c r="E286" s="17">
        <v>0</v>
      </c>
      <c r="F286" s="17">
        <v>0</v>
      </c>
      <c r="G286" s="17">
        <v>0</v>
      </c>
      <c r="H286" s="17">
        <v>2.3199999999999998</v>
      </c>
      <c r="I286" s="17">
        <v>0</v>
      </c>
      <c r="J286" s="17">
        <v>2.5499999999999998</v>
      </c>
      <c r="K286" s="17">
        <v>0</v>
      </c>
      <c r="L286" s="17">
        <v>0</v>
      </c>
      <c r="M286" s="17">
        <v>0</v>
      </c>
      <c r="N286" s="17">
        <v>0</v>
      </c>
      <c r="O286" s="17">
        <v>0</v>
      </c>
      <c r="P286" s="17">
        <v>0</v>
      </c>
      <c r="Q286" s="17">
        <v>0</v>
      </c>
      <c r="R286" s="17">
        <v>0.82730000000000004</v>
      </c>
      <c r="S286" s="17">
        <v>0</v>
      </c>
      <c r="T286" s="17">
        <v>0</v>
      </c>
      <c r="U286" s="17">
        <v>1.86</v>
      </c>
      <c r="V286" s="17">
        <v>0</v>
      </c>
      <c r="W286" s="17">
        <v>1.22</v>
      </c>
      <c r="X286" s="17">
        <v>0</v>
      </c>
      <c r="Y286" s="17">
        <v>0</v>
      </c>
      <c r="Z286" s="17">
        <v>0</v>
      </c>
      <c r="AA286" s="17">
        <v>0</v>
      </c>
      <c r="AB286" s="17">
        <v>0</v>
      </c>
      <c r="AC286" s="17">
        <v>0</v>
      </c>
      <c r="AD286" s="17">
        <v>0</v>
      </c>
      <c r="AE286" s="17">
        <v>0</v>
      </c>
      <c r="AF286" s="17">
        <v>0</v>
      </c>
      <c r="AG286" s="17">
        <v>0</v>
      </c>
      <c r="AH286" s="17">
        <v>0</v>
      </c>
      <c r="AI286" s="17">
        <f t="shared" si="19"/>
        <v>3</v>
      </c>
      <c r="AJ286" s="17">
        <f t="shared" si="20"/>
        <v>2</v>
      </c>
      <c r="AK286" s="17">
        <f t="shared" si="21"/>
        <v>21</v>
      </c>
      <c r="AL286" s="17">
        <f t="shared" si="22"/>
        <v>1</v>
      </c>
      <c r="AM286" s="17">
        <f>VLOOKUP(AK286,Sheet1!$A$2:$B$25,2,FALSE)</f>
        <v>0</v>
      </c>
    </row>
    <row r="287" spans="1:39" s="17" customFormat="1" x14ac:dyDescent="0.25">
      <c r="A287" s="21">
        <v>44594.916666666664</v>
      </c>
      <c r="B287" s="17">
        <v>4.82</v>
      </c>
      <c r="C287" s="17">
        <v>0.52180000000000004</v>
      </c>
      <c r="D287" s="17">
        <v>4.3</v>
      </c>
      <c r="E287" s="17">
        <v>0</v>
      </c>
      <c r="F287" s="17">
        <v>0</v>
      </c>
      <c r="G287" s="17">
        <v>0</v>
      </c>
      <c r="H287" s="17">
        <v>2.16</v>
      </c>
      <c r="I287" s="17">
        <v>0</v>
      </c>
      <c r="J287" s="17">
        <v>2.52</v>
      </c>
      <c r="K287" s="17">
        <v>0</v>
      </c>
      <c r="L287" s="17">
        <v>0</v>
      </c>
      <c r="M287" s="17">
        <v>0</v>
      </c>
      <c r="N287" s="17">
        <v>0</v>
      </c>
      <c r="O287" s="17">
        <v>0</v>
      </c>
      <c r="P287" s="17">
        <v>0</v>
      </c>
      <c r="Q287" s="17">
        <v>0</v>
      </c>
      <c r="R287" s="17">
        <v>0.36159999999999998</v>
      </c>
      <c r="S287" s="17">
        <v>0</v>
      </c>
      <c r="T287" s="17">
        <v>0</v>
      </c>
      <c r="U287" s="17">
        <v>1.84</v>
      </c>
      <c r="V287" s="17">
        <v>0</v>
      </c>
      <c r="W287" s="17">
        <v>1.21</v>
      </c>
      <c r="X287" s="17">
        <v>0</v>
      </c>
      <c r="Y287" s="17">
        <v>0</v>
      </c>
      <c r="Z287" s="17">
        <v>0</v>
      </c>
      <c r="AA287" s="17">
        <v>0</v>
      </c>
      <c r="AB287" s="17">
        <v>0</v>
      </c>
      <c r="AC287" s="17">
        <v>0</v>
      </c>
      <c r="AD287" s="17">
        <v>0</v>
      </c>
      <c r="AE287" s="17">
        <v>0</v>
      </c>
      <c r="AF287" s="17">
        <v>0</v>
      </c>
      <c r="AG287" s="17">
        <v>0</v>
      </c>
      <c r="AH287" s="17">
        <v>0</v>
      </c>
      <c r="AI287" s="17">
        <f t="shared" si="19"/>
        <v>3</v>
      </c>
      <c r="AJ287" s="17">
        <f t="shared" si="20"/>
        <v>2</v>
      </c>
      <c r="AK287" s="17">
        <f t="shared" si="21"/>
        <v>22</v>
      </c>
      <c r="AL287" s="17">
        <f t="shared" si="22"/>
        <v>1</v>
      </c>
      <c r="AM287" s="17">
        <f>VLOOKUP(AK287,Sheet1!$A$2:$B$25,2,FALSE)</f>
        <v>0</v>
      </c>
    </row>
    <row r="288" spans="1:39" s="17" customFormat="1" x14ac:dyDescent="0.25">
      <c r="A288" s="21">
        <v>44594.927083333336</v>
      </c>
      <c r="B288" s="17">
        <v>4.88</v>
      </c>
      <c r="C288" s="17">
        <v>0.50519999999999998</v>
      </c>
      <c r="D288" s="17">
        <v>4.38</v>
      </c>
      <c r="E288" s="17">
        <v>0</v>
      </c>
      <c r="F288" s="17">
        <v>0</v>
      </c>
      <c r="G288" s="17">
        <v>0</v>
      </c>
      <c r="H288" s="17">
        <v>2.04</v>
      </c>
      <c r="I288" s="17">
        <v>0</v>
      </c>
      <c r="J288" s="17">
        <v>2.54</v>
      </c>
      <c r="K288" s="17">
        <v>0</v>
      </c>
      <c r="L288" s="17">
        <v>0</v>
      </c>
      <c r="M288" s="17">
        <v>0</v>
      </c>
      <c r="N288" s="17">
        <v>0</v>
      </c>
      <c r="O288" s="17">
        <v>0</v>
      </c>
      <c r="P288" s="17">
        <v>0</v>
      </c>
      <c r="Q288" s="17">
        <v>0</v>
      </c>
      <c r="R288" s="17">
        <v>0.62919999999999998</v>
      </c>
      <c r="S288" s="17">
        <v>0</v>
      </c>
      <c r="T288" s="17">
        <v>0</v>
      </c>
      <c r="U288" s="17">
        <v>1.86</v>
      </c>
      <c r="V288" s="17">
        <v>0</v>
      </c>
      <c r="W288" s="17">
        <v>1.21</v>
      </c>
      <c r="X288" s="17">
        <v>0</v>
      </c>
      <c r="Y288" s="17">
        <v>0</v>
      </c>
      <c r="Z288" s="17">
        <v>0</v>
      </c>
      <c r="AA288" s="17">
        <v>0</v>
      </c>
      <c r="AB288" s="17">
        <v>0</v>
      </c>
      <c r="AC288" s="17">
        <v>0</v>
      </c>
      <c r="AD288" s="17">
        <v>0</v>
      </c>
      <c r="AE288" s="17">
        <v>0</v>
      </c>
      <c r="AF288" s="17">
        <v>0</v>
      </c>
      <c r="AG288" s="17">
        <v>0</v>
      </c>
      <c r="AH288" s="17">
        <v>0</v>
      </c>
      <c r="AI288" s="17">
        <f t="shared" si="19"/>
        <v>3</v>
      </c>
      <c r="AJ288" s="17">
        <f t="shared" si="20"/>
        <v>2</v>
      </c>
      <c r="AK288" s="17">
        <f t="shared" si="21"/>
        <v>22</v>
      </c>
      <c r="AL288" s="17">
        <f t="shared" si="22"/>
        <v>1</v>
      </c>
      <c r="AM288" s="17">
        <f>VLOOKUP(AK288,Sheet1!$A$2:$B$25,2,FALSE)</f>
        <v>0</v>
      </c>
    </row>
    <row r="289" spans="1:39" s="17" customFormat="1" x14ac:dyDescent="0.25">
      <c r="A289" s="21">
        <v>44594.9375</v>
      </c>
      <c r="B289" s="17">
        <v>4.5999999999999996</v>
      </c>
      <c r="C289" s="17">
        <v>0.26919999999999999</v>
      </c>
      <c r="D289" s="17">
        <v>4.33</v>
      </c>
      <c r="E289" s="17">
        <v>0</v>
      </c>
      <c r="F289" s="17">
        <v>0</v>
      </c>
      <c r="G289" s="17">
        <v>0</v>
      </c>
      <c r="H289" s="17">
        <v>2.02</v>
      </c>
      <c r="I289" s="17">
        <v>0</v>
      </c>
      <c r="J289" s="17">
        <v>2.54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0</v>
      </c>
      <c r="Q289" s="17">
        <v>0</v>
      </c>
      <c r="R289" s="17">
        <v>0.65759999999999996</v>
      </c>
      <c r="S289" s="17">
        <v>0</v>
      </c>
      <c r="T289" s="17">
        <v>0</v>
      </c>
      <c r="U289" s="17">
        <v>1.84</v>
      </c>
      <c r="V289" s="17">
        <v>0</v>
      </c>
      <c r="W289" s="17">
        <v>1.21</v>
      </c>
      <c r="X289" s="17">
        <v>0</v>
      </c>
      <c r="Y289" s="17">
        <v>0</v>
      </c>
      <c r="Z289" s="17">
        <v>0</v>
      </c>
      <c r="AA289" s="17">
        <v>0</v>
      </c>
      <c r="AB289" s="17">
        <v>0</v>
      </c>
      <c r="AC289" s="17">
        <v>0</v>
      </c>
      <c r="AD289" s="17">
        <v>0</v>
      </c>
      <c r="AE289" s="17">
        <v>0</v>
      </c>
      <c r="AF289" s="17">
        <v>0</v>
      </c>
      <c r="AG289" s="17">
        <v>0</v>
      </c>
      <c r="AH289" s="17">
        <v>0</v>
      </c>
      <c r="AI289" s="17">
        <f t="shared" si="19"/>
        <v>3</v>
      </c>
      <c r="AJ289" s="17">
        <f t="shared" si="20"/>
        <v>2</v>
      </c>
      <c r="AK289" s="17">
        <f t="shared" si="21"/>
        <v>22</v>
      </c>
      <c r="AL289" s="17">
        <f t="shared" si="22"/>
        <v>1</v>
      </c>
      <c r="AM289" s="17">
        <f>VLOOKUP(AK289,Sheet1!$A$2:$B$25,2,FALSE)</f>
        <v>0</v>
      </c>
    </row>
    <row r="290" spans="1:39" s="17" customFormat="1" x14ac:dyDescent="0.25">
      <c r="A290" s="21">
        <v>44594.947916666664</v>
      </c>
      <c r="B290" s="17">
        <v>4.59</v>
      </c>
      <c r="C290" s="17">
        <v>0.45469999999999999</v>
      </c>
      <c r="D290" s="17">
        <v>4.1399999999999997</v>
      </c>
      <c r="E290" s="17">
        <v>0</v>
      </c>
      <c r="F290" s="17">
        <v>0</v>
      </c>
      <c r="G290" s="17">
        <v>0</v>
      </c>
      <c r="H290" s="17">
        <v>2.23</v>
      </c>
      <c r="I290" s="17">
        <v>0</v>
      </c>
      <c r="J290" s="17">
        <v>2.5299999999999998</v>
      </c>
      <c r="K290" s="17">
        <v>0</v>
      </c>
      <c r="L290" s="17">
        <v>0</v>
      </c>
      <c r="M290" s="17">
        <v>0</v>
      </c>
      <c r="N290" s="17">
        <v>0</v>
      </c>
      <c r="O290" s="17">
        <v>0</v>
      </c>
      <c r="P290" s="17">
        <v>0</v>
      </c>
      <c r="Q290" s="17">
        <v>0</v>
      </c>
      <c r="R290" s="17">
        <v>0.61019999999999996</v>
      </c>
      <c r="S290" s="17">
        <v>0</v>
      </c>
      <c r="T290" s="17">
        <v>0</v>
      </c>
      <c r="U290" s="17">
        <v>1.82</v>
      </c>
      <c r="V290" s="17">
        <v>0</v>
      </c>
      <c r="W290" s="17">
        <v>1.19</v>
      </c>
      <c r="X290" s="17">
        <v>0</v>
      </c>
      <c r="Y290" s="17">
        <v>0</v>
      </c>
      <c r="Z290" s="17">
        <v>0</v>
      </c>
      <c r="AA290" s="17">
        <v>0</v>
      </c>
      <c r="AB290" s="17">
        <v>0</v>
      </c>
      <c r="AC290" s="17">
        <v>0</v>
      </c>
      <c r="AD290" s="17">
        <v>0</v>
      </c>
      <c r="AE290" s="17">
        <v>0</v>
      </c>
      <c r="AF290" s="17">
        <v>0</v>
      </c>
      <c r="AG290" s="17">
        <v>0</v>
      </c>
      <c r="AH290" s="17">
        <v>0</v>
      </c>
      <c r="AI290" s="17">
        <f t="shared" si="19"/>
        <v>3</v>
      </c>
      <c r="AJ290" s="17">
        <f t="shared" si="20"/>
        <v>2</v>
      </c>
      <c r="AK290" s="17">
        <f t="shared" si="21"/>
        <v>22</v>
      </c>
      <c r="AL290" s="17">
        <f t="shared" si="22"/>
        <v>1</v>
      </c>
      <c r="AM290" s="17">
        <f>VLOOKUP(AK290,Sheet1!$A$2:$B$25,2,FALSE)</f>
        <v>0</v>
      </c>
    </row>
    <row r="291" spans="1:39" s="17" customFormat="1" x14ac:dyDescent="0.25">
      <c r="A291" s="21">
        <v>44594.958333333336</v>
      </c>
      <c r="B291" s="17">
        <v>4.8600000000000003</v>
      </c>
      <c r="C291" s="17">
        <v>0.50519999999999998</v>
      </c>
      <c r="D291" s="17">
        <v>4.3600000000000003</v>
      </c>
      <c r="E291" s="17">
        <v>0</v>
      </c>
      <c r="F291" s="17">
        <v>0</v>
      </c>
      <c r="G291" s="17">
        <v>0</v>
      </c>
      <c r="H291" s="17">
        <v>2.29</v>
      </c>
      <c r="I291" s="17">
        <v>0</v>
      </c>
      <c r="J291" s="17">
        <v>2.19</v>
      </c>
      <c r="K291" s="17">
        <v>0</v>
      </c>
      <c r="L291" s="17">
        <v>0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0.25259999999999999</v>
      </c>
      <c r="S291" s="17">
        <v>0</v>
      </c>
      <c r="T291" s="17">
        <v>0</v>
      </c>
      <c r="U291" s="17">
        <v>1.81</v>
      </c>
      <c r="V291" s="17">
        <v>0</v>
      </c>
      <c r="W291" s="17">
        <v>1.19</v>
      </c>
      <c r="X291" s="17">
        <v>0</v>
      </c>
      <c r="Y291" s="17">
        <v>0</v>
      </c>
      <c r="Z291" s="17">
        <v>0</v>
      </c>
      <c r="AA291" s="17">
        <v>0</v>
      </c>
      <c r="AB291" s="17">
        <v>0</v>
      </c>
      <c r="AC291" s="17">
        <v>0</v>
      </c>
      <c r="AD291" s="17">
        <v>0</v>
      </c>
      <c r="AE291" s="17">
        <v>0</v>
      </c>
      <c r="AF291" s="17">
        <v>0</v>
      </c>
      <c r="AG291" s="17">
        <v>0</v>
      </c>
      <c r="AH291" s="17">
        <v>0</v>
      </c>
      <c r="AI291" s="17">
        <f t="shared" si="19"/>
        <v>3</v>
      </c>
      <c r="AJ291" s="17">
        <f t="shared" si="20"/>
        <v>2</v>
      </c>
      <c r="AK291" s="17">
        <f t="shared" si="21"/>
        <v>23</v>
      </c>
      <c r="AL291" s="17">
        <f t="shared" si="22"/>
        <v>1</v>
      </c>
      <c r="AM291" s="17">
        <f>VLOOKUP(AK291,Sheet1!$A$2:$B$25,2,FALSE)</f>
        <v>0</v>
      </c>
    </row>
    <row r="292" spans="1:39" s="17" customFormat="1" x14ac:dyDescent="0.25">
      <c r="A292" s="21">
        <v>44594.96875</v>
      </c>
      <c r="B292" s="17">
        <v>4.8899999999999997</v>
      </c>
      <c r="C292" s="17">
        <v>0.50519999999999998</v>
      </c>
      <c r="D292" s="17">
        <v>4.3899999999999997</v>
      </c>
      <c r="E292" s="17">
        <v>0</v>
      </c>
      <c r="F292" s="17">
        <v>0</v>
      </c>
      <c r="G292" s="17">
        <v>0</v>
      </c>
      <c r="H292" s="17">
        <v>1.44</v>
      </c>
      <c r="I292" s="17">
        <v>0</v>
      </c>
      <c r="J292" s="17">
        <v>2.36</v>
      </c>
      <c r="K292" s="17">
        <v>0</v>
      </c>
      <c r="L292" s="17">
        <v>0</v>
      </c>
      <c r="M292" s="17">
        <v>0</v>
      </c>
      <c r="N292" s="17">
        <v>0</v>
      </c>
      <c r="O292" s="17">
        <v>0</v>
      </c>
      <c r="P292" s="17">
        <v>0</v>
      </c>
      <c r="Q292" s="17">
        <v>0</v>
      </c>
      <c r="R292" s="17">
        <v>1.01</v>
      </c>
      <c r="S292" s="17">
        <v>0</v>
      </c>
      <c r="T292" s="17">
        <v>0</v>
      </c>
      <c r="U292" s="17">
        <v>1.84</v>
      </c>
      <c r="V292" s="17">
        <v>0</v>
      </c>
      <c r="W292" s="17">
        <v>1.21</v>
      </c>
      <c r="X292" s="17">
        <v>0</v>
      </c>
      <c r="Y292" s="17">
        <v>0</v>
      </c>
      <c r="Z292" s="17">
        <v>0</v>
      </c>
      <c r="AA292" s="17">
        <v>0</v>
      </c>
      <c r="AB292" s="17">
        <v>0</v>
      </c>
      <c r="AC292" s="17">
        <v>0</v>
      </c>
      <c r="AD292" s="17">
        <v>0</v>
      </c>
      <c r="AE292" s="17">
        <v>0</v>
      </c>
      <c r="AF292" s="17">
        <v>0</v>
      </c>
      <c r="AG292" s="17">
        <v>0</v>
      </c>
      <c r="AH292" s="17">
        <v>0</v>
      </c>
      <c r="AI292" s="17">
        <f t="shared" si="19"/>
        <v>3</v>
      </c>
      <c r="AJ292" s="17">
        <f t="shared" si="20"/>
        <v>2</v>
      </c>
      <c r="AK292" s="17">
        <f t="shared" si="21"/>
        <v>23</v>
      </c>
      <c r="AL292" s="17">
        <f t="shared" si="22"/>
        <v>1</v>
      </c>
      <c r="AM292" s="17">
        <f>VLOOKUP(AK292,Sheet1!$A$2:$B$25,2,FALSE)</f>
        <v>0</v>
      </c>
    </row>
    <row r="293" spans="1:39" s="17" customFormat="1" x14ac:dyDescent="0.25">
      <c r="A293" s="21">
        <v>44594.979166666664</v>
      </c>
      <c r="B293" s="17">
        <v>4.9400000000000004</v>
      </c>
      <c r="C293" s="17">
        <v>0.53920000000000001</v>
      </c>
      <c r="D293" s="17">
        <v>4.4000000000000004</v>
      </c>
      <c r="E293" s="17">
        <v>0</v>
      </c>
      <c r="F293" s="17">
        <v>0</v>
      </c>
      <c r="G293" s="17">
        <v>0</v>
      </c>
      <c r="H293" s="17">
        <v>2.2599999999999998</v>
      </c>
      <c r="I293" s="17">
        <v>0</v>
      </c>
      <c r="J293" s="17">
        <v>2.48</v>
      </c>
      <c r="K293" s="17">
        <v>0</v>
      </c>
      <c r="L293" s="17">
        <v>0</v>
      </c>
      <c r="M293" s="17">
        <v>0</v>
      </c>
      <c r="N293" s="17">
        <v>0</v>
      </c>
      <c r="O293" s="17">
        <v>0</v>
      </c>
      <c r="P293" s="17">
        <v>0</v>
      </c>
      <c r="Q293" s="17">
        <v>0</v>
      </c>
      <c r="R293" s="17">
        <v>0.3039</v>
      </c>
      <c r="S293" s="17">
        <v>0</v>
      </c>
      <c r="T293" s="17">
        <v>0</v>
      </c>
      <c r="U293" s="17">
        <v>1.86</v>
      </c>
      <c r="V293" s="17">
        <v>0</v>
      </c>
      <c r="W293" s="17">
        <v>1.22</v>
      </c>
      <c r="X293" s="17">
        <v>0</v>
      </c>
      <c r="Y293" s="17">
        <v>0</v>
      </c>
      <c r="Z293" s="17">
        <v>0</v>
      </c>
      <c r="AA293" s="17">
        <v>0</v>
      </c>
      <c r="AB293" s="17">
        <v>0</v>
      </c>
      <c r="AC293" s="17">
        <v>0</v>
      </c>
      <c r="AD293" s="17">
        <v>0</v>
      </c>
      <c r="AE293" s="17">
        <v>0</v>
      </c>
      <c r="AF293" s="17">
        <v>0</v>
      </c>
      <c r="AG293" s="17">
        <v>0</v>
      </c>
      <c r="AH293" s="17">
        <v>0</v>
      </c>
      <c r="AI293" s="17">
        <f t="shared" si="19"/>
        <v>3</v>
      </c>
      <c r="AJ293" s="17">
        <f t="shared" si="20"/>
        <v>2</v>
      </c>
      <c r="AK293" s="17">
        <f t="shared" si="21"/>
        <v>23</v>
      </c>
      <c r="AL293" s="17">
        <f t="shared" si="22"/>
        <v>1</v>
      </c>
      <c r="AM293" s="17">
        <f>VLOOKUP(AK293,Sheet1!$A$2:$B$25,2,FALSE)</f>
        <v>0</v>
      </c>
    </row>
    <row r="294" spans="1:39" s="17" customFormat="1" x14ac:dyDescent="0.25">
      <c r="A294" s="21">
        <v>44594.989583333336</v>
      </c>
      <c r="B294" s="17">
        <v>4.78</v>
      </c>
      <c r="C294" s="17">
        <v>0.4713</v>
      </c>
      <c r="D294" s="17">
        <v>4.3099999999999996</v>
      </c>
      <c r="E294" s="17">
        <v>0</v>
      </c>
      <c r="F294" s="17">
        <v>0</v>
      </c>
      <c r="G294" s="17">
        <v>0</v>
      </c>
      <c r="H294" s="17">
        <v>2.31</v>
      </c>
      <c r="I294" s="17">
        <v>0</v>
      </c>
      <c r="J294" s="17">
        <v>2.52</v>
      </c>
      <c r="K294" s="17">
        <v>0</v>
      </c>
      <c r="L294" s="17">
        <v>0</v>
      </c>
      <c r="M294" s="17">
        <v>0</v>
      </c>
      <c r="N294" s="17">
        <v>0</v>
      </c>
      <c r="O294" s="17">
        <v>0</v>
      </c>
      <c r="P294" s="17">
        <v>0</v>
      </c>
      <c r="Q294" s="17">
        <v>0</v>
      </c>
      <c r="R294" s="17">
        <v>0.46179999999999999</v>
      </c>
      <c r="S294" s="17">
        <v>0</v>
      </c>
      <c r="T294" s="17">
        <v>0</v>
      </c>
      <c r="U294" s="17">
        <v>1.87</v>
      </c>
      <c r="V294" s="17">
        <v>0</v>
      </c>
      <c r="W294" s="17">
        <v>1.22</v>
      </c>
      <c r="X294" s="17">
        <v>0</v>
      </c>
      <c r="Y294" s="17">
        <v>0</v>
      </c>
      <c r="Z294" s="17">
        <v>0</v>
      </c>
      <c r="AA294" s="17">
        <v>0</v>
      </c>
      <c r="AB294" s="17">
        <v>0</v>
      </c>
      <c r="AC294" s="17">
        <v>0</v>
      </c>
      <c r="AD294" s="17">
        <v>0</v>
      </c>
      <c r="AE294" s="17">
        <v>0</v>
      </c>
      <c r="AF294" s="17">
        <v>0</v>
      </c>
      <c r="AG294" s="17">
        <v>0</v>
      </c>
      <c r="AH294" s="17">
        <v>0</v>
      </c>
      <c r="AI294" s="17">
        <f t="shared" si="19"/>
        <v>3</v>
      </c>
      <c r="AJ294" s="17">
        <f t="shared" si="20"/>
        <v>2</v>
      </c>
      <c r="AK294" s="17">
        <f t="shared" si="21"/>
        <v>23</v>
      </c>
      <c r="AL294" s="17">
        <f t="shared" si="22"/>
        <v>1</v>
      </c>
      <c r="AM294" s="17">
        <f>VLOOKUP(AK294,Sheet1!$A$2:$B$25,2,FALSE)</f>
        <v>0</v>
      </c>
    </row>
    <row r="295" spans="1:39" s="25" customFormat="1" x14ac:dyDescent="0.25">
      <c r="A295" s="24">
        <f>MAX(B296:B391)</f>
        <v>916.69</v>
      </c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</row>
    <row r="296" spans="1:39" s="17" customFormat="1" x14ac:dyDescent="0.25">
      <c r="A296" s="21">
        <v>44595</v>
      </c>
      <c r="B296" s="17">
        <v>5.01</v>
      </c>
      <c r="C296" s="17">
        <v>0.48870000000000002</v>
      </c>
      <c r="D296" s="17">
        <v>4.5199999999999996</v>
      </c>
      <c r="E296" s="17">
        <v>0</v>
      </c>
      <c r="F296" s="17">
        <v>0</v>
      </c>
      <c r="G296" s="17">
        <v>0</v>
      </c>
      <c r="H296" s="17">
        <v>2.13</v>
      </c>
      <c r="I296" s="17">
        <v>0</v>
      </c>
      <c r="J296" s="17">
        <v>2.37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0.52810000000000001</v>
      </c>
      <c r="S296" s="17">
        <v>0</v>
      </c>
      <c r="T296" s="17">
        <v>0</v>
      </c>
      <c r="U296" s="17">
        <v>1.82</v>
      </c>
      <c r="V296" s="17">
        <v>0</v>
      </c>
      <c r="W296" s="17">
        <v>1.2</v>
      </c>
      <c r="X296" s="17">
        <v>0</v>
      </c>
      <c r="Y296" s="17">
        <v>0</v>
      </c>
      <c r="Z296" s="17">
        <v>0</v>
      </c>
      <c r="AA296" s="17">
        <v>0</v>
      </c>
      <c r="AB296" s="17">
        <v>0</v>
      </c>
      <c r="AC296" s="17">
        <v>0</v>
      </c>
      <c r="AD296" s="17">
        <v>0</v>
      </c>
      <c r="AE296" s="17">
        <v>0</v>
      </c>
      <c r="AF296" s="17">
        <v>0</v>
      </c>
      <c r="AG296" s="17">
        <v>0</v>
      </c>
      <c r="AH296" s="17">
        <v>0</v>
      </c>
      <c r="AI296" s="17">
        <f t="shared" si="19"/>
        <v>4</v>
      </c>
      <c r="AJ296" s="17">
        <f t="shared" si="20"/>
        <v>3</v>
      </c>
      <c r="AK296" s="17">
        <f t="shared" si="21"/>
        <v>0</v>
      </c>
      <c r="AL296" s="17">
        <f t="shared" si="22"/>
        <v>1</v>
      </c>
      <c r="AM296" s="17">
        <f>VLOOKUP(AK296,Sheet1!$A$2:$B$25,2,FALSE)</f>
        <v>0</v>
      </c>
    </row>
    <row r="297" spans="1:39" s="17" customFormat="1" x14ac:dyDescent="0.25">
      <c r="A297" s="21">
        <v>44595.010416666664</v>
      </c>
      <c r="B297" s="17">
        <v>4.34</v>
      </c>
      <c r="C297" s="17">
        <v>0.13500000000000001</v>
      </c>
      <c r="D297" s="17">
        <v>4.21</v>
      </c>
      <c r="E297" s="17">
        <v>0</v>
      </c>
      <c r="F297" s="17">
        <v>0</v>
      </c>
      <c r="G297" s="17">
        <v>0</v>
      </c>
      <c r="H297" s="17">
        <v>1.88</v>
      </c>
      <c r="I297" s="17">
        <v>0</v>
      </c>
      <c r="J297" s="17">
        <v>2.11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0.3947</v>
      </c>
      <c r="S297" s="17">
        <v>0</v>
      </c>
      <c r="T297" s="17">
        <v>0</v>
      </c>
      <c r="U297" s="17">
        <v>1.72</v>
      </c>
      <c r="V297" s="17">
        <v>0</v>
      </c>
      <c r="W297" s="17">
        <v>1.1100000000000001</v>
      </c>
      <c r="X297" s="17">
        <v>0</v>
      </c>
      <c r="Y297" s="17">
        <v>0</v>
      </c>
      <c r="Z297" s="17">
        <v>0</v>
      </c>
      <c r="AA297" s="17">
        <v>0</v>
      </c>
      <c r="AB297" s="17">
        <v>0</v>
      </c>
      <c r="AC297" s="17">
        <v>0</v>
      </c>
      <c r="AD297" s="17">
        <v>0</v>
      </c>
      <c r="AE297" s="17">
        <v>0</v>
      </c>
      <c r="AF297" s="17">
        <v>0</v>
      </c>
      <c r="AG297" s="17">
        <v>0</v>
      </c>
      <c r="AH297" s="17">
        <v>0</v>
      </c>
      <c r="AI297" s="17">
        <f t="shared" si="19"/>
        <v>4</v>
      </c>
      <c r="AJ297" s="17">
        <f t="shared" si="20"/>
        <v>3</v>
      </c>
      <c r="AK297" s="17">
        <f t="shared" si="21"/>
        <v>0</v>
      </c>
      <c r="AL297" s="17">
        <f t="shared" si="22"/>
        <v>1</v>
      </c>
      <c r="AM297" s="17">
        <f>VLOOKUP(AK297,Sheet1!$A$2:$B$25,2,FALSE)</f>
        <v>0</v>
      </c>
    </row>
    <row r="298" spans="1:39" s="17" customFormat="1" x14ac:dyDescent="0.25">
      <c r="A298" s="21">
        <v>44595.020833333336</v>
      </c>
      <c r="B298" s="17">
        <v>4.4800000000000004</v>
      </c>
      <c r="C298" s="17">
        <v>0.45469999999999999</v>
      </c>
      <c r="D298" s="17">
        <v>4.0199999999999996</v>
      </c>
      <c r="E298" s="17">
        <v>0</v>
      </c>
      <c r="F298" s="17">
        <v>0</v>
      </c>
      <c r="G298" s="17">
        <v>0</v>
      </c>
      <c r="H298" s="17">
        <v>1.78</v>
      </c>
      <c r="I298" s="17">
        <v>0</v>
      </c>
      <c r="J298" s="17">
        <v>1.92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0.42630000000000001</v>
      </c>
      <c r="S298" s="17">
        <v>0</v>
      </c>
      <c r="T298" s="17">
        <v>0</v>
      </c>
      <c r="U298" s="17">
        <v>1.74</v>
      </c>
      <c r="V298" s="17">
        <v>0</v>
      </c>
      <c r="W298" s="17">
        <v>1.1200000000000001</v>
      </c>
      <c r="X298" s="17">
        <v>0</v>
      </c>
      <c r="Y298" s="17">
        <v>0</v>
      </c>
      <c r="Z298" s="17">
        <v>0</v>
      </c>
      <c r="AA298" s="17">
        <v>0</v>
      </c>
      <c r="AB298" s="17">
        <v>0</v>
      </c>
      <c r="AC298" s="17">
        <v>0</v>
      </c>
      <c r="AD298" s="17">
        <v>0</v>
      </c>
      <c r="AE298" s="17">
        <v>0</v>
      </c>
      <c r="AF298" s="17">
        <v>0</v>
      </c>
      <c r="AG298" s="17">
        <v>0</v>
      </c>
      <c r="AH298" s="17">
        <v>0</v>
      </c>
      <c r="AI298" s="17">
        <f t="shared" si="19"/>
        <v>4</v>
      </c>
      <c r="AJ298" s="17">
        <f t="shared" si="20"/>
        <v>3</v>
      </c>
      <c r="AK298" s="17">
        <f t="shared" si="21"/>
        <v>0</v>
      </c>
      <c r="AL298" s="17">
        <f t="shared" si="22"/>
        <v>1</v>
      </c>
      <c r="AM298" s="17">
        <f>VLOOKUP(AK298,Sheet1!$A$2:$B$25,2,FALSE)</f>
        <v>0</v>
      </c>
    </row>
    <row r="299" spans="1:39" s="17" customFormat="1" x14ac:dyDescent="0.25">
      <c r="A299" s="21">
        <v>44595.03125</v>
      </c>
      <c r="B299" s="17">
        <v>4.3499999999999996</v>
      </c>
      <c r="C299" s="17">
        <v>0.21870000000000001</v>
      </c>
      <c r="D299" s="17">
        <v>4.13</v>
      </c>
      <c r="E299" s="17">
        <v>0</v>
      </c>
      <c r="F299" s="17">
        <v>0</v>
      </c>
      <c r="G299" s="17">
        <v>0</v>
      </c>
      <c r="H299" s="17">
        <v>1.74</v>
      </c>
      <c r="I299" s="17">
        <v>0</v>
      </c>
      <c r="J299" s="17">
        <v>2.0099999999999998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0.49890000000000001</v>
      </c>
      <c r="S299" s="17">
        <v>0</v>
      </c>
      <c r="T299" s="17">
        <v>0</v>
      </c>
      <c r="U299" s="17">
        <v>1.72</v>
      </c>
      <c r="V299" s="17">
        <v>0</v>
      </c>
      <c r="W299" s="17">
        <v>1.1100000000000001</v>
      </c>
      <c r="X299" s="17">
        <v>0</v>
      </c>
      <c r="Y299" s="17">
        <v>0</v>
      </c>
      <c r="Z299" s="17">
        <v>0</v>
      </c>
      <c r="AA299" s="17">
        <v>0</v>
      </c>
      <c r="AB299" s="17">
        <v>0</v>
      </c>
      <c r="AC299" s="17">
        <v>0</v>
      </c>
      <c r="AD299" s="17">
        <v>0</v>
      </c>
      <c r="AE299" s="17">
        <v>0</v>
      </c>
      <c r="AF299" s="17">
        <v>0</v>
      </c>
      <c r="AG299" s="17">
        <v>0</v>
      </c>
      <c r="AH299" s="17">
        <v>0</v>
      </c>
      <c r="AI299" s="17">
        <f t="shared" si="19"/>
        <v>4</v>
      </c>
      <c r="AJ299" s="17">
        <f t="shared" si="20"/>
        <v>3</v>
      </c>
      <c r="AK299" s="17">
        <f t="shared" si="21"/>
        <v>0</v>
      </c>
      <c r="AL299" s="17">
        <f t="shared" si="22"/>
        <v>1</v>
      </c>
      <c r="AM299" s="17">
        <f>VLOOKUP(AK299,Sheet1!$A$2:$B$25,2,FALSE)</f>
        <v>0</v>
      </c>
    </row>
    <row r="300" spans="1:39" s="17" customFormat="1" x14ac:dyDescent="0.25">
      <c r="A300" s="21">
        <v>44595.041666666664</v>
      </c>
      <c r="B300" s="17">
        <v>4.08</v>
      </c>
      <c r="C300" s="17">
        <v>0</v>
      </c>
      <c r="D300" s="17">
        <v>4.08</v>
      </c>
      <c r="E300" s="17">
        <v>0</v>
      </c>
      <c r="F300" s="17">
        <v>0</v>
      </c>
      <c r="G300" s="17">
        <v>0</v>
      </c>
      <c r="H300" s="17">
        <v>1.78</v>
      </c>
      <c r="I300" s="17">
        <v>0</v>
      </c>
      <c r="J300" s="17">
        <v>1.99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0.19259999999999999</v>
      </c>
      <c r="S300" s="17">
        <v>0</v>
      </c>
      <c r="T300" s="17">
        <v>0</v>
      </c>
      <c r="U300" s="17">
        <v>1.71</v>
      </c>
      <c r="V300" s="17">
        <v>0</v>
      </c>
      <c r="W300" s="17">
        <v>1.1100000000000001</v>
      </c>
      <c r="X300" s="17">
        <v>0</v>
      </c>
      <c r="Y300" s="17">
        <v>0</v>
      </c>
      <c r="Z300" s="17">
        <v>0</v>
      </c>
      <c r="AA300" s="17">
        <v>0</v>
      </c>
      <c r="AB300" s="17">
        <v>0</v>
      </c>
      <c r="AC300" s="17">
        <v>0</v>
      </c>
      <c r="AD300" s="17">
        <v>0</v>
      </c>
      <c r="AE300" s="17">
        <v>0</v>
      </c>
      <c r="AF300" s="17">
        <v>0</v>
      </c>
      <c r="AG300" s="17">
        <v>0</v>
      </c>
      <c r="AH300" s="17">
        <v>0</v>
      </c>
      <c r="AI300" s="17">
        <f t="shared" si="19"/>
        <v>4</v>
      </c>
      <c r="AJ300" s="17">
        <f t="shared" si="20"/>
        <v>3</v>
      </c>
      <c r="AK300" s="17">
        <f t="shared" si="21"/>
        <v>1</v>
      </c>
      <c r="AL300" s="17">
        <f t="shared" si="22"/>
        <v>1</v>
      </c>
      <c r="AM300" s="17">
        <f>VLOOKUP(AK300,Sheet1!$A$2:$B$25,2,FALSE)</f>
        <v>0</v>
      </c>
    </row>
    <row r="301" spans="1:39" s="17" customFormat="1" x14ac:dyDescent="0.25">
      <c r="A301" s="21">
        <v>44595.052083333336</v>
      </c>
      <c r="B301" s="17">
        <v>4.22</v>
      </c>
      <c r="C301" s="17">
        <v>0.21870000000000001</v>
      </c>
      <c r="D301" s="17">
        <v>4</v>
      </c>
      <c r="E301" s="17">
        <v>0</v>
      </c>
      <c r="F301" s="17">
        <v>0</v>
      </c>
      <c r="G301" s="17">
        <v>0</v>
      </c>
      <c r="H301" s="17">
        <v>1.76</v>
      </c>
      <c r="I301" s="17">
        <v>0</v>
      </c>
      <c r="J301" s="17">
        <v>1.87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0.5242</v>
      </c>
      <c r="S301" s="17">
        <v>0</v>
      </c>
      <c r="T301" s="17">
        <v>0</v>
      </c>
      <c r="U301" s="17">
        <v>1.63</v>
      </c>
      <c r="V301" s="17">
        <v>0</v>
      </c>
      <c r="W301" s="17">
        <v>1.06</v>
      </c>
      <c r="X301" s="17">
        <v>0</v>
      </c>
      <c r="Y301" s="17">
        <v>0</v>
      </c>
      <c r="Z301" s="17">
        <v>0</v>
      </c>
      <c r="AA301" s="17">
        <v>0</v>
      </c>
      <c r="AB301" s="17">
        <v>0</v>
      </c>
      <c r="AC301" s="17">
        <v>0</v>
      </c>
      <c r="AD301" s="17">
        <v>0</v>
      </c>
      <c r="AE301" s="17">
        <v>0</v>
      </c>
      <c r="AF301" s="17">
        <v>0</v>
      </c>
      <c r="AG301" s="17">
        <v>0</v>
      </c>
      <c r="AH301" s="17">
        <v>0</v>
      </c>
      <c r="AI301" s="17">
        <f t="shared" si="19"/>
        <v>4</v>
      </c>
      <c r="AJ301" s="17">
        <f t="shared" si="20"/>
        <v>3</v>
      </c>
      <c r="AK301" s="17">
        <f t="shared" si="21"/>
        <v>1</v>
      </c>
      <c r="AL301" s="17">
        <f t="shared" si="22"/>
        <v>1</v>
      </c>
      <c r="AM301" s="17">
        <f>VLOOKUP(AK301,Sheet1!$A$2:$B$25,2,FALSE)</f>
        <v>0</v>
      </c>
    </row>
    <row r="302" spans="1:39" s="17" customFormat="1" x14ac:dyDescent="0.25">
      <c r="A302" s="21">
        <v>44595.0625</v>
      </c>
      <c r="B302" s="17">
        <v>3.91</v>
      </c>
      <c r="C302" s="17">
        <v>0</v>
      </c>
      <c r="D302" s="17">
        <v>3.91</v>
      </c>
      <c r="E302" s="17">
        <v>0</v>
      </c>
      <c r="F302" s="17">
        <v>0</v>
      </c>
      <c r="G302" s="17">
        <v>0</v>
      </c>
      <c r="H302" s="17">
        <v>1.78</v>
      </c>
      <c r="I302" s="17">
        <v>0</v>
      </c>
      <c r="J302" s="17">
        <v>1.96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0.34810000000000002</v>
      </c>
      <c r="S302" s="17">
        <v>0</v>
      </c>
      <c r="T302" s="17">
        <v>0</v>
      </c>
      <c r="U302" s="17">
        <v>1.63</v>
      </c>
      <c r="V302" s="17">
        <v>0</v>
      </c>
      <c r="W302" s="17">
        <v>1.06</v>
      </c>
      <c r="X302" s="17">
        <v>0</v>
      </c>
      <c r="Y302" s="17">
        <v>0</v>
      </c>
      <c r="Z302" s="17">
        <v>0</v>
      </c>
      <c r="AA302" s="17">
        <v>0</v>
      </c>
      <c r="AB302" s="17">
        <v>0</v>
      </c>
      <c r="AC302" s="17">
        <v>0</v>
      </c>
      <c r="AD302" s="17">
        <v>0</v>
      </c>
      <c r="AE302" s="17">
        <v>0</v>
      </c>
      <c r="AF302" s="17">
        <v>0</v>
      </c>
      <c r="AG302" s="17">
        <v>0</v>
      </c>
      <c r="AH302" s="17">
        <v>0</v>
      </c>
      <c r="AI302" s="17">
        <f t="shared" si="19"/>
        <v>4</v>
      </c>
      <c r="AJ302" s="17">
        <f t="shared" si="20"/>
        <v>3</v>
      </c>
      <c r="AK302" s="17">
        <f t="shared" si="21"/>
        <v>1</v>
      </c>
      <c r="AL302" s="17">
        <f t="shared" si="22"/>
        <v>1</v>
      </c>
      <c r="AM302" s="17">
        <f>VLOOKUP(AK302,Sheet1!$A$2:$B$25,2,FALSE)</f>
        <v>0</v>
      </c>
    </row>
    <row r="303" spans="1:39" s="17" customFormat="1" x14ac:dyDescent="0.25">
      <c r="A303" s="21">
        <v>44595.072916666664</v>
      </c>
      <c r="B303" s="17">
        <v>4.1399999999999997</v>
      </c>
      <c r="C303" s="17">
        <v>0</v>
      </c>
      <c r="D303" s="17">
        <v>4.1399999999999997</v>
      </c>
      <c r="E303" s="17">
        <v>0</v>
      </c>
      <c r="F303" s="17">
        <v>0</v>
      </c>
      <c r="G303" s="17">
        <v>0</v>
      </c>
      <c r="H303" s="17">
        <v>1.77</v>
      </c>
      <c r="I303" s="17">
        <v>0</v>
      </c>
      <c r="J303" s="17">
        <v>1.95</v>
      </c>
      <c r="K303" s="17">
        <v>0</v>
      </c>
      <c r="L303" s="17">
        <v>0</v>
      </c>
      <c r="M303" s="17">
        <v>0</v>
      </c>
      <c r="N303" s="17">
        <v>0</v>
      </c>
      <c r="O303" s="17">
        <v>0</v>
      </c>
      <c r="P303" s="17">
        <v>0</v>
      </c>
      <c r="Q303" s="17">
        <v>0</v>
      </c>
      <c r="R303" s="17">
        <v>0.14530000000000001</v>
      </c>
      <c r="S303" s="17">
        <v>0</v>
      </c>
      <c r="T303" s="17">
        <v>0</v>
      </c>
      <c r="U303" s="17">
        <v>1.66</v>
      </c>
      <c r="V303" s="17">
        <v>0</v>
      </c>
      <c r="W303" s="17">
        <v>1.08</v>
      </c>
      <c r="X303" s="17">
        <v>0</v>
      </c>
      <c r="Y303" s="17">
        <v>0</v>
      </c>
      <c r="Z303" s="17">
        <v>0</v>
      </c>
      <c r="AA303" s="17">
        <v>0</v>
      </c>
      <c r="AB303" s="17">
        <v>0</v>
      </c>
      <c r="AC303" s="17">
        <v>0</v>
      </c>
      <c r="AD303" s="17">
        <v>0</v>
      </c>
      <c r="AE303" s="17">
        <v>0</v>
      </c>
      <c r="AF303" s="17">
        <v>0</v>
      </c>
      <c r="AG303" s="17">
        <v>0</v>
      </c>
      <c r="AH303" s="17">
        <v>0</v>
      </c>
      <c r="AI303" s="17">
        <f t="shared" si="19"/>
        <v>4</v>
      </c>
      <c r="AJ303" s="17">
        <f t="shared" si="20"/>
        <v>3</v>
      </c>
      <c r="AK303" s="17">
        <f t="shared" si="21"/>
        <v>1</v>
      </c>
      <c r="AL303" s="17">
        <f t="shared" si="22"/>
        <v>1</v>
      </c>
      <c r="AM303" s="17">
        <f>VLOOKUP(AK303,Sheet1!$A$2:$B$25,2,FALSE)</f>
        <v>0</v>
      </c>
    </row>
    <row r="304" spans="1:39" s="17" customFormat="1" x14ac:dyDescent="0.25">
      <c r="A304" s="21">
        <v>44595.083333333336</v>
      </c>
      <c r="B304" s="17">
        <v>4.09</v>
      </c>
      <c r="C304" s="17">
        <v>0.2021</v>
      </c>
      <c r="D304" s="17">
        <v>3.89</v>
      </c>
      <c r="E304" s="17">
        <v>0</v>
      </c>
      <c r="F304" s="17">
        <v>0</v>
      </c>
      <c r="G304" s="17">
        <v>0</v>
      </c>
      <c r="H304" s="17">
        <v>1.72</v>
      </c>
      <c r="I304" s="17">
        <v>0</v>
      </c>
      <c r="J304" s="17">
        <v>1.89</v>
      </c>
      <c r="K304" s="17">
        <v>0</v>
      </c>
      <c r="L304" s="17">
        <v>0</v>
      </c>
      <c r="M304" s="17">
        <v>0</v>
      </c>
      <c r="N304" s="17">
        <v>0</v>
      </c>
      <c r="O304" s="17">
        <v>0</v>
      </c>
      <c r="P304" s="17">
        <v>0</v>
      </c>
      <c r="Q304" s="17">
        <v>0</v>
      </c>
      <c r="R304" s="17">
        <v>0.50209999999999999</v>
      </c>
      <c r="S304" s="17">
        <v>0</v>
      </c>
      <c r="T304" s="17">
        <v>0</v>
      </c>
      <c r="U304" s="17">
        <v>1.65</v>
      </c>
      <c r="V304" s="17">
        <v>0</v>
      </c>
      <c r="W304" s="17">
        <v>1.07</v>
      </c>
      <c r="X304" s="17">
        <v>0</v>
      </c>
      <c r="Y304" s="17">
        <v>0</v>
      </c>
      <c r="Z304" s="17">
        <v>0</v>
      </c>
      <c r="AA304" s="17">
        <v>0</v>
      </c>
      <c r="AB304" s="17">
        <v>0</v>
      </c>
      <c r="AC304" s="17">
        <v>0</v>
      </c>
      <c r="AD304" s="17">
        <v>0</v>
      </c>
      <c r="AE304" s="17">
        <v>0</v>
      </c>
      <c r="AF304" s="17">
        <v>0</v>
      </c>
      <c r="AG304" s="17">
        <v>0</v>
      </c>
      <c r="AH304" s="17">
        <v>0</v>
      </c>
      <c r="AI304" s="17">
        <f t="shared" si="19"/>
        <v>4</v>
      </c>
      <c r="AJ304" s="17">
        <f t="shared" si="20"/>
        <v>3</v>
      </c>
      <c r="AK304" s="17">
        <f t="shared" si="21"/>
        <v>2</v>
      </c>
      <c r="AL304" s="17">
        <f t="shared" si="22"/>
        <v>1</v>
      </c>
      <c r="AM304" s="17">
        <f>VLOOKUP(AK304,Sheet1!$A$2:$B$25,2,FALSE)</f>
        <v>0</v>
      </c>
    </row>
    <row r="305" spans="1:39" s="17" customFormat="1" x14ac:dyDescent="0.25">
      <c r="A305" s="21">
        <v>44595.09375</v>
      </c>
      <c r="B305" s="17">
        <v>3.9</v>
      </c>
      <c r="C305" s="17">
        <v>0</v>
      </c>
      <c r="D305" s="17">
        <v>3.9</v>
      </c>
      <c r="E305" s="17">
        <v>0</v>
      </c>
      <c r="F305" s="17">
        <v>0</v>
      </c>
      <c r="G305" s="17">
        <v>0</v>
      </c>
      <c r="H305" s="17">
        <v>1.77</v>
      </c>
      <c r="I305" s="17">
        <v>0</v>
      </c>
      <c r="J305" s="17">
        <v>1.44</v>
      </c>
      <c r="K305" s="17">
        <v>0</v>
      </c>
      <c r="L305" s="17">
        <v>0</v>
      </c>
      <c r="M305" s="17">
        <v>0</v>
      </c>
      <c r="N305" s="17">
        <v>0</v>
      </c>
      <c r="O305" s="17">
        <v>0</v>
      </c>
      <c r="P305" s="17">
        <v>0</v>
      </c>
      <c r="Q305" s="17">
        <v>0</v>
      </c>
      <c r="R305" s="17">
        <v>0.19889999999999999</v>
      </c>
      <c r="S305" s="17">
        <v>0</v>
      </c>
      <c r="T305" s="17">
        <v>0</v>
      </c>
      <c r="U305" s="17">
        <v>1.65</v>
      </c>
      <c r="V305" s="17">
        <v>0</v>
      </c>
      <c r="W305" s="17">
        <v>1.07</v>
      </c>
      <c r="X305" s="17">
        <v>0</v>
      </c>
      <c r="Y305" s="17">
        <v>0</v>
      </c>
      <c r="Z305" s="17">
        <v>0</v>
      </c>
      <c r="AA305" s="17">
        <v>0</v>
      </c>
      <c r="AB305" s="17">
        <v>0</v>
      </c>
      <c r="AC305" s="17">
        <v>0</v>
      </c>
      <c r="AD305" s="17">
        <v>0</v>
      </c>
      <c r="AE305" s="17">
        <v>0</v>
      </c>
      <c r="AF305" s="17">
        <v>0</v>
      </c>
      <c r="AG305" s="17">
        <v>0</v>
      </c>
      <c r="AH305" s="17">
        <v>0</v>
      </c>
      <c r="AI305" s="17">
        <f t="shared" si="19"/>
        <v>4</v>
      </c>
      <c r="AJ305" s="17">
        <f t="shared" si="20"/>
        <v>3</v>
      </c>
      <c r="AK305" s="17">
        <f t="shared" si="21"/>
        <v>2</v>
      </c>
      <c r="AL305" s="17">
        <f t="shared" si="22"/>
        <v>1</v>
      </c>
      <c r="AM305" s="17">
        <f>VLOOKUP(AK305,Sheet1!$A$2:$B$25,2,FALSE)</f>
        <v>0</v>
      </c>
    </row>
    <row r="306" spans="1:39" s="17" customFormat="1" x14ac:dyDescent="0.25">
      <c r="A306" s="21">
        <v>44595.104166666664</v>
      </c>
      <c r="B306" s="17">
        <v>4.1399999999999997</v>
      </c>
      <c r="C306" s="17">
        <v>0.15160000000000001</v>
      </c>
      <c r="D306" s="17">
        <v>3.99</v>
      </c>
      <c r="E306" s="17">
        <v>0</v>
      </c>
      <c r="F306" s="17">
        <v>0</v>
      </c>
      <c r="G306" s="17">
        <v>0</v>
      </c>
      <c r="H306" s="17">
        <v>1.6</v>
      </c>
      <c r="I306" s="17">
        <v>0</v>
      </c>
      <c r="J306" s="17">
        <v>1.75</v>
      </c>
      <c r="K306" s="17">
        <v>0</v>
      </c>
      <c r="L306" s="17">
        <v>0</v>
      </c>
      <c r="M306" s="17">
        <v>0</v>
      </c>
      <c r="N306" s="17">
        <v>0</v>
      </c>
      <c r="O306" s="17">
        <v>0</v>
      </c>
      <c r="P306" s="17">
        <v>0</v>
      </c>
      <c r="Q306" s="17">
        <v>0</v>
      </c>
      <c r="R306" s="17">
        <v>0.33710000000000001</v>
      </c>
      <c r="S306" s="17">
        <v>0</v>
      </c>
      <c r="T306" s="17">
        <v>0</v>
      </c>
      <c r="U306" s="17">
        <v>1.65</v>
      </c>
      <c r="V306" s="17">
        <v>0</v>
      </c>
      <c r="W306" s="17">
        <v>1.07</v>
      </c>
      <c r="X306" s="17">
        <v>0</v>
      </c>
      <c r="Y306" s="17">
        <v>0</v>
      </c>
      <c r="Z306" s="17">
        <v>0</v>
      </c>
      <c r="AA306" s="17">
        <v>0</v>
      </c>
      <c r="AB306" s="17">
        <v>0</v>
      </c>
      <c r="AC306" s="17">
        <v>0</v>
      </c>
      <c r="AD306" s="17">
        <v>0</v>
      </c>
      <c r="AE306" s="17">
        <v>0</v>
      </c>
      <c r="AF306" s="17">
        <v>0</v>
      </c>
      <c r="AG306" s="17">
        <v>0</v>
      </c>
      <c r="AH306" s="17">
        <v>0</v>
      </c>
      <c r="AI306" s="17">
        <f t="shared" si="19"/>
        <v>4</v>
      </c>
      <c r="AJ306" s="17">
        <f t="shared" si="20"/>
        <v>3</v>
      </c>
      <c r="AK306" s="17">
        <f t="shared" si="21"/>
        <v>2</v>
      </c>
      <c r="AL306" s="17">
        <f t="shared" si="22"/>
        <v>1</v>
      </c>
      <c r="AM306" s="17">
        <f>VLOOKUP(AK306,Sheet1!$A$2:$B$25,2,FALSE)</f>
        <v>0</v>
      </c>
    </row>
    <row r="307" spans="1:39" s="17" customFormat="1" x14ac:dyDescent="0.25">
      <c r="A307" s="21">
        <v>44595.114583333336</v>
      </c>
      <c r="B307" s="17">
        <v>3.99</v>
      </c>
      <c r="C307" s="17">
        <v>0</v>
      </c>
      <c r="D307" s="17">
        <v>3.99</v>
      </c>
      <c r="E307" s="17">
        <v>0</v>
      </c>
      <c r="F307" s="17">
        <v>0</v>
      </c>
      <c r="G307" s="17">
        <v>0</v>
      </c>
      <c r="H307" s="17">
        <v>1.75</v>
      </c>
      <c r="I307" s="17">
        <v>0</v>
      </c>
      <c r="J307" s="17">
        <v>1.93</v>
      </c>
      <c r="K307" s="17">
        <v>0</v>
      </c>
      <c r="L307" s="17">
        <v>0</v>
      </c>
      <c r="M307" s="17">
        <v>0</v>
      </c>
      <c r="N307" s="17">
        <v>0</v>
      </c>
      <c r="O307" s="17">
        <v>0</v>
      </c>
      <c r="P307" s="17">
        <v>0</v>
      </c>
      <c r="Q307" s="17">
        <v>0</v>
      </c>
      <c r="R307" s="17">
        <v>0.39550000000000002</v>
      </c>
      <c r="S307" s="17">
        <v>0</v>
      </c>
      <c r="T307" s="17">
        <v>0</v>
      </c>
      <c r="U307" s="17">
        <v>1.64</v>
      </c>
      <c r="V307" s="17">
        <v>0</v>
      </c>
      <c r="W307" s="17">
        <v>1.07</v>
      </c>
      <c r="X307" s="17">
        <v>0</v>
      </c>
      <c r="Y307" s="17">
        <v>0</v>
      </c>
      <c r="Z307" s="17">
        <v>0</v>
      </c>
      <c r="AA307" s="17">
        <v>0</v>
      </c>
      <c r="AB307" s="17">
        <v>0</v>
      </c>
      <c r="AC307" s="17">
        <v>0</v>
      </c>
      <c r="AD307" s="17">
        <v>0</v>
      </c>
      <c r="AE307" s="17">
        <v>0</v>
      </c>
      <c r="AF307" s="17">
        <v>0</v>
      </c>
      <c r="AG307" s="17">
        <v>0</v>
      </c>
      <c r="AH307" s="17">
        <v>0</v>
      </c>
      <c r="AI307" s="17">
        <f t="shared" si="19"/>
        <v>4</v>
      </c>
      <c r="AJ307" s="17">
        <f t="shared" si="20"/>
        <v>3</v>
      </c>
      <c r="AK307" s="17">
        <f t="shared" si="21"/>
        <v>2</v>
      </c>
      <c r="AL307" s="17">
        <f t="shared" si="22"/>
        <v>1</v>
      </c>
      <c r="AM307" s="17">
        <f>VLOOKUP(AK307,Sheet1!$A$2:$B$25,2,FALSE)</f>
        <v>0</v>
      </c>
    </row>
    <row r="308" spans="1:39" s="17" customFormat="1" x14ac:dyDescent="0.25">
      <c r="A308" s="21">
        <v>44595.125</v>
      </c>
      <c r="B308" s="17">
        <v>4.0599999999999996</v>
      </c>
      <c r="C308" s="17">
        <v>0</v>
      </c>
      <c r="D308" s="17">
        <v>4.0599999999999996</v>
      </c>
      <c r="E308" s="17">
        <v>0</v>
      </c>
      <c r="F308" s="17">
        <v>0</v>
      </c>
      <c r="G308" s="17">
        <v>0</v>
      </c>
      <c r="H308" s="17">
        <v>1.73</v>
      </c>
      <c r="I308" s="17">
        <v>0</v>
      </c>
      <c r="J308" s="17">
        <v>1.98</v>
      </c>
      <c r="K308" s="17">
        <v>0</v>
      </c>
      <c r="L308" s="17">
        <v>0</v>
      </c>
      <c r="M308" s="17">
        <v>0</v>
      </c>
      <c r="N308" s="17">
        <v>0</v>
      </c>
      <c r="O308" s="17">
        <v>0</v>
      </c>
      <c r="P308" s="17">
        <v>0</v>
      </c>
      <c r="Q308" s="17">
        <v>0</v>
      </c>
      <c r="R308" s="17">
        <v>0.3876</v>
      </c>
      <c r="S308" s="17">
        <v>0</v>
      </c>
      <c r="T308" s="17">
        <v>0</v>
      </c>
      <c r="U308" s="17">
        <v>1.64</v>
      </c>
      <c r="V308" s="17">
        <v>0</v>
      </c>
      <c r="W308" s="17">
        <v>1.06</v>
      </c>
      <c r="X308" s="17">
        <v>0</v>
      </c>
      <c r="Y308" s="17">
        <v>0</v>
      </c>
      <c r="Z308" s="17">
        <v>0</v>
      </c>
      <c r="AA308" s="17">
        <v>0</v>
      </c>
      <c r="AB308" s="17">
        <v>0</v>
      </c>
      <c r="AC308" s="17">
        <v>0</v>
      </c>
      <c r="AD308" s="17">
        <v>0</v>
      </c>
      <c r="AE308" s="17">
        <v>0</v>
      </c>
      <c r="AF308" s="17">
        <v>0</v>
      </c>
      <c r="AG308" s="17">
        <v>0</v>
      </c>
      <c r="AH308" s="17">
        <v>0</v>
      </c>
      <c r="AI308" s="17">
        <f t="shared" si="19"/>
        <v>4</v>
      </c>
      <c r="AJ308" s="17">
        <f t="shared" si="20"/>
        <v>3</v>
      </c>
      <c r="AK308" s="17">
        <f t="shared" si="21"/>
        <v>3</v>
      </c>
      <c r="AL308" s="17">
        <f t="shared" si="22"/>
        <v>1</v>
      </c>
      <c r="AM308" s="17">
        <f>VLOOKUP(AK308,Sheet1!$A$2:$B$25,2,FALSE)</f>
        <v>0</v>
      </c>
    </row>
    <row r="309" spans="1:39" s="17" customFormat="1" x14ac:dyDescent="0.25">
      <c r="A309" s="21">
        <v>44595.135416666664</v>
      </c>
      <c r="B309" s="17">
        <v>4.01</v>
      </c>
      <c r="C309" s="17">
        <v>0</v>
      </c>
      <c r="D309" s="17">
        <v>4.01</v>
      </c>
      <c r="E309" s="17">
        <v>0</v>
      </c>
      <c r="F309" s="17">
        <v>0</v>
      </c>
      <c r="G309" s="17">
        <v>0</v>
      </c>
      <c r="H309" s="17">
        <v>1.77</v>
      </c>
      <c r="I309" s="17">
        <v>0</v>
      </c>
      <c r="J309" s="17">
        <v>1.98</v>
      </c>
      <c r="K309" s="17">
        <v>0</v>
      </c>
      <c r="L309" s="17">
        <v>0</v>
      </c>
      <c r="M309" s="17">
        <v>0</v>
      </c>
      <c r="N309" s="17">
        <v>0</v>
      </c>
      <c r="O309" s="17">
        <v>0</v>
      </c>
      <c r="P309" s="17">
        <v>0</v>
      </c>
      <c r="Q309" s="17">
        <v>0</v>
      </c>
      <c r="R309" s="17">
        <v>0.19819999999999999</v>
      </c>
      <c r="S309" s="17">
        <v>0</v>
      </c>
      <c r="T309" s="17">
        <v>0</v>
      </c>
      <c r="U309" s="17">
        <v>1.63</v>
      </c>
      <c r="V309" s="17">
        <v>0</v>
      </c>
      <c r="W309" s="17">
        <v>1.05</v>
      </c>
      <c r="X309" s="17">
        <v>0</v>
      </c>
      <c r="Y309" s="17">
        <v>0</v>
      </c>
      <c r="Z309" s="17">
        <v>0</v>
      </c>
      <c r="AA309" s="17">
        <v>0</v>
      </c>
      <c r="AB309" s="17">
        <v>0</v>
      </c>
      <c r="AC309" s="17">
        <v>0</v>
      </c>
      <c r="AD309" s="17">
        <v>0</v>
      </c>
      <c r="AE309" s="17">
        <v>0</v>
      </c>
      <c r="AF309" s="17">
        <v>0</v>
      </c>
      <c r="AG309" s="17">
        <v>0</v>
      </c>
      <c r="AH309" s="17">
        <v>0</v>
      </c>
      <c r="AI309" s="17">
        <f t="shared" si="19"/>
        <v>4</v>
      </c>
      <c r="AJ309" s="17">
        <f t="shared" si="20"/>
        <v>3</v>
      </c>
      <c r="AK309" s="17">
        <f t="shared" si="21"/>
        <v>3</v>
      </c>
      <c r="AL309" s="17">
        <f t="shared" si="22"/>
        <v>1</v>
      </c>
      <c r="AM309" s="17">
        <f>VLOOKUP(AK309,Sheet1!$A$2:$B$25,2,FALSE)</f>
        <v>0</v>
      </c>
    </row>
    <row r="310" spans="1:39" s="17" customFormat="1" x14ac:dyDescent="0.25">
      <c r="A310" s="21">
        <v>44595.145833333336</v>
      </c>
      <c r="B310" s="17">
        <v>4.1500000000000004</v>
      </c>
      <c r="C310" s="17">
        <v>0.21870000000000001</v>
      </c>
      <c r="D310" s="17">
        <v>3.93</v>
      </c>
      <c r="E310" s="17">
        <v>0</v>
      </c>
      <c r="F310" s="17">
        <v>0</v>
      </c>
      <c r="G310" s="17">
        <v>0</v>
      </c>
      <c r="H310" s="17">
        <v>1.81</v>
      </c>
      <c r="I310" s="17">
        <v>0</v>
      </c>
      <c r="J310" s="17">
        <v>1.98</v>
      </c>
      <c r="K310" s="17">
        <v>0</v>
      </c>
      <c r="L310" s="17">
        <v>0</v>
      </c>
      <c r="M310" s="17">
        <v>0</v>
      </c>
      <c r="N310" s="17">
        <v>0</v>
      </c>
      <c r="O310" s="17">
        <v>0</v>
      </c>
      <c r="P310" s="17">
        <v>0</v>
      </c>
      <c r="Q310" s="17">
        <v>0</v>
      </c>
      <c r="R310" s="17">
        <v>0.2384</v>
      </c>
      <c r="S310" s="17">
        <v>0</v>
      </c>
      <c r="T310" s="17">
        <v>0</v>
      </c>
      <c r="U310" s="17">
        <v>1.63</v>
      </c>
      <c r="V310" s="17">
        <v>0</v>
      </c>
      <c r="W310" s="17">
        <v>1.06</v>
      </c>
      <c r="X310" s="17">
        <v>0</v>
      </c>
      <c r="Y310" s="17">
        <v>0</v>
      </c>
      <c r="Z310" s="17">
        <v>0</v>
      </c>
      <c r="AA310" s="17">
        <v>0</v>
      </c>
      <c r="AB310" s="17">
        <v>0</v>
      </c>
      <c r="AC310" s="17">
        <v>0</v>
      </c>
      <c r="AD310" s="17">
        <v>0</v>
      </c>
      <c r="AE310" s="17">
        <v>0</v>
      </c>
      <c r="AF310" s="17">
        <v>0</v>
      </c>
      <c r="AG310" s="17">
        <v>0</v>
      </c>
      <c r="AH310" s="17">
        <v>0</v>
      </c>
      <c r="AI310" s="17">
        <f t="shared" si="19"/>
        <v>4</v>
      </c>
      <c r="AJ310" s="17">
        <f t="shared" si="20"/>
        <v>3</v>
      </c>
      <c r="AK310" s="17">
        <f t="shared" si="21"/>
        <v>3</v>
      </c>
      <c r="AL310" s="17">
        <f t="shared" si="22"/>
        <v>1</v>
      </c>
      <c r="AM310" s="17">
        <f>VLOOKUP(AK310,Sheet1!$A$2:$B$25,2,FALSE)</f>
        <v>0</v>
      </c>
    </row>
    <row r="311" spans="1:39" s="17" customFormat="1" x14ac:dyDescent="0.25">
      <c r="A311" s="21">
        <v>44595.15625</v>
      </c>
      <c r="B311" s="17">
        <v>18.940000000000001</v>
      </c>
      <c r="C311" s="17">
        <v>2.82</v>
      </c>
      <c r="D311" s="17">
        <v>4.01</v>
      </c>
      <c r="E311" s="17">
        <v>0</v>
      </c>
      <c r="F311" s="17">
        <v>0</v>
      </c>
      <c r="G311" s="17">
        <v>0</v>
      </c>
      <c r="H311" s="17">
        <v>1.84</v>
      </c>
      <c r="I311" s="17">
        <v>12.11</v>
      </c>
      <c r="J311" s="17">
        <v>2.0699999999999998</v>
      </c>
      <c r="K311" s="17">
        <v>0</v>
      </c>
      <c r="L311" s="17">
        <v>0</v>
      </c>
      <c r="M311" s="17">
        <v>0</v>
      </c>
      <c r="N311" s="17">
        <v>2.39</v>
      </c>
      <c r="O311" s="17">
        <v>0</v>
      </c>
      <c r="P311" s="17">
        <v>0</v>
      </c>
      <c r="Q311" s="17">
        <v>0</v>
      </c>
      <c r="R311" s="17">
        <v>0.38129999999999997</v>
      </c>
      <c r="S311" s="17">
        <v>0</v>
      </c>
      <c r="T311" s="17">
        <v>0</v>
      </c>
      <c r="U311" s="17">
        <v>1.64</v>
      </c>
      <c r="V311" s="17">
        <v>0</v>
      </c>
      <c r="W311" s="17">
        <v>1.06</v>
      </c>
      <c r="X311" s="17">
        <v>0</v>
      </c>
      <c r="Y311" s="17">
        <v>0</v>
      </c>
      <c r="Z311" s="17">
        <v>0</v>
      </c>
      <c r="AA311" s="17">
        <v>0</v>
      </c>
      <c r="AB311" s="17">
        <v>0</v>
      </c>
      <c r="AC311" s="17">
        <v>0</v>
      </c>
      <c r="AD311" s="17">
        <v>0</v>
      </c>
      <c r="AE311" s="17">
        <v>0</v>
      </c>
      <c r="AF311" s="17">
        <v>0</v>
      </c>
      <c r="AG311" s="17">
        <v>0</v>
      </c>
      <c r="AH311" s="17">
        <v>0</v>
      </c>
      <c r="AI311" s="17">
        <f t="shared" si="19"/>
        <v>4</v>
      </c>
      <c r="AJ311" s="17">
        <f t="shared" si="20"/>
        <v>3</v>
      </c>
      <c r="AK311" s="17">
        <f t="shared" si="21"/>
        <v>3</v>
      </c>
      <c r="AL311" s="17">
        <f t="shared" si="22"/>
        <v>1</v>
      </c>
      <c r="AM311" s="17">
        <f>VLOOKUP(AK311,Sheet1!$A$2:$B$25,2,FALSE)</f>
        <v>0</v>
      </c>
    </row>
    <row r="312" spans="1:39" s="17" customFormat="1" x14ac:dyDescent="0.25">
      <c r="A312" s="21">
        <v>44595.166666666664</v>
      </c>
      <c r="B312" s="17">
        <v>501.08</v>
      </c>
      <c r="C312" s="17">
        <v>63.47</v>
      </c>
      <c r="D312" s="17">
        <v>204.43</v>
      </c>
      <c r="E312" s="17">
        <v>22.24</v>
      </c>
      <c r="F312" s="17">
        <v>68.78</v>
      </c>
      <c r="G312" s="17">
        <v>107.41</v>
      </c>
      <c r="H312" s="17">
        <v>145.62</v>
      </c>
      <c r="I312" s="17">
        <v>60.98</v>
      </c>
      <c r="J312" s="17">
        <v>23.78</v>
      </c>
      <c r="K312" s="17">
        <v>28.68</v>
      </c>
      <c r="L312" s="17">
        <v>10.55</v>
      </c>
      <c r="M312" s="17">
        <v>22.34</v>
      </c>
      <c r="N312" s="17">
        <v>19.809999999999999</v>
      </c>
      <c r="O312" s="17">
        <v>8.9</v>
      </c>
      <c r="P312" s="17">
        <v>14.81</v>
      </c>
      <c r="Q312" s="17">
        <v>9.17</v>
      </c>
      <c r="R312" s="17">
        <v>25.98</v>
      </c>
      <c r="S312" s="17">
        <v>14.74</v>
      </c>
      <c r="T312" s="17">
        <v>23.05</v>
      </c>
      <c r="U312" s="17">
        <v>1.55</v>
      </c>
      <c r="V312" s="17">
        <v>9.2200000000000006</v>
      </c>
      <c r="W312" s="17">
        <v>1.02</v>
      </c>
      <c r="X312" s="17">
        <v>12.83</v>
      </c>
      <c r="Y312" s="17">
        <v>8.3000000000000007</v>
      </c>
      <c r="Z312" s="17">
        <v>4.91</v>
      </c>
      <c r="AA312" s="17">
        <v>0</v>
      </c>
      <c r="AB312" s="17">
        <v>0</v>
      </c>
      <c r="AC312" s="17">
        <v>0</v>
      </c>
      <c r="AD312" s="17">
        <v>0</v>
      </c>
      <c r="AE312" s="17">
        <v>0</v>
      </c>
      <c r="AF312" s="17">
        <v>0.12239999999999999</v>
      </c>
      <c r="AG312" s="17">
        <v>0</v>
      </c>
      <c r="AH312" s="17">
        <v>0</v>
      </c>
      <c r="AI312" s="17">
        <f t="shared" si="19"/>
        <v>4</v>
      </c>
      <c r="AJ312" s="17">
        <f t="shared" si="20"/>
        <v>3</v>
      </c>
      <c r="AK312" s="17">
        <f t="shared" si="21"/>
        <v>4</v>
      </c>
      <c r="AL312" s="17">
        <f t="shared" si="22"/>
        <v>1</v>
      </c>
      <c r="AM312" s="17">
        <f>VLOOKUP(AK312,Sheet1!$A$2:$B$25,2,FALSE)</f>
        <v>1</v>
      </c>
    </row>
    <row r="313" spans="1:39" s="17" customFormat="1" x14ac:dyDescent="0.25">
      <c r="A313" s="21">
        <v>44595.177083333336</v>
      </c>
      <c r="B313" s="23">
        <v>916.69</v>
      </c>
      <c r="C313" s="17">
        <v>363.63</v>
      </c>
      <c r="D313" s="17">
        <v>238.85</v>
      </c>
      <c r="E313" s="17">
        <v>168.62</v>
      </c>
      <c r="F313" s="17">
        <v>168.26</v>
      </c>
      <c r="G313" s="17">
        <v>212.65</v>
      </c>
      <c r="H313" s="17">
        <v>83.53</v>
      </c>
      <c r="I313" s="17">
        <v>56.17</v>
      </c>
      <c r="J313" s="17">
        <v>174.04</v>
      </c>
      <c r="K313" s="17">
        <v>60.2</v>
      </c>
      <c r="L313" s="17">
        <v>81.91</v>
      </c>
      <c r="M313" s="17">
        <v>39.17</v>
      </c>
      <c r="N313" s="17">
        <v>24.66</v>
      </c>
      <c r="O313" s="17">
        <v>68.680000000000007</v>
      </c>
      <c r="P313" s="17">
        <v>20.77</v>
      </c>
      <c r="Q313" s="17">
        <v>69.58</v>
      </c>
      <c r="R313" s="17">
        <v>54.02</v>
      </c>
      <c r="S313" s="17">
        <v>14.61</v>
      </c>
      <c r="T313" s="17">
        <v>37.22</v>
      </c>
      <c r="U313" s="17">
        <v>1.45</v>
      </c>
      <c r="V313" s="17">
        <v>5.72</v>
      </c>
      <c r="W313" s="17">
        <v>0.93389999999999995</v>
      </c>
      <c r="X313" s="17">
        <v>2.23</v>
      </c>
      <c r="Y313" s="17">
        <v>2.0699999999999998</v>
      </c>
      <c r="Z313" s="17">
        <v>0</v>
      </c>
      <c r="AA313" s="17">
        <v>0</v>
      </c>
      <c r="AB313" s="17">
        <v>0</v>
      </c>
      <c r="AC313" s="17">
        <v>0</v>
      </c>
      <c r="AD313" s="17">
        <v>0</v>
      </c>
      <c r="AE313" s="17">
        <v>0</v>
      </c>
      <c r="AF313" s="17">
        <v>0</v>
      </c>
      <c r="AG313" s="17">
        <v>0</v>
      </c>
      <c r="AH313" s="17">
        <v>0</v>
      </c>
      <c r="AI313" s="17">
        <f t="shared" si="19"/>
        <v>4</v>
      </c>
      <c r="AJ313" s="17">
        <f t="shared" si="20"/>
        <v>3</v>
      </c>
      <c r="AK313" s="17">
        <f t="shared" si="21"/>
        <v>4</v>
      </c>
      <c r="AL313" s="17">
        <f t="shared" si="22"/>
        <v>1</v>
      </c>
      <c r="AM313" s="17">
        <f>VLOOKUP(AK313,Sheet1!$A$2:$B$25,2,FALSE)</f>
        <v>1</v>
      </c>
    </row>
    <row r="314" spans="1:39" s="17" customFormat="1" x14ac:dyDescent="0.25">
      <c r="A314" s="21">
        <v>44595.1875</v>
      </c>
      <c r="B314" s="17">
        <v>760.7</v>
      </c>
      <c r="C314" s="17">
        <v>301.89999999999998</v>
      </c>
      <c r="D314" s="17">
        <v>201.6</v>
      </c>
      <c r="E314" s="17">
        <v>168.85</v>
      </c>
      <c r="F314" s="17">
        <v>169</v>
      </c>
      <c r="G314" s="17">
        <v>158.05000000000001</v>
      </c>
      <c r="H314" s="17">
        <v>38.49</v>
      </c>
      <c r="I314" s="17">
        <v>56.97</v>
      </c>
      <c r="J314" s="17">
        <v>107.89</v>
      </c>
      <c r="K314" s="17">
        <v>61.03</v>
      </c>
      <c r="L314" s="17">
        <v>76.25</v>
      </c>
      <c r="M314" s="17">
        <v>29.14</v>
      </c>
      <c r="N314" s="17">
        <v>27.26</v>
      </c>
      <c r="O314" s="17">
        <v>46.55</v>
      </c>
      <c r="P314" s="17">
        <v>19.04</v>
      </c>
      <c r="Q314" s="17">
        <v>49.6</v>
      </c>
      <c r="R314" s="17">
        <v>22.91</v>
      </c>
      <c r="S314" s="17">
        <v>16.09</v>
      </c>
      <c r="T314" s="17">
        <v>27.93</v>
      </c>
      <c r="U314" s="17">
        <v>1.46</v>
      </c>
      <c r="V314" s="17">
        <v>2.68</v>
      </c>
      <c r="W314" s="17">
        <v>0.94810000000000005</v>
      </c>
      <c r="X314" s="17">
        <v>3.3</v>
      </c>
      <c r="Y314" s="17">
        <v>1.08</v>
      </c>
      <c r="Z314" s="17">
        <v>0</v>
      </c>
      <c r="AA314" s="17">
        <v>0</v>
      </c>
      <c r="AB314" s="17">
        <v>0</v>
      </c>
      <c r="AC314" s="17">
        <v>0</v>
      </c>
      <c r="AD314" s="17">
        <v>0</v>
      </c>
      <c r="AE314" s="17">
        <v>0</v>
      </c>
      <c r="AF314" s="17">
        <v>0</v>
      </c>
      <c r="AG314" s="17">
        <v>0</v>
      </c>
      <c r="AH314" s="17">
        <v>0</v>
      </c>
      <c r="AI314" s="17">
        <f t="shared" si="19"/>
        <v>4</v>
      </c>
      <c r="AJ314" s="17">
        <f t="shared" si="20"/>
        <v>3</v>
      </c>
      <c r="AK314" s="17">
        <f t="shared" si="21"/>
        <v>4</v>
      </c>
      <c r="AL314" s="17">
        <f t="shared" si="22"/>
        <v>1</v>
      </c>
      <c r="AM314" s="17">
        <f>VLOOKUP(AK314,Sheet1!$A$2:$B$25,2,FALSE)</f>
        <v>1</v>
      </c>
    </row>
    <row r="315" spans="1:39" s="17" customFormat="1" x14ac:dyDescent="0.25">
      <c r="A315" s="21">
        <v>44595.197916666664</v>
      </c>
      <c r="B315" s="17">
        <v>695.93</v>
      </c>
      <c r="C315" s="17">
        <v>253.81</v>
      </c>
      <c r="D315" s="17">
        <v>195.87</v>
      </c>
      <c r="E315" s="17">
        <v>168.14</v>
      </c>
      <c r="F315" s="17">
        <v>168.81</v>
      </c>
      <c r="G315" s="17">
        <v>142.16</v>
      </c>
      <c r="H315" s="17">
        <v>32.130000000000003</v>
      </c>
      <c r="I315" s="17">
        <v>57.25</v>
      </c>
      <c r="J315" s="17">
        <v>44.99</v>
      </c>
      <c r="K315" s="17">
        <v>60.3</v>
      </c>
      <c r="L315" s="17">
        <v>76.11</v>
      </c>
      <c r="M315" s="17">
        <v>25.41</v>
      </c>
      <c r="N315" s="17">
        <v>31.11</v>
      </c>
      <c r="O315" s="17">
        <v>15.93</v>
      </c>
      <c r="P315" s="17">
        <v>26.12</v>
      </c>
      <c r="Q315" s="17">
        <v>19.61</v>
      </c>
      <c r="R315" s="17">
        <v>13.08</v>
      </c>
      <c r="S315" s="17">
        <v>14.44</v>
      </c>
      <c r="T315" s="17">
        <v>23.35</v>
      </c>
      <c r="U315" s="17">
        <v>1.46</v>
      </c>
      <c r="V315" s="17">
        <v>1.42</v>
      </c>
      <c r="W315" s="17">
        <v>0.9466</v>
      </c>
      <c r="X315" s="17">
        <v>2.86</v>
      </c>
      <c r="Y315" s="17">
        <v>1.99</v>
      </c>
      <c r="Z315" s="17">
        <v>0</v>
      </c>
      <c r="AA315" s="17">
        <v>0</v>
      </c>
      <c r="AB315" s="17">
        <v>0</v>
      </c>
      <c r="AC315" s="17">
        <v>0</v>
      </c>
      <c r="AD315" s="17">
        <v>0</v>
      </c>
      <c r="AE315" s="17">
        <v>0</v>
      </c>
      <c r="AF315" s="17">
        <v>0</v>
      </c>
      <c r="AG315" s="17">
        <v>0</v>
      </c>
      <c r="AH315" s="17">
        <v>0</v>
      </c>
      <c r="AI315" s="17">
        <f t="shared" si="19"/>
        <v>4</v>
      </c>
      <c r="AJ315" s="17">
        <f t="shared" si="20"/>
        <v>3</v>
      </c>
      <c r="AK315" s="17">
        <f t="shared" si="21"/>
        <v>4</v>
      </c>
      <c r="AL315" s="17">
        <f t="shared" si="22"/>
        <v>1</v>
      </c>
      <c r="AM315" s="17">
        <f>VLOOKUP(AK315,Sheet1!$A$2:$B$25,2,FALSE)</f>
        <v>1</v>
      </c>
    </row>
    <row r="316" spans="1:39" s="17" customFormat="1" x14ac:dyDescent="0.25">
      <c r="A316" s="21">
        <v>44595.208333333336</v>
      </c>
      <c r="B316" s="17">
        <v>691.59</v>
      </c>
      <c r="C316" s="17">
        <v>246.13</v>
      </c>
      <c r="D316" s="17">
        <v>193.18</v>
      </c>
      <c r="E316" s="17">
        <v>166.12</v>
      </c>
      <c r="F316" s="17">
        <v>166.98</v>
      </c>
      <c r="G316" s="17">
        <v>143.33000000000001</v>
      </c>
      <c r="H316" s="17">
        <v>29.97</v>
      </c>
      <c r="I316" s="17">
        <v>58.12</v>
      </c>
      <c r="J316" s="17">
        <v>37.76</v>
      </c>
      <c r="K316" s="17">
        <v>59.82</v>
      </c>
      <c r="L316" s="17">
        <v>76.55</v>
      </c>
      <c r="M316" s="17">
        <v>25.02</v>
      </c>
      <c r="N316" s="17">
        <v>31.32</v>
      </c>
      <c r="O316" s="17">
        <v>14.89</v>
      </c>
      <c r="P316" s="17">
        <v>27.07</v>
      </c>
      <c r="Q316" s="17">
        <v>14.1</v>
      </c>
      <c r="R316" s="17">
        <v>15.17</v>
      </c>
      <c r="S316" s="17">
        <v>13.4</v>
      </c>
      <c r="T316" s="17">
        <v>23.41</v>
      </c>
      <c r="U316" s="17">
        <v>1.44</v>
      </c>
      <c r="V316" s="17">
        <v>0</v>
      </c>
      <c r="W316" s="17">
        <v>0.94099999999999995</v>
      </c>
      <c r="X316" s="17">
        <v>3.91</v>
      </c>
      <c r="Y316" s="17">
        <v>0.64500000000000002</v>
      </c>
      <c r="Z316" s="17">
        <v>0</v>
      </c>
      <c r="AA316" s="17">
        <v>0</v>
      </c>
      <c r="AB316" s="17">
        <v>0</v>
      </c>
      <c r="AC316" s="17">
        <v>3.57</v>
      </c>
      <c r="AD316" s="17">
        <v>2.23</v>
      </c>
      <c r="AE316" s="17">
        <v>0</v>
      </c>
      <c r="AF316" s="17">
        <v>0</v>
      </c>
      <c r="AG316" s="17">
        <v>0</v>
      </c>
      <c r="AH316" s="17">
        <v>0</v>
      </c>
      <c r="AI316" s="17">
        <f t="shared" si="19"/>
        <v>4</v>
      </c>
      <c r="AJ316" s="17">
        <f t="shared" si="20"/>
        <v>3</v>
      </c>
      <c r="AK316" s="17">
        <f t="shared" si="21"/>
        <v>5</v>
      </c>
      <c r="AL316" s="17">
        <f t="shared" si="22"/>
        <v>1</v>
      </c>
      <c r="AM316" s="17">
        <f>VLOOKUP(AK316,Sheet1!$A$2:$B$25,2,FALSE)</f>
        <v>1</v>
      </c>
    </row>
    <row r="317" spans="1:39" s="17" customFormat="1" x14ac:dyDescent="0.25">
      <c r="A317" s="21">
        <v>44595.21875</v>
      </c>
      <c r="B317" s="17">
        <v>712.99</v>
      </c>
      <c r="C317" s="17">
        <v>242.11</v>
      </c>
      <c r="D317" s="17">
        <v>195.64</v>
      </c>
      <c r="E317" s="17">
        <v>163.96</v>
      </c>
      <c r="F317" s="17">
        <v>168.38</v>
      </c>
      <c r="G317" s="17">
        <v>155.01</v>
      </c>
      <c r="H317" s="17">
        <v>31.75</v>
      </c>
      <c r="I317" s="17">
        <v>58.71</v>
      </c>
      <c r="J317" s="17">
        <v>34.33</v>
      </c>
      <c r="K317" s="17">
        <v>64.42</v>
      </c>
      <c r="L317" s="17">
        <v>74.8</v>
      </c>
      <c r="M317" s="17">
        <v>24.22</v>
      </c>
      <c r="N317" s="17">
        <v>31.35</v>
      </c>
      <c r="O317" s="17">
        <v>15.18</v>
      </c>
      <c r="P317" s="17">
        <v>27.87</v>
      </c>
      <c r="Q317" s="17">
        <v>13.52</v>
      </c>
      <c r="R317" s="17">
        <v>16.579999999999998</v>
      </c>
      <c r="S317" s="17">
        <v>11.42</v>
      </c>
      <c r="T317" s="17">
        <v>23.89</v>
      </c>
      <c r="U317" s="17">
        <v>1.41</v>
      </c>
      <c r="V317" s="17">
        <v>1.25</v>
      </c>
      <c r="W317" s="17">
        <v>0.92210000000000003</v>
      </c>
      <c r="X317" s="17">
        <v>3.92</v>
      </c>
      <c r="Y317" s="17">
        <v>6.43</v>
      </c>
      <c r="Z317" s="17">
        <v>0</v>
      </c>
      <c r="AA317" s="17">
        <v>0</v>
      </c>
      <c r="AB317" s="17">
        <v>0.88019999999999998</v>
      </c>
      <c r="AC317" s="17">
        <v>0</v>
      </c>
      <c r="AD317" s="17">
        <v>9.75</v>
      </c>
      <c r="AE317" s="17">
        <v>0.69630000000000003</v>
      </c>
      <c r="AF317" s="17">
        <v>0</v>
      </c>
      <c r="AG317" s="17">
        <v>0</v>
      </c>
      <c r="AH317" s="17">
        <v>0</v>
      </c>
      <c r="AI317" s="17">
        <f t="shared" si="19"/>
        <v>4</v>
      </c>
      <c r="AJ317" s="17">
        <f t="shared" si="20"/>
        <v>3</v>
      </c>
      <c r="AK317" s="17">
        <f t="shared" si="21"/>
        <v>5</v>
      </c>
      <c r="AL317" s="17">
        <f t="shared" si="22"/>
        <v>1</v>
      </c>
      <c r="AM317" s="17">
        <f>VLOOKUP(AK317,Sheet1!$A$2:$B$25,2,FALSE)</f>
        <v>1</v>
      </c>
    </row>
    <row r="318" spans="1:39" s="17" customFormat="1" x14ac:dyDescent="0.25">
      <c r="A318" s="21">
        <v>44595.229166666664</v>
      </c>
      <c r="B318" s="17">
        <v>704.38</v>
      </c>
      <c r="C318" s="17">
        <v>241.98</v>
      </c>
      <c r="D318" s="17">
        <v>198.37</v>
      </c>
      <c r="E318" s="17">
        <v>165.6</v>
      </c>
      <c r="F318" s="17">
        <v>172.54</v>
      </c>
      <c r="G318" s="17">
        <v>142.94</v>
      </c>
      <c r="H318" s="17">
        <v>32.159999999999997</v>
      </c>
      <c r="I318" s="17">
        <v>58.46</v>
      </c>
      <c r="J318" s="17">
        <v>31.59</v>
      </c>
      <c r="K318" s="17">
        <v>60.77</v>
      </c>
      <c r="L318" s="17">
        <v>75.650000000000006</v>
      </c>
      <c r="M318" s="17">
        <v>16.27</v>
      </c>
      <c r="N318" s="17">
        <v>30.82</v>
      </c>
      <c r="O318" s="17">
        <v>13.73</v>
      </c>
      <c r="P318" s="17">
        <v>27.79</v>
      </c>
      <c r="Q318" s="17">
        <v>10.9</v>
      </c>
      <c r="R318" s="17">
        <v>13.26</v>
      </c>
      <c r="S318" s="17">
        <v>15.24</v>
      </c>
      <c r="T318" s="17">
        <v>24.68</v>
      </c>
      <c r="U318" s="17">
        <v>1.62</v>
      </c>
      <c r="V318" s="17">
        <v>0</v>
      </c>
      <c r="W318" s="17">
        <v>1.07</v>
      </c>
      <c r="X318" s="17">
        <v>11.74</v>
      </c>
      <c r="Y318" s="17">
        <v>2.57</v>
      </c>
      <c r="Z318" s="17">
        <v>0</v>
      </c>
      <c r="AA318" s="17">
        <v>0</v>
      </c>
      <c r="AB318" s="17">
        <v>1.93</v>
      </c>
      <c r="AC318" s="17">
        <v>0</v>
      </c>
      <c r="AD318" s="17">
        <v>3.36</v>
      </c>
      <c r="AE318" s="17">
        <v>0</v>
      </c>
      <c r="AF318" s="17">
        <v>0</v>
      </c>
      <c r="AG318" s="17">
        <v>0</v>
      </c>
      <c r="AH318" s="17">
        <v>0</v>
      </c>
      <c r="AI318" s="17">
        <f t="shared" si="19"/>
        <v>4</v>
      </c>
      <c r="AJ318" s="17">
        <f t="shared" si="20"/>
        <v>3</v>
      </c>
      <c r="AK318" s="17">
        <f t="shared" si="21"/>
        <v>5</v>
      </c>
      <c r="AL318" s="17">
        <f t="shared" si="22"/>
        <v>1</v>
      </c>
      <c r="AM318" s="17">
        <f>VLOOKUP(AK318,Sheet1!$A$2:$B$25,2,FALSE)</f>
        <v>1</v>
      </c>
    </row>
    <row r="319" spans="1:39" s="17" customFormat="1" x14ac:dyDescent="0.25">
      <c r="A319" s="21">
        <v>44595.239583333336</v>
      </c>
      <c r="B319" s="17">
        <v>771.32</v>
      </c>
      <c r="C319" s="17">
        <v>250.55</v>
      </c>
      <c r="D319" s="17">
        <v>191.78</v>
      </c>
      <c r="E319" s="17">
        <v>165.65</v>
      </c>
      <c r="F319" s="17">
        <v>166.31</v>
      </c>
      <c r="G319" s="17">
        <v>195.77</v>
      </c>
      <c r="H319" s="17">
        <v>27.85</v>
      </c>
      <c r="I319" s="17">
        <v>58.71</v>
      </c>
      <c r="J319" s="17">
        <v>41.21</v>
      </c>
      <c r="K319" s="17">
        <v>73.349999999999994</v>
      </c>
      <c r="L319" s="17">
        <v>73.16</v>
      </c>
      <c r="M319" s="17">
        <v>24.55</v>
      </c>
      <c r="N319" s="17">
        <v>30.61</v>
      </c>
      <c r="O319" s="17">
        <v>21.19</v>
      </c>
      <c r="P319" s="17">
        <v>26.92</v>
      </c>
      <c r="Q319" s="17">
        <v>11.58</v>
      </c>
      <c r="R319" s="17">
        <v>31.92</v>
      </c>
      <c r="S319" s="17">
        <v>11.76</v>
      </c>
      <c r="T319" s="17">
        <v>21.34</v>
      </c>
      <c r="U319" s="17">
        <v>1.83</v>
      </c>
      <c r="V319" s="17">
        <v>5.1100000000000003</v>
      </c>
      <c r="W319" s="17">
        <v>1.21</v>
      </c>
      <c r="X319" s="17">
        <v>10.3</v>
      </c>
      <c r="Y319" s="17">
        <v>7.36</v>
      </c>
      <c r="Z319" s="17">
        <v>0</v>
      </c>
      <c r="AA319" s="17">
        <v>1.83</v>
      </c>
      <c r="AB319" s="17">
        <v>1.21</v>
      </c>
      <c r="AC319" s="17">
        <v>0</v>
      </c>
      <c r="AD319" s="17">
        <v>10.029999999999999</v>
      </c>
      <c r="AE319" s="17">
        <v>3.17</v>
      </c>
      <c r="AF319" s="17">
        <v>0</v>
      </c>
      <c r="AG319" s="17">
        <v>0</v>
      </c>
      <c r="AH319" s="17">
        <v>0</v>
      </c>
      <c r="AI319" s="17">
        <f t="shared" si="19"/>
        <v>4</v>
      </c>
      <c r="AJ319" s="17">
        <f t="shared" si="20"/>
        <v>3</v>
      </c>
      <c r="AK319" s="17">
        <f t="shared" si="21"/>
        <v>5</v>
      </c>
      <c r="AL319" s="17">
        <f t="shared" si="22"/>
        <v>1</v>
      </c>
      <c r="AM319" s="17">
        <f>VLOOKUP(AK319,Sheet1!$A$2:$B$25,2,FALSE)</f>
        <v>1</v>
      </c>
    </row>
    <row r="320" spans="1:39" s="17" customFormat="1" x14ac:dyDescent="0.25">
      <c r="A320" s="21">
        <v>44595.25</v>
      </c>
      <c r="B320" s="17">
        <v>751.16</v>
      </c>
      <c r="C320" s="17">
        <v>250.85</v>
      </c>
      <c r="D320" s="17">
        <v>192.67</v>
      </c>
      <c r="E320" s="17">
        <v>171.27</v>
      </c>
      <c r="F320" s="17">
        <v>167.84</v>
      </c>
      <c r="G320" s="17">
        <v>170.63</v>
      </c>
      <c r="H320" s="17">
        <v>26.98</v>
      </c>
      <c r="I320" s="17">
        <v>58.52</v>
      </c>
      <c r="J320" s="17">
        <v>33.450000000000003</v>
      </c>
      <c r="K320" s="17">
        <v>64.489999999999995</v>
      </c>
      <c r="L320" s="17">
        <v>72.349999999999994</v>
      </c>
      <c r="M320" s="17">
        <v>23.05</v>
      </c>
      <c r="N320" s="17">
        <v>30.2</v>
      </c>
      <c r="O320" s="17">
        <v>9.58</v>
      </c>
      <c r="P320" s="17">
        <v>24.11</v>
      </c>
      <c r="Q320" s="17">
        <v>9.0500000000000007</v>
      </c>
      <c r="R320" s="17">
        <v>28.84</v>
      </c>
      <c r="S320" s="17">
        <v>13.78</v>
      </c>
      <c r="T320" s="17">
        <v>15.49</v>
      </c>
      <c r="U320" s="17">
        <v>2.02</v>
      </c>
      <c r="V320" s="17">
        <v>7.39</v>
      </c>
      <c r="W320" s="17">
        <v>1.22</v>
      </c>
      <c r="X320" s="17">
        <v>6.63</v>
      </c>
      <c r="Y320" s="17">
        <v>7.95</v>
      </c>
      <c r="Z320" s="17">
        <v>3.35</v>
      </c>
      <c r="AA320" s="17">
        <v>2.91</v>
      </c>
      <c r="AB320" s="17">
        <v>0</v>
      </c>
      <c r="AC320" s="17">
        <v>0</v>
      </c>
      <c r="AD320" s="17">
        <v>12.38</v>
      </c>
      <c r="AE320" s="17">
        <v>2.7</v>
      </c>
      <c r="AF320" s="17">
        <v>0</v>
      </c>
      <c r="AG320" s="17">
        <v>0</v>
      </c>
      <c r="AH320" s="17">
        <v>0</v>
      </c>
      <c r="AI320" s="17">
        <f t="shared" si="19"/>
        <v>4</v>
      </c>
      <c r="AJ320" s="17">
        <f t="shared" si="20"/>
        <v>3</v>
      </c>
      <c r="AK320" s="17">
        <f t="shared" si="21"/>
        <v>6</v>
      </c>
      <c r="AL320" s="17">
        <f t="shared" si="22"/>
        <v>1</v>
      </c>
      <c r="AM320" s="17">
        <f>VLOOKUP(AK320,Sheet1!$A$2:$B$25,2,FALSE)</f>
        <v>1</v>
      </c>
    </row>
    <row r="321" spans="1:39" s="17" customFormat="1" x14ac:dyDescent="0.25">
      <c r="A321" s="21">
        <v>44595.260416666664</v>
      </c>
      <c r="B321" s="17">
        <v>763.64</v>
      </c>
      <c r="C321" s="17">
        <v>242.53</v>
      </c>
      <c r="D321" s="17">
        <v>192.6</v>
      </c>
      <c r="E321" s="17">
        <v>170</v>
      </c>
      <c r="F321" s="17">
        <v>169.46</v>
      </c>
      <c r="G321" s="17">
        <v>197.9</v>
      </c>
      <c r="H321" s="17">
        <v>26.67</v>
      </c>
      <c r="I321" s="17">
        <v>65.94</v>
      </c>
      <c r="J321" s="17">
        <v>31.84</v>
      </c>
      <c r="K321" s="17">
        <v>75.150000000000006</v>
      </c>
      <c r="L321" s="17">
        <v>70.98</v>
      </c>
      <c r="M321" s="17">
        <v>21.33</v>
      </c>
      <c r="N321" s="17">
        <v>27.5</v>
      </c>
      <c r="O321" s="17">
        <v>12.51</v>
      </c>
      <c r="P321" s="17">
        <v>24.71</v>
      </c>
      <c r="Q321" s="17">
        <v>8.3699999999999992</v>
      </c>
      <c r="R321" s="17">
        <v>33.369999999999997</v>
      </c>
      <c r="S321" s="17">
        <v>9.02</v>
      </c>
      <c r="T321" s="17">
        <v>12.94</v>
      </c>
      <c r="U321" s="17">
        <v>2.2999999999999998</v>
      </c>
      <c r="V321" s="17">
        <v>3.82</v>
      </c>
      <c r="W321" s="17">
        <v>1.21</v>
      </c>
      <c r="X321" s="17">
        <v>3.91</v>
      </c>
      <c r="Y321" s="17">
        <v>7.99</v>
      </c>
      <c r="Z321" s="17">
        <v>3.5</v>
      </c>
      <c r="AA321" s="17">
        <v>0</v>
      </c>
      <c r="AB321" s="17">
        <v>0</v>
      </c>
      <c r="AC321" s="17">
        <v>0</v>
      </c>
      <c r="AD321" s="17">
        <v>11.72</v>
      </c>
      <c r="AE321" s="17">
        <v>3.23</v>
      </c>
      <c r="AF321" s="17">
        <v>0</v>
      </c>
      <c r="AG321" s="17">
        <v>0</v>
      </c>
      <c r="AH321" s="17">
        <v>0</v>
      </c>
      <c r="AI321" s="17">
        <f t="shared" si="19"/>
        <v>4</v>
      </c>
      <c r="AJ321" s="17">
        <f t="shared" si="20"/>
        <v>3</v>
      </c>
      <c r="AK321" s="17">
        <f t="shared" si="21"/>
        <v>6</v>
      </c>
      <c r="AL321" s="17">
        <f t="shared" si="22"/>
        <v>1</v>
      </c>
      <c r="AM321" s="17">
        <f>VLOOKUP(AK321,Sheet1!$A$2:$B$25,2,FALSE)</f>
        <v>1</v>
      </c>
    </row>
    <row r="322" spans="1:39" s="17" customFormat="1" x14ac:dyDescent="0.25">
      <c r="A322" s="21">
        <v>44595.270833333336</v>
      </c>
      <c r="B322" s="17">
        <v>818.79</v>
      </c>
      <c r="C322" s="17">
        <v>287.87</v>
      </c>
      <c r="D322" s="17">
        <v>192.07</v>
      </c>
      <c r="E322" s="17">
        <v>190.69</v>
      </c>
      <c r="F322" s="17">
        <v>168.35</v>
      </c>
      <c r="G322" s="17">
        <v>195.6</v>
      </c>
      <c r="H322" s="17">
        <v>26.19</v>
      </c>
      <c r="I322" s="17">
        <v>59.14</v>
      </c>
      <c r="J322" s="17">
        <v>65.150000000000006</v>
      </c>
      <c r="K322" s="17">
        <v>74.25</v>
      </c>
      <c r="L322" s="17">
        <v>63.3</v>
      </c>
      <c r="M322" s="17">
        <v>22.05</v>
      </c>
      <c r="N322" s="17">
        <v>27.15</v>
      </c>
      <c r="O322" s="17">
        <v>24.72</v>
      </c>
      <c r="P322" s="17">
        <v>23.36</v>
      </c>
      <c r="Q322" s="17">
        <v>13.3</v>
      </c>
      <c r="R322" s="17">
        <v>34</v>
      </c>
      <c r="S322" s="17">
        <v>15.27</v>
      </c>
      <c r="T322" s="17">
        <v>12.21</v>
      </c>
      <c r="U322" s="17">
        <v>5.82</v>
      </c>
      <c r="V322" s="17">
        <v>9.3000000000000007</v>
      </c>
      <c r="W322" s="17">
        <v>1.21</v>
      </c>
      <c r="X322" s="17">
        <v>5.37</v>
      </c>
      <c r="Y322" s="17">
        <v>8.17</v>
      </c>
      <c r="Z322" s="17">
        <v>5.72</v>
      </c>
      <c r="AA322" s="17">
        <v>5.04</v>
      </c>
      <c r="AB322" s="17">
        <v>0</v>
      </c>
      <c r="AC322" s="17">
        <v>0</v>
      </c>
      <c r="AD322" s="17">
        <v>11.89</v>
      </c>
      <c r="AE322" s="17">
        <v>2.95</v>
      </c>
      <c r="AF322" s="17">
        <v>0</v>
      </c>
      <c r="AG322" s="17">
        <v>0</v>
      </c>
      <c r="AH322" s="17">
        <v>0</v>
      </c>
      <c r="AI322" s="17">
        <f t="shared" si="19"/>
        <v>4</v>
      </c>
      <c r="AJ322" s="17">
        <f t="shared" si="20"/>
        <v>3</v>
      </c>
      <c r="AK322" s="17">
        <f t="shared" si="21"/>
        <v>6</v>
      </c>
      <c r="AL322" s="17">
        <f t="shared" si="22"/>
        <v>1</v>
      </c>
      <c r="AM322" s="17">
        <f>VLOOKUP(AK322,Sheet1!$A$2:$B$25,2,FALSE)</f>
        <v>1</v>
      </c>
    </row>
    <row r="323" spans="1:39" s="17" customFormat="1" x14ac:dyDescent="0.25">
      <c r="A323" s="21">
        <v>44595.28125</v>
      </c>
      <c r="B323" s="17">
        <v>859.39</v>
      </c>
      <c r="C323" s="17">
        <v>322.64</v>
      </c>
      <c r="D323" s="17">
        <v>191.27</v>
      </c>
      <c r="E323" s="17">
        <v>202.51</v>
      </c>
      <c r="F323" s="17">
        <v>167.4</v>
      </c>
      <c r="G323" s="17">
        <v>193.93</v>
      </c>
      <c r="H323" s="17">
        <v>26.66</v>
      </c>
      <c r="I323" s="17">
        <v>58.94</v>
      </c>
      <c r="J323" s="17">
        <v>85.89</v>
      </c>
      <c r="K323" s="17">
        <v>73.91</v>
      </c>
      <c r="L323" s="17">
        <v>63.98</v>
      </c>
      <c r="M323" s="17">
        <v>21.45</v>
      </c>
      <c r="N323" s="17">
        <v>25.62</v>
      </c>
      <c r="O323" s="17">
        <v>25.3</v>
      </c>
      <c r="P323" s="17">
        <v>22.94</v>
      </c>
      <c r="Q323" s="17">
        <v>17.489999999999998</v>
      </c>
      <c r="R323" s="17">
        <v>32.770000000000003</v>
      </c>
      <c r="S323" s="17">
        <v>11.83</v>
      </c>
      <c r="T323" s="17">
        <v>9.8000000000000007</v>
      </c>
      <c r="U323" s="17">
        <v>6.76</v>
      </c>
      <c r="V323" s="17">
        <v>6.52</v>
      </c>
      <c r="W323" s="17">
        <v>1.21</v>
      </c>
      <c r="X323" s="17">
        <v>14.5</v>
      </c>
      <c r="Y323" s="17">
        <v>8.75</v>
      </c>
      <c r="Z323" s="17">
        <v>8.31</v>
      </c>
      <c r="AA323" s="17">
        <v>7.85</v>
      </c>
      <c r="AB323" s="17">
        <v>0</v>
      </c>
      <c r="AC323" s="17">
        <v>0</v>
      </c>
      <c r="AD323" s="17">
        <v>11.92</v>
      </c>
      <c r="AE323" s="17">
        <v>3.12</v>
      </c>
      <c r="AF323" s="17">
        <v>0</v>
      </c>
      <c r="AG323" s="17">
        <v>0</v>
      </c>
      <c r="AH323" s="17">
        <v>0</v>
      </c>
      <c r="AI323" s="17">
        <f t="shared" si="19"/>
        <v>4</v>
      </c>
      <c r="AJ323" s="17">
        <f t="shared" si="20"/>
        <v>3</v>
      </c>
      <c r="AK323" s="17">
        <f t="shared" si="21"/>
        <v>6</v>
      </c>
      <c r="AL323" s="17">
        <f t="shared" si="22"/>
        <v>1</v>
      </c>
      <c r="AM323" s="17">
        <f>VLOOKUP(AK323,Sheet1!$A$2:$B$25,2,FALSE)</f>
        <v>1</v>
      </c>
    </row>
    <row r="324" spans="1:39" s="17" customFormat="1" x14ac:dyDescent="0.25">
      <c r="A324" s="21">
        <v>44595.291666666664</v>
      </c>
      <c r="B324" s="17">
        <v>822.37</v>
      </c>
      <c r="C324" s="17">
        <v>293.31</v>
      </c>
      <c r="D324" s="17">
        <v>192.12</v>
      </c>
      <c r="E324" s="17">
        <v>186.95</v>
      </c>
      <c r="F324" s="17">
        <v>167.74</v>
      </c>
      <c r="G324" s="17">
        <v>194.03</v>
      </c>
      <c r="H324" s="17">
        <v>26.17</v>
      </c>
      <c r="I324" s="17">
        <v>60.84</v>
      </c>
      <c r="J324" s="17">
        <v>67.650000000000006</v>
      </c>
      <c r="K324" s="17">
        <v>73.599999999999994</v>
      </c>
      <c r="L324" s="17">
        <v>71.040000000000006</v>
      </c>
      <c r="M324" s="17">
        <v>24.06</v>
      </c>
      <c r="N324" s="17">
        <v>22.7</v>
      </c>
      <c r="O324" s="17">
        <v>21.14</v>
      </c>
      <c r="P324" s="17">
        <v>22.03</v>
      </c>
      <c r="Q324" s="17">
        <v>14.32</v>
      </c>
      <c r="R324" s="17">
        <v>31.62</v>
      </c>
      <c r="S324" s="17">
        <v>5.13</v>
      </c>
      <c r="T324" s="17">
        <v>8.75</v>
      </c>
      <c r="U324" s="17">
        <v>5.36</v>
      </c>
      <c r="V324" s="17">
        <v>10.79</v>
      </c>
      <c r="W324" s="17">
        <v>1.21</v>
      </c>
      <c r="X324" s="17">
        <v>11.49</v>
      </c>
      <c r="Y324" s="17">
        <v>8.2200000000000006</v>
      </c>
      <c r="Z324" s="17">
        <v>8.52</v>
      </c>
      <c r="AA324" s="17">
        <v>3.99</v>
      </c>
      <c r="AB324" s="17">
        <v>0</v>
      </c>
      <c r="AC324" s="17">
        <v>0</v>
      </c>
      <c r="AD324" s="17">
        <v>11.9</v>
      </c>
      <c r="AE324" s="17">
        <v>2.95</v>
      </c>
      <c r="AF324" s="17">
        <v>0.49890000000000001</v>
      </c>
      <c r="AG324" s="17">
        <v>0</v>
      </c>
      <c r="AH324" s="17">
        <v>0</v>
      </c>
      <c r="AI324" s="17">
        <f t="shared" si="19"/>
        <v>4</v>
      </c>
      <c r="AJ324" s="17">
        <f t="shared" si="20"/>
        <v>3</v>
      </c>
      <c r="AK324" s="17">
        <f t="shared" si="21"/>
        <v>7</v>
      </c>
      <c r="AL324" s="17">
        <f t="shared" si="22"/>
        <v>1</v>
      </c>
      <c r="AM324" s="17">
        <f>VLOOKUP(AK324,Sheet1!$A$2:$B$25,2,FALSE)</f>
        <v>1</v>
      </c>
    </row>
    <row r="325" spans="1:39" s="17" customFormat="1" x14ac:dyDescent="0.25">
      <c r="A325" s="21">
        <v>44595.302083333336</v>
      </c>
      <c r="B325" s="17">
        <v>838.11</v>
      </c>
      <c r="C325" s="17">
        <v>319.19</v>
      </c>
      <c r="D325" s="17">
        <v>190.74</v>
      </c>
      <c r="E325" s="17">
        <v>203.96</v>
      </c>
      <c r="F325" s="17">
        <v>167.96</v>
      </c>
      <c r="G325" s="17">
        <v>190.1</v>
      </c>
      <c r="H325" s="17">
        <v>24.63</v>
      </c>
      <c r="I325" s="17">
        <v>56.98</v>
      </c>
      <c r="J325" s="17">
        <v>83.09</v>
      </c>
      <c r="K325" s="17">
        <v>72.930000000000007</v>
      </c>
      <c r="L325" s="17">
        <v>66.349999999999994</v>
      </c>
      <c r="M325" s="17">
        <v>21.3</v>
      </c>
      <c r="N325" s="17">
        <v>22.85</v>
      </c>
      <c r="O325" s="17">
        <v>22</v>
      </c>
      <c r="P325" s="17">
        <v>19.12</v>
      </c>
      <c r="Q325" s="17">
        <v>15.11</v>
      </c>
      <c r="R325" s="17">
        <v>32.659999999999997</v>
      </c>
      <c r="S325" s="17">
        <v>8.14</v>
      </c>
      <c r="T325" s="17">
        <v>6.95</v>
      </c>
      <c r="U325" s="17">
        <v>6.73</v>
      </c>
      <c r="V325" s="17">
        <v>8.0299999999999994</v>
      </c>
      <c r="W325" s="17">
        <v>1.41</v>
      </c>
      <c r="X325" s="17">
        <v>10.55</v>
      </c>
      <c r="Y325" s="17">
        <v>8.6</v>
      </c>
      <c r="Z325" s="17">
        <v>8.8800000000000008</v>
      </c>
      <c r="AA325" s="17">
        <v>5.9</v>
      </c>
      <c r="AB325" s="17">
        <v>0</v>
      </c>
      <c r="AC325" s="17">
        <v>0</v>
      </c>
      <c r="AD325" s="17">
        <v>11.89</v>
      </c>
      <c r="AE325" s="17">
        <v>2.96</v>
      </c>
      <c r="AF325" s="17">
        <v>0</v>
      </c>
      <c r="AG325" s="17">
        <v>0</v>
      </c>
      <c r="AH325" s="17">
        <v>0</v>
      </c>
      <c r="AI325" s="17">
        <f t="shared" si="19"/>
        <v>4</v>
      </c>
      <c r="AJ325" s="17">
        <f t="shared" si="20"/>
        <v>3</v>
      </c>
      <c r="AK325" s="17">
        <f t="shared" si="21"/>
        <v>7</v>
      </c>
      <c r="AL325" s="17">
        <f t="shared" si="22"/>
        <v>1</v>
      </c>
      <c r="AM325" s="17">
        <f>VLOOKUP(AK325,Sheet1!$A$2:$B$25,2,FALSE)</f>
        <v>1</v>
      </c>
    </row>
    <row r="326" spans="1:39" s="17" customFormat="1" x14ac:dyDescent="0.25">
      <c r="A326" s="21">
        <v>44595.3125</v>
      </c>
      <c r="B326" s="17">
        <v>855.56</v>
      </c>
      <c r="C326" s="17">
        <v>320.27</v>
      </c>
      <c r="D326" s="17">
        <v>191.37</v>
      </c>
      <c r="E326" s="17">
        <v>198.91</v>
      </c>
      <c r="F326" s="17">
        <v>167.47</v>
      </c>
      <c r="G326" s="17">
        <v>190.16</v>
      </c>
      <c r="H326" s="17">
        <v>25.39</v>
      </c>
      <c r="I326" s="17">
        <v>60.62</v>
      </c>
      <c r="J326" s="17">
        <v>87.75</v>
      </c>
      <c r="K326" s="17">
        <v>73.87</v>
      </c>
      <c r="L326" s="17">
        <v>65.81</v>
      </c>
      <c r="M326" s="17">
        <v>21.85</v>
      </c>
      <c r="N326" s="17">
        <v>23.47</v>
      </c>
      <c r="O326" s="17">
        <v>28.41</v>
      </c>
      <c r="P326" s="17">
        <v>20.92</v>
      </c>
      <c r="Q326" s="17">
        <v>14.77</v>
      </c>
      <c r="R326" s="17">
        <v>31.69</v>
      </c>
      <c r="S326" s="17">
        <v>17.05</v>
      </c>
      <c r="T326" s="17">
        <v>8.17</v>
      </c>
      <c r="U326" s="17">
        <v>6.45</v>
      </c>
      <c r="V326" s="17">
        <v>11.71</v>
      </c>
      <c r="W326" s="17">
        <v>2.3199999999999998</v>
      </c>
      <c r="X326" s="17">
        <v>12.78</v>
      </c>
      <c r="Y326" s="17">
        <v>8.67</v>
      </c>
      <c r="Z326" s="17">
        <v>8.75</v>
      </c>
      <c r="AA326" s="17">
        <v>7.73</v>
      </c>
      <c r="AB326" s="17">
        <v>0</v>
      </c>
      <c r="AC326" s="17">
        <v>0</v>
      </c>
      <c r="AD326" s="17">
        <v>5.55</v>
      </c>
      <c r="AE326" s="17">
        <v>3.07</v>
      </c>
      <c r="AF326" s="17">
        <v>0</v>
      </c>
      <c r="AG326" s="17">
        <v>0</v>
      </c>
      <c r="AH326" s="17">
        <v>0</v>
      </c>
      <c r="AI326" s="17">
        <f t="shared" si="19"/>
        <v>4</v>
      </c>
      <c r="AJ326" s="17">
        <f t="shared" si="20"/>
        <v>3</v>
      </c>
      <c r="AK326" s="17">
        <f t="shared" si="21"/>
        <v>7</v>
      </c>
      <c r="AL326" s="17">
        <f t="shared" si="22"/>
        <v>1</v>
      </c>
      <c r="AM326" s="17">
        <f>VLOOKUP(AK326,Sheet1!$A$2:$B$25,2,FALSE)</f>
        <v>1</v>
      </c>
    </row>
    <row r="327" spans="1:39" s="17" customFormat="1" x14ac:dyDescent="0.25">
      <c r="A327" s="21">
        <v>44595.322916666664</v>
      </c>
      <c r="B327" s="17">
        <v>862.98</v>
      </c>
      <c r="C327" s="17">
        <v>314.85000000000002</v>
      </c>
      <c r="D327" s="17">
        <v>206.14</v>
      </c>
      <c r="E327" s="17">
        <v>199.64</v>
      </c>
      <c r="F327" s="17">
        <v>174.65</v>
      </c>
      <c r="G327" s="17">
        <v>189.95</v>
      </c>
      <c r="H327" s="17">
        <v>38.090000000000003</v>
      </c>
      <c r="I327" s="17">
        <v>58.6</v>
      </c>
      <c r="J327" s="17">
        <v>84.82</v>
      </c>
      <c r="K327" s="17">
        <v>73.86</v>
      </c>
      <c r="L327" s="17">
        <v>59.72</v>
      </c>
      <c r="M327" s="17">
        <v>21.41</v>
      </c>
      <c r="N327" s="17">
        <v>22.47</v>
      </c>
      <c r="O327" s="17">
        <v>25.4</v>
      </c>
      <c r="P327" s="17">
        <v>19.86</v>
      </c>
      <c r="Q327" s="17">
        <v>16.04</v>
      </c>
      <c r="R327" s="17">
        <v>30.59</v>
      </c>
      <c r="S327" s="17">
        <v>16.84</v>
      </c>
      <c r="T327" s="17">
        <v>7.53</v>
      </c>
      <c r="U327" s="17">
        <v>6.59</v>
      </c>
      <c r="V327" s="17">
        <v>13.43</v>
      </c>
      <c r="W327" s="17">
        <v>2.5299999999999998</v>
      </c>
      <c r="X327" s="17">
        <v>12.91</v>
      </c>
      <c r="Y327" s="17">
        <v>8.56</v>
      </c>
      <c r="Z327" s="17">
        <v>8.82</v>
      </c>
      <c r="AA327" s="17">
        <v>8.67</v>
      </c>
      <c r="AB327" s="17">
        <v>1.35</v>
      </c>
      <c r="AC327" s="17">
        <v>0</v>
      </c>
      <c r="AD327" s="17">
        <v>3</v>
      </c>
      <c r="AE327" s="17">
        <v>2.98</v>
      </c>
      <c r="AF327" s="17">
        <v>0</v>
      </c>
      <c r="AG327" s="17">
        <v>0</v>
      </c>
      <c r="AH327" s="17">
        <v>0</v>
      </c>
      <c r="AI327" s="17">
        <f t="shared" si="19"/>
        <v>4</v>
      </c>
      <c r="AJ327" s="17">
        <f t="shared" si="20"/>
        <v>3</v>
      </c>
      <c r="AK327" s="17">
        <f t="shared" si="21"/>
        <v>7</v>
      </c>
      <c r="AL327" s="17">
        <f t="shared" si="22"/>
        <v>1</v>
      </c>
      <c r="AM327" s="17">
        <f>VLOOKUP(AK327,Sheet1!$A$2:$B$25,2,FALSE)</f>
        <v>1</v>
      </c>
    </row>
    <row r="328" spans="1:39" s="17" customFormat="1" x14ac:dyDescent="0.25">
      <c r="A328" s="21">
        <v>44595.333333333336</v>
      </c>
      <c r="B328" s="17">
        <v>835.09</v>
      </c>
      <c r="C328" s="17">
        <v>311.48</v>
      </c>
      <c r="D328" s="17">
        <v>193.39</v>
      </c>
      <c r="E328" s="17">
        <v>202.14</v>
      </c>
      <c r="F328" s="17">
        <v>171.06</v>
      </c>
      <c r="G328" s="17">
        <v>190.35</v>
      </c>
      <c r="H328" s="17">
        <v>29.51</v>
      </c>
      <c r="I328" s="17">
        <v>57.42</v>
      </c>
      <c r="J328" s="17">
        <v>86.15</v>
      </c>
      <c r="K328" s="17">
        <v>74.61</v>
      </c>
      <c r="L328" s="17">
        <v>56.54</v>
      </c>
      <c r="M328" s="17">
        <v>13.88</v>
      </c>
      <c r="N328" s="17">
        <v>20.56</v>
      </c>
      <c r="O328" s="17">
        <v>28.37</v>
      </c>
      <c r="P328" s="17">
        <v>19.37</v>
      </c>
      <c r="Q328" s="17">
        <v>15.53</v>
      </c>
      <c r="R328" s="17">
        <v>29.54</v>
      </c>
      <c r="S328" s="17">
        <v>12.11</v>
      </c>
      <c r="T328" s="17">
        <v>8.9600000000000009</v>
      </c>
      <c r="U328" s="17">
        <v>6.53</v>
      </c>
      <c r="V328" s="17">
        <v>13.17</v>
      </c>
      <c r="W328" s="17">
        <v>2.31</v>
      </c>
      <c r="X328" s="17">
        <v>13.9</v>
      </c>
      <c r="Y328" s="17">
        <v>8.41</v>
      </c>
      <c r="Z328" s="17">
        <v>8.7100000000000009</v>
      </c>
      <c r="AA328" s="17">
        <v>6.78</v>
      </c>
      <c r="AB328" s="17">
        <v>0</v>
      </c>
      <c r="AC328" s="17">
        <v>0</v>
      </c>
      <c r="AD328" s="17">
        <v>0</v>
      </c>
      <c r="AE328" s="17">
        <v>2.93</v>
      </c>
      <c r="AF328" s="17">
        <v>0</v>
      </c>
      <c r="AG328" s="17">
        <v>0</v>
      </c>
      <c r="AH328" s="17">
        <v>0</v>
      </c>
      <c r="AI328" s="17">
        <f t="shared" ref="AI328:AI391" si="23">WEEKDAY(A328,2)</f>
        <v>4</v>
      </c>
      <c r="AJ328" s="17">
        <f t="shared" ref="AJ328:AJ391" si="24">DAY(A328)</f>
        <v>3</v>
      </c>
      <c r="AK328" s="17">
        <f t="shared" ref="AK328:AK391" si="25">HOUR(A328)</f>
        <v>8</v>
      </c>
      <c r="AL328" s="17">
        <f t="shared" ref="AL328:AL391" si="26">IF(AI328&gt;=6,0,1)</f>
        <v>1</v>
      </c>
      <c r="AM328" s="17">
        <f>VLOOKUP(AK328,Sheet1!$A$2:$B$25,2,FALSE)</f>
        <v>1</v>
      </c>
    </row>
    <row r="329" spans="1:39" s="17" customFormat="1" x14ac:dyDescent="0.25">
      <c r="A329" s="21">
        <v>44595.34375</v>
      </c>
      <c r="B329" s="17">
        <v>817.33</v>
      </c>
      <c r="C329" s="17">
        <v>306.20999999999998</v>
      </c>
      <c r="D329" s="17">
        <v>189.15</v>
      </c>
      <c r="E329" s="17">
        <v>200.8</v>
      </c>
      <c r="F329" s="17">
        <v>167.41</v>
      </c>
      <c r="G329" s="17">
        <v>190.62</v>
      </c>
      <c r="H329" s="17">
        <v>29.48</v>
      </c>
      <c r="I329" s="17">
        <v>56.13</v>
      </c>
      <c r="J329" s="17">
        <v>85.78</v>
      </c>
      <c r="K329" s="17">
        <v>75.33</v>
      </c>
      <c r="L329" s="17">
        <v>50.93</v>
      </c>
      <c r="M329" s="17">
        <v>14.96</v>
      </c>
      <c r="N329" s="17">
        <v>21.03</v>
      </c>
      <c r="O329" s="17">
        <v>24.32</v>
      </c>
      <c r="P329" s="17">
        <v>19.079999999999998</v>
      </c>
      <c r="Q329" s="17">
        <v>15.67</v>
      </c>
      <c r="R329" s="17">
        <v>30.1</v>
      </c>
      <c r="S329" s="17">
        <v>11.45</v>
      </c>
      <c r="T329" s="17">
        <v>9.4700000000000006</v>
      </c>
      <c r="U329" s="17">
        <v>6.28</v>
      </c>
      <c r="V329" s="17">
        <v>15.78</v>
      </c>
      <c r="W329" s="17">
        <v>1.93</v>
      </c>
      <c r="X329" s="17">
        <v>4.22</v>
      </c>
      <c r="Y329" s="17">
        <v>8.48</v>
      </c>
      <c r="Z329" s="17">
        <v>8.5399999999999991</v>
      </c>
      <c r="AA329" s="17">
        <v>7.66</v>
      </c>
      <c r="AB329" s="17">
        <v>0</v>
      </c>
      <c r="AC329" s="17">
        <v>0</v>
      </c>
      <c r="AD329" s="17">
        <v>0</v>
      </c>
      <c r="AE329" s="17">
        <v>2.86</v>
      </c>
      <c r="AF329" s="17">
        <v>0.51790000000000003</v>
      </c>
      <c r="AG329" s="17">
        <v>0</v>
      </c>
      <c r="AH329" s="17">
        <v>0</v>
      </c>
      <c r="AI329" s="17">
        <f t="shared" si="23"/>
        <v>4</v>
      </c>
      <c r="AJ329" s="17">
        <f t="shared" si="24"/>
        <v>3</v>
      </c>
      <c r="AK329" s="17">
        <f t="shared" si="25"/>
        <v>8</v>
      </c>
      <c r="AL329" s="17">
        <f t="shared" si="26"/>
        <v>1</v>
      </c>
      <c r="AM329" s="17">
        <f>VLOOKUP(AK329,Sheet1!$A$2:$B$25,2,FALSE)</f>
        <v>1</v>
      </c>
    </row>
    <row r="330" spans="1:39" s="17" customFormat="1" x14ac:dyDescent="0.25">
      <c r="A330" s="21">
        <v>44595.354166666664</v>
      </c>
      <c r="B330" s="17">
        <v>839.84</v>
      </c>
      <c r="C330" s="17">
        <v>308.3</v>
      </c>
      <c r="D330" s="17">
        <v>197.23</v>
      </c>
      <c r="E330" s="17">
        <v>201.83</v>
      </c>
      <c r="F330" s="17">
        <v>171.21</v>
      </c>
      <c r="G330" s="17">
        <v>191.94</v>
      </c>
      <c r="H330" s="17">
        <v>31.8</v>
      </c>
      <c r="I330" s="17">
        <v>55.73</v>
      </c>
      <c r="J330" s="17">
        <v>84.1</v>
      </c>
      <c r="K330" s="17">
        <v>74.27</v>
      </c>
      <c r="L330" s="17">
        <v>60.9</v>
      </c>
      <c r="M330" s="17">
        <v>20.11</v>
      </c>
      <c r="N330" s="17">
        <v>20.61</v>
      </c>
      <c r="O330" s="17">
        <v>22.46</v>
      </c>
      <c r="P330" s="17">
        <v>17.88</v>
      </c>
      <c r="Q330" s="17">
        <v>16.010000000000002</v>
      </c>
      <c r="R330" s="17">
        <v>32.369999999999997</v>
      </c>
      <c r="S330" s="17">
        <v>15.62</v>
      </c>
      <c r="T330" s="17">
        <v>10.41</v>
      </c>
      <c r="U330" s="17">
        <v>6.64</v>
      </c>
      <c r="V330" s="17">
        <v>11.54</v>
      </c>
      <c r="W330" s="17">
        <v>2.37</v>
      </c>
      <c r="X330" s="17">
        <v>11.11</v>
      </c>
      <c r="Y330" s="17">
        <v>8.4600000000000009</v>
      </c>
      <c r="Z330" s="17">
        <v>8.59</v>
      </c>
      <c r="AA330" s="17">
        <v>7.79</v>
      </c>
      <c r="AB330" s="17">
        <v>0</v>
      </c>
      <c r="AC330" s="17">
        <v>5.64</v>
      </c>
      <c r="AD330" s="17">
        <v>0</v>
      </c>
      <c r="AE330" s="17">
        <v>2.66</v>
      </c>
      <c r="AF330" s="17">
        <v>0</v>
      </c>
      <c r="AG330" s="17">
        <v>0</v>
      </c>
      <c r="AH330" s="17">
        <v>0</v>
      </c>
      <c r="AI330" s="17">
        <f t="shared" si="23"/>
        <v>4</v>
      </c>
      <c r="AJ330" s="17">
        <f t="shared" si="24"/>
        <v>3</v>
      </c>
      <c r="AK330" s="17">
        <f t="shared" si="25"/>
        <v>8</v>
      </c>
      <c r="AL330" s="17">
        <f t="shared" si="26"/>
        <v>1</v>
      </c>
      <c r="AM330" s="17">
        <f>VLOOKUP(AK330,Sheet1!$A$2:$B$25,2,FALSE)</f>
        <v>1</v>
      </c>
    </row>
    <row r="331" spans="1:39" s="17" customFormat="1" x14ac:dyDescent="0.25">
      <c r="A331" s="21">
        <v>44595.364583333336</v>
      </c>
      <c r="B331" s="17">
        <v>868.41</v>
      </c>
      <c r="C331" s="17">
        <v>312.7</v>
      </c>
      <c r="D331" s="17">
        <v>209.64</v>
      </c>
      <c r="E331" s="17">
        <v>200</v>
      </c>
      <c r="F331" s="17">
        <v>169.99</v>
      </c>
      <c r="G331" s="17">
        <v>192.55</v>
      </c>
      <c r="H331" s="17">
        <v>33.31</v>
      </c>
      <c r="I331" s="17">
        <v>60.74</v>
      </c>
      <c r="J331" s="17">
        <v>85.64</v>
      </c>
      <c r="K331" s="17">
        <v>74.3</v>
      </c>
      <c r="L331" s="17">
        <v>64.569999999999993</v>
      </c>
      <c r="M331" s="17">
        <v>15.33</v>
      </c>
      <c r="N331" s="17">
        <v>21.64</v>
      </c>
      <c r="O331" s="17">
        <v>28.49</v>
      </c>
      <c r="P331" s="17">
        <v>16.54</v>
      </c>
      <c r="Q331" s="17">
        <v>15.15</v>
      </c>
      <c r="R331" s="17">
        <v>31.81</v>
      </c>
      <c r="S331" s="17">
        <v>14.97</v>
      </c>
      <c r="T331" s="17">
        <v>11.41</v>
      </c>
      <c r="U331" s="17">
        <v>6.59</v>
      </c>
      <c r="V331" s="17">
        <v>9.08</v>
      </c>
      <c r="W331" s="17">
        <v>2.2799999999999998</v>
      </c>
      <c r="X331" s="17">
        <v>11.86</v>
      </c>
      <c r="Y331" s="17">
        <v>8.75</v>
      </c>
      <c r="Z331" s="17">
        <v>8.76</v>
      </c>
      <c r="AA331" s="17">
        <v>8.11</v>
      </c>
      <c r="AB331" s="17">
        <v>3.87</v>
      </c>
      <c r="AC331" s="17">
        <v>10.84</v>
      </c>
      <c r="AD331" s="17">
        <v>0</v>
      </c>
      <c r="AE331" s="17">
        <v>2.82</v>
      </c>
      <c r="AF331" s="17">
        <v>0</v>
      </c>
      <c r="AG331" s="17">
        <v>0.1145</v>
      </c>
      <c r="AH331" s="17">
        <v>0</v>
      </c>
      <c r="AI331" s="17">
        <f t="shared" si="23"/>
        <v>4</v>
      </c>
      <c r="AJ331" s="17">
        <f t="shared" si="24"/>
        <v>3</v>
      </c>
      <c r="AK331" s="17">
        <f t="shared" si="25"/>
        <v>8</v>
      </c>
      <c r="AL331" s="17">
        <f t="shared" si="26"/>
        <v>1</v>
      </c>
      <c r="AM331" s="17">
        <f>VLOOKUP(AK331,Sheet1!$A$2:$B$25,2,FALSE)</f>
        <v>1</v>
      </c>
    </row>
    <row r="332" spans="1:39" s="17" customFormat="1" x14ac:dyDescent="0.25">
      <c r="A332" s="21">
        <v>44595.375</v>
      </c>
      <c r="B332" s="17">
        <v>842.63</v>
      </c>
      <c r="C332" s="17">
        <v>312.89</v>
      </c>
      <c r="D332" s="17">
        <v>197.6</v>
      </c>
      <c r="E332" s="17">
        <v>202.02</v>
      </c>
      <c r="F332" s="17">
        <v>161.85</v>
      </c>
      <c r="G332" s="17">
        <v>191.26</v>
      </c>
      <c r="H332" s="17">
        <v>30.31</v>
      </c>
      <c r="I332" s="17">
        <v>55.86</v>
      </c>
      <c r="J332" s="17">
        <v>86.51</v>
      </c>
      <c r="K332" s="17">
        <v>75.17</v>
      </c>
      <c r="L332" s="17">
        <v>61.51</v>
      </c>
      <c r="M332" s="17">
        <v>18.43</v>
      </c>
      <c r="N332" s="17">
        <v>22.04</v>
      </c>
      <c r="O332" s="17">
        <v>23.08</v>
      </c>
      <c r="P332" s="17">
        <v>17.52</v>
      </c>
      <c r="Q332" s="17">
        <v>15.49</v>
      </c>
      <c r="R332" s="17">
        <v>30.67</v>
      </c>
      <c r="S332" s="17">
        <v>16.14</v>
      </c>
      <c r="T332" s="17">
        <v>11</v>
      </c>
      <c r="U332" s="17">
        <v>6.42</v>
      </c>
      <c r="V332" s="17">
        <v>13.14</v>
      </c>
      <c r="W332" s="17">
        <v>1.58</v>
      </c>
      <c r="X332" s="17">
        <v>11.79</v>
      </c>
      <c r="Y332" s="17">
        <v>8.56</v>
      </c>
      <c r="Z332" s="17">
        <v>8.7799999999999994</v>
      </c>
      <c r="AA332" s="17">
        <v>7.84</v>
      </c>
      <c r="AB332" s="17">
        <v>1.26</v>
      </c>
      <c r="AC332" s="17">
        <v>0</v>
      </c>
      <c r="AD332" s="17">
        <v>0</v>
      </c>
      <c r="AE332" s="17">
        <v>2.83</v>
      </c>
      <c r="AF332" s="17">
        <v>0</v>
      </c>
      <c r="AG332" s="17">
        <v>0</v>
      </c>
      <c r="AH332" s="17">
        <v>0</v>
      </c>
      <c r="AI332" s="17">
        <f t="shared" si="23"/>
        <v>4</v>
      </c>
      <c r="AJ332" s="17">
        <f t="shared" si="24"/>
        <v>3</v>
      </c>
      <c r="AK332" s="17">
        <f t="shared" si="25"/>
        <v>9</v>
      </c>
      <c r="AL332" s="17">
        <f t="shared" si="26"/>
        <v>1</v>
      </c>
      <c r="AM332" s="17">
        <f>VLOOKUP(AK332,Sheet1!$A$2:$B$25,2,FALSE)</f>
        <v>1</v>
      </c>
    </row>
    <row r="333" spans="1:39" s="17" customFormat="1" x14ac:dyDescent="0.25">
      <c r="A333" s="21">
        <v>44595.385416666664</v>
      </c>
      <c r="B333" s="17">
        <v>848.75</v>
      </c>
      <c r="C333" s="17">
        <v>310.19</v>
      </c>
      <c r="D333" s="17">
        <v>197.12</v>
      </c>
      <c r="E333" s="17">
        <v>201.18</v>
      </c>
      <c r="F333" s="17">
        <v>167.58</v>
      </c>
      <c r="G333" s="17">
        <v>193.22</v>
      </c>
      <c r="H333" s="17">
        <v>27.52</v>
      </c>
      <c r="I333" s="17">
        <v>58.19</v>
      </c>
      <c r="J333" s="17">
        <v>87.18</v>
      </c>
      <c r="K333" s="17">
        <v>73.87</v>
      </c>
      <c r="L333" s="17">
        <v>55.43</v>
      </c>
      <c r="M333" s="17">
        <v>21.52</v>
      </c>
      <c r="N333" s="17">
        <v>22.34</v>
      </c>
      <c r="O333" s="17">
        <v>19.27</v>
      </c>
      <c r="P333" s="17">
        <v>18.559999999999999</v>
      </c>
      <c r="Q333" s="17">
        <v>14.79</v>
      </c>
      <c r="R333" s="17">
        <v>32.229999999999997</v>
      </c>
      <c r="S333" s="17">
        <v>17.940000000000001</v>
      </c>
      <c r="T333" s="17">
        <v>13.49</v>
      </c>
      <c r="U333" s="17">
        <v>6.41</v>
      </c>
      <c r="V333" s="17">
        <v>12.75</v>
      </c>
      <c r="W333" s="17">
        <v>1.49</v>
      </c>
      <c r="X333" s="17">
        <v>15.92</v>
      </c>
      <c r="Y333" s="17">
        <v>8.64</v>
      </c>
      <c r="Z333" s="17">
        <v>8.6199999999999992</v>
      </c>
      <c r="AA333" s="17">
        <v>7.6</v>
      </c>
      <c r="AB333" s="17">
        <v>0</v>
      </c>
      <c r="AC333" s="17">
        <v>0</v>
      </c>
      <c r="AD333" s="17">
        <v>0</v>
      </c>
      <c r="AE333" s="17">
        <v>3.06</v>
      </c>
      <c r="AF333" s="17">
        <v>0</v>
      </c>
      <c r="AG333" s="17">
        <v>0</v>
      </c>
      <c r="AH333" s="17">
        <v>0</v>
      </c>
      <c r="AI333" s="17">
        <f t="shared" si="23"/>
        <v>4</v>
      </c>
      <c r="AJ333" s="17">
        <f t="shared" si="24"/>
        <v>3</v>
      </c>
      <c r="AK333" s="17">
        <f t="shared" si="25"/>
        <v>9</v>
      </c>
      <c r="AL333" s="17">
        <f t="shared" si="26"/>
        <v>1</v>
      </c>
      <c r="AM333" s="17">
        <f>VLOOKUP(AK333,Sheet1!$A$2:$B$25,2,FALSE)</f>
        <v>1</v>
      </c>
    </row>
    <row r="334" spans="1:39" s="17" customFormat="1" x14ac:dyDescent="0.25">
      <c r="A334" s="21">
        <v>44595.395833333336</v>
      </c>
      <c r="B334" s="17">
        <v>849.74</v>
      </c>
      <c r="C334" s="17">
        <v>297.76</v>
      </c>
      <c r="D334" s="17">
        <v>206.16</v>
      </c>
      <c r="E334" s="17">
        <v>198.01</v>
      </c>
      <c r="F334" s="17">
        <v>173.57</v>
      </c>
      <c r="G334" s="17">
        <v>198.46</v>
      </c>
      <c r="H334" s="17">
        <v>33.44</v>
      </c>
      <c r="I334" s="17">
        <v>55.21</v>
      </c>
      <c r="J334" s="17">
        <v>77.3</v>
      </c>
      <c r="K334" s="17">
        <v>73.84</v>
      </c>
      <c r="L334" s="17">
        <v>51.81</v>
      </c>
      <c r="M334" s="17">
        <v>20.73</v>
      </c>
      <c r="N334" s="17">
        <v>22.78</v>
      </c>
      <c r="O334" s="17">
        <v>22.67</v>
      </c>
      <c r="P334" s="17">
        <v>20.09</v>
      </c>
      <c r="Q334" s="17">
        <v>15.83</v>
      </c>
      <c r="R334" s="17">
        <v>32.26</v>
      </c>
      <c r="S334" s="17">
        <v>16.579999999999998</v>
      </c>
      <c r="T334" s="17">
        <v>19.18</v>
      </c>
      <c r="U334" s="17">
        <v>6.1</v>
      </c>
      <c r="V334" s="17">
        <v>14.5</v>
      </c>
      <c r="W334" s="17">
        <v>2.27</v>
      </c>
      <c r="X334" s="17">
        <v>13.35</v>
      </c>
      <c r="Y334" s="17">
        <v>8.43</v>
      </c>
      <c r="Z334" s="17">
        <v>8.84</v>
      </c>
      <c r="AA334" s="17">
        <v>7.94</v>
      </c>
      <c r="AB334" s="17">
        <v>2.42</v>
      </c>
      <c r="AC334" s="17">
        <v>0</v>
      </c>
      <c r="AD334" s="17">
        <v>0</v>
      </c>
      <c r="AE334" s="17">
        <v>2.79</v>
      </c>
      <c r="AF334" s="17">
        <v>0</v>
      </c>
      <c r="AG334" s="17">
        <v>0</v>
      </c>
      <c r="AH334" s="17">
        <v>0</v>
      </c>
      <c r="AI334" s="17">
        <f t="shared" si="23"/>
        <v>4</v>
      </c>
      <c r="AJ334" s="17">
        <f t="shared" si="24"/>
        <v>3</v>
      </c>
      <c r="AK334" s="17">
        <f t="shared" si="25"/>
        <v>9</v>
      </c>
      <c r="AL334" s="17">
        <f t="shared" si="26"/>
        <v>1</v>
      </c>
      <c r="AM334" s="17">
        <f>VLOOKUP(AK334,Sheet1!$A$2:$B$25,2,FALSE)</f>
        <v>1</v>
      </c>
    </row>
    <row r="335" spans="1:39" s="17" customFormat="1" x14ac:dyDescent="0.25">
      <c r="A335" s="21">
        <v>44595.40625</v>
      </c>
      <c r="B335" s="17">
        <v>782.63</v>
      </c>
      <c r="C335" s="17">
        <v>289.97000000000003</v>
      </c>
      <c r="D335" s="17">
        <v>196.39</v>
      </c>
      <c r="E335" s="17">
        <v>192.5</v>
      </c>
      <c r="F335" s="17">
        <v>169.83</v>
      </c>
      <c r="G335" s="17">
        <v>175.52</v>
      </c>
      <c r="H335" s="17">
        <v>26.12</v>
      </c>
      <c r="I335" s="17">
        <v>57.73</v>
      </c>
      <c r="J335" s="17">
        <v>69.2</v>
      </c>
      <c r="K335" s="17">
        <v>69.47</v>
      </c>
      <c r="L335" s="17">
        <v>58.16</v>
      </c>
      <c r="M335" s="17">
        <v>18.45</v>
      </c>
      <c r="N335" s="17">
        <v>22.42</v>
      </c>
      <c r="O335" s="17">
        <v>16.14</v>
      </c>
      <c r="P335" s="17">
        <v>18.98</v>
      </c>
      <c r="Q335" s="17">
        <v>10.58</v>
      </c>
      <c r="R335" s="17">
        <v>24.14</v>
      </c>
      <c r="S335" s="17">
        <v>7.48</v>
      </c>
      <c r="T335" s="17">
        <v>17.98</v>
      </c>
      <c r="U335" s="17">
        <v>5.7</v>
      </c>
      <c r="V335" s="17">
        <v>5.92</v>
      </c>
      <c r="W335" s="17">
        <v>1.74</v>
      </c>
      <c r="X335" s="17">
        <v>5.31</v>
      </c>
      <c r="Y335" s="17">
        <v>7.38</v>
      </c>
      <c r="Z335" s="17">
        <v>4.37</v>
      </c>
      <c r="AA335" s="17">
        <v>3.57</v>
      </c>
      <c r="AB335" s="17">
        <v>10.01</v>
      </c>
      <c r="AC335" s="17">
        <v>0</v>
      </c>
      <c r="AD335" s="17">
        <v>0</v>
      </c>
      <c r="AE335" s="17">
        <v>1.98</v>
      </c>
      <c r="AF335" s="17">
        <v>0</v>
      </c>
      <c r="AG335" s="17">
        <v>0</v>
      </c>
      <c r="AH335" s="17">
        <v>0</v>
      </c>
      <c r="AI335" s="17">
        <f t="shared" si="23"/>
        <v>4</v>
      </c>
      <c r="AJ335" s="17">
        <f t="shared" si="24"/>
        <v>3</v>
      </c>
      <c r="AK335" s="17">
        <f t="shared" si="25"/>
        <v>9</v>
      </c>
      <c r="AL335" s="17">
        <f t="shared" si="26"/>
        <v>1</v>
      </c>
      <c r="AM335" s="17">
        <f>VLOOKUP(AK335,Sheet1!$A$2:$B$25,2,FALSE)</f>
        <v>1</v>
      </c>
    </row>
    <row r="336" spans="1:39" s="17" customFormat="1" x14ac:dyDescent="0.25">
      <c r="A336" s="21">
        <v>44595.416666666664</v>
      </c>
      <c r="B336" s="17">
        <v>654.9</v>
      </c>
      <c r="C336" s="17">
        <v>189.77</v>
      </c>
      <c r="D336" s="17">
        <v>200.82</v>
      </c>
      <c r="E336" s="17">
        <v>128.61000000000001</v>
      </c>
      <c r="F336" s="17">
        <v>173.15</v>
      </c>
      <c r="G336" s="17">
        <v>140.91</v>
      </c>
      <c r="H336" s="17">
        <v>26.84</v>
      </c>
      <c r="I336" s="17">
        <v>57.74</v>
      </c>
      <c r="J336" s="17">
        <v>38.85</v>
      </c>
      <c r="K336" s="17">
        <v>62.08</v>
      </c>
      <c r="L336" s="17">
        <v>68.67</v>
      </c>
      <c r="M336" s="17">
        <v>22.45</v>
      </c>
      <c r="N336" s="17">
        <v>21.93</v>
      </c>
      <c r="O336" s="17">
        <v>12.58</v>
      </c>
      <c r="P336" s="17">
        <v>17.03</v>
      </c>
      <c r="Q336" s="17">
        <v>6.8</v>
      </c>
      <c r="R336" s="17">
        <v>11.01</v>
      </c>
      <c r="S336" s="17">
        <v>7.03</v>
      </c>
      <c r="T336" s="17">
        <v>21.11</v>
      </c>
      <c r="U336" s="17">
        <v>2.96</v>
      </c>
      <c r="V336" s="17">
        <v>7.73</v>
      </c>
      <c r="W336" s="17">
        <v>1.28</v>
      </c>
      <c r="X336" s="17">
        <v>1.66</v>
      </c>
      <c r="Y336" s="17">
        <v>8.17</v>
      </c>
      <c r="Z336" s="17">
        <v>6.86</v>
      </c>
      <c r="AA336" s="17">
        <v>5.2</v>
      </c>
      <c r="AB336" s="17">
        <v>11.99</v>
      </c>
      <c r="AC336" s="17">
        <v>0</v>
      </c>
      <c r="AD336" s="17">
        <v>0</v>
      </c>
      <c r="AE336" s="17">
        <v>0</v>
      </c>
      <c r="AF336" s="17">
        <v>0</v>
      </c>
      <c r="AG336" s="17">
        <v>0</v>
      </c>
      <c r="AH336" s="17">
        <v>0</v>
      </c>
      <c r="AI336" s="17">
        <f t="shared" si="23"/>
        <v>4</v>
      </c>
      <c r="AJ336" s="17">
        <f t="shared" si="24"/>
        <v>3</v>
      </c>
      <c r="AK336" s="17">
        <f t="shared" si="25"/>
        <v>10</v>
      </c>
      <c r="AL336" s="17">
        <f t="shared" si="26"/>
        <v>1</v>
      </c>
      <c r="AM336" s="17">
        <f>VLOOKUP(AK336,Sheet1!$A$2:$B$25,2,FALSE)</f>
        <v>1</v>
      </c>
    </row>
    <row r="337" spans="1:39" s="17" customFormat="1" x14ac:dyDescent="0.25">
      <c r="A337" s="21">
        <v>44595.427083333336</v>
      </c>
      <c r="B337" s="17">
        <v>696.72</v>
      </c>
      <c r="C337" s="17">
        <v>233.99</v>
      </c>
      <c r="D337" s="17">
        <v>198.8</v>
      </c>
      <c r="E337" s="17">
        <v>168.32</v>
      </c>
      <c r="F337" s="17">
        <v>170.74</v>
      </c>
      <c r="G337" s="17">
        <v>140.03</v>
      </c>
      <c r="H337" s="17">
        <v>26.81</v>
      </c>
      <c r="I337" s="17">
        <v>56.07</v>
      </c>
      <c r="J337" s="17">
        <v>30.18</v>
      </c>
      <c r="K337" s="17">
        <v>61.48</v>
      </c>
      <c r="L337" s="17">
        <v>68.78</v>
      </c>
      <c r="M337" s="17">
        <v>21.93</v>
      </c>
      <c r="N337" s="17">
        <v>21.69</v>
      </c>
      <c r="O337" s="17">
        <v>13.87</v>
      </c>
      <c r="P337" s="17">
        <v>17.329999999999998</v>
      </c>
      <c r="Q337" s="17">
        <v>9.5299999999999994</v>
      </c>
      <c r="R337" s="17">
        <v>12.22</v>
      </c>
      <c r="S337" s="17">
        <v>13.9</v>
      </c>
      <c r="T337" s="17">
        <v>21.81</v>
      </c>
      <c r="U337" s="17">
        <v>1.94</v>
      </c>
      <c r="V337" s="17">
        <v>9.25</v>
      </c>
      <c r="W337" s="17">
        <v>1.26</v>
      </c>
      <c r="X337" s="17">
        <v>4.76</v>
      </c>
      <c r="Y337" s="17">
        <v>6.44</v>
      </c>
      <c r="Z337" s="17">
        <v>4.22</v>
      </c>
      <c r="AA337" s="17">
        <v>0</v>
      </c>
      <c r="AB337" s="17">
        <v>11.93</v>
      </c>
      <c r="AC337" s="17">
        <v>0</v>
      </c>
      <c r="AD337" s="17">
        <v>0</v>
      </c>
      <c r="AE337" s="17">
        <v>0</v>
      </c>
      <c r="AF337" s="17">
        <v>0</v>
      </c>
      <c r="AG337" s="17">
        <v>0</v>
      </c>
      <c r="AH337" s="17">
        <v>0</v>
      </c>
      <c r="AI337" s="17">
        <f t="shared" si="23"/>
        <v>4</v>
      </c>
      <c r="AJ337" s="17">
        <f t="shared" si="24"/>
        <v>3</v>
      </c>
      <c r="AK337" s="17">
        <f t="shared" si="25"/>
        <v>10</v>
      </c>
      <c r="AL337" s="17">
        <f t="shared" si="26"/>
        <v>1</v>
      </c>
      <c r="AM337" s="17">
        <f>VLOOKUP(AK337,Sheet1!$A$2:$B$25,2,FALSE)</f>
        <v>1</v>
      </c>
    </row>
    <row r="338" spans="1:39" s="17" customFormat="1" x14ac:dyDescent="0.25">
      <c r="A338" s="21">
        <v>44595.4375</v>
      </c>
      <c r="B338" s="17">
        <v>691.59</v>
      </c>
      <c r="C338" s="17">
        <v>235.99</v>
      </c>
      <c r="D338" s="17">
        <v>199.29</v>
      </c>
      <c r="E338" s="17">
        <v>169.37</v>
      </c>
      <c r="F338" s="17">
        <v>171.79</v>
      </c>
      <c r="G338" s="17">
        <v>132.36000000000001</v>
      </c>
      <c r="H338" s="17">
        <v>25.79</v>
      </c>
      <c r="I338" s="17">
        <v>57.53</v>
      </c>
      <c r="J338" s="17">
        <v>30.85</v>
      </c>
      <c r="K338" s="17">
        <v>61.95</v>
      </c>
      <c r="L338" s="17">
        <v>70.400000000000006</v>
      </c>
      <c r="M338" s="17">
        <v>21.27</v>
      </c>
      <c r="N338" s="17">
        <v>21.57</v>
      </c>
      <c r="O338" s="17">
        <v>10.83</v>
      </c>
      <c r="P338" s="17">
        <v>19.350000000000001</v>
      </c>
      <c r="Q338" s="17">
        <v>10.130000000000001</v>
      </c>
      <c r="R338" s="17">
        <v>9.09</v>
      </c>
      <c r="S338" s="17">
        <v>8.9600000000000009</v>
      </c>
      <c r="T338" s="17">
        <v>9.86</v>
      </c>
      <c r="U338" s="17">
        <v>2.12</v>
      </c>
      <c r="V338" s="17">
        <v>8.15</v>
      </c>
      <c r="W338" s="17">
        <v>2</v>
      </c>
      <c r="X338" s="17">
        <v>7.61</v>
      </c>
      <c r="Y338" s="17">
        <v>5.97</v>
      </c>
      <c r="Z338" s="17">
        <v>2.76</v>
      </c>
      <c r="AA338" s="17">
        <v>0</v>
      </c>
      <c r="AB338" s="17">
        <v>11.87</v>
      </c>
      <c r="AC338" s="17">
        <v>1.75</v>
      </c>
      <c r="AD338" s="17">
        <v>0</v>
      </c>
      <c r="AE338" s="17">
        <v>0.16259999999999999</v>
      </c>
      <c r="AF338" s="17">
        <v>0</v>
      </c>
      <c r="AG338" s="17">
        <v>0</v>
      </c>
      <c r="AH338" s="17">
        <v>0</v>
      </c>
      <c r="AI338" s="17">
        <f t="shared" si="23"/>
        <v>4</v>
      </c>
      <c r="AJ338" s="17">
        <f t="shared" si="24"/>
        <v>3</v>
      </c>
      <c r="AK338" s="17">
        <f t="shared" si="25"/>
        <v>10</v>
      </c>
      <c r="AL338" s="17">
        <f t="shared" si="26"/>
        <v>1</v>
      </c>
      <c r="AM338" s="17">
        <f>VLOOKUP(AK338,Sheet1!$A$2:$B$25,2,FALSE)</f>
        <v>1</v>
      </c>
    </row>
    <row r="339" spans="1:39" s="17" customFormat="1" x14ac:dyDescent="0.25">
      <c r="A339" s="21">
        <v>44595.447916666664</v>
      </c>
      <c r="B339" s="17">
        <v>684.18</v>
      </c>
      <c r="C339" s="17">
        <v>236.4</v>
      </c>
      <c r="D339" s="17">
        <v>199.12</v>
      </c>
      <c r="E339" s="17">
        <v>169.96</v>
      </c>
      <c r="F339" s="17">
        <v>172.33</v>
      </c>
      <c r="G339" s="17">
        <v>125.21</v>
      </c>
      <c r="H339" s="17">
        <v>26.33</v>
      </c>
      <c r="I339" s="17">
        <v>56.03</v>
      </c>
      <c r="J339" s="17">
        <v>29.22</v>
      </c>
      <c r="K339" s="17">
        <v>62.2</v>
      </c>
      <c r="L339" s="17">
        <v>72.61</v>
      </c>
      <c r="M339" s="17">
        <v>21.55</v>
      </c>
      <c r="N339" s="17">
        <v>21.5</v>
      </c>
      <c r="O339" s="17">
        <v>9.9</v>
      </c>
      <c r="P339" s="17">
        <v>18.97</v>
      </c>
      <c r="Q339" s="17">
        <v>9.32</v>
      </c>
      <c r="R339" s="17">
        <v>6.33</v>
      </c>
      <c r="S339" s="17">
        <v>10.63</v>
      </c>
      <c r="T339" s="17">
        <v>0</v>
      </c>
      <c r="U339" s="17">
        <v>1.91</v>
      </c>
      <c r="V339" s="17">
        <v>11.41</v>
      </c>
      <c r="W339" s="17">
        <v>2.13</v>
      </c>
      <c r="X339" s="17">
        <v>2.5299999999999998</v>
      </c>
      <c r="Y339" s="17">
        <v>3.14</v>
      </c>
      <c r="Z339" s="17">
        <v>2.29</v>
      </c>
      <c r="AA339" s="17">
        <v>0</v>
      </c>
      <c r="AB339" s="17">
        <v>11.73</v>
      </c>
      <c r="AC339" s="17">
        <v>6.73</v>
      </c>
      <c r="AD339" s="17">
        <v>0</v>
      </c>
      <c r="AE339" s="17">
        <v>0</v>
      </c>
      <c r="AF339" s="17">
        <v>0</v>
      </c>
      <c r="AG339" s="17">
        <v>0</v>
      </c>
      <c r="AH339" s="17">
        <v>0</v>
      </c>
      <c r="AI339" s="17">
        <f t="shared" si="23"/>
        <v>4</v>
      </c>
      <c r="AJ339" s="17">
        <f t="shared" si="24"/>
        <v>3</v>
      </c>
      <c r="AK339" s="17">
        <f t="shared" si="25"/>
        <v>10</v>
      </c>
      <c r="AL339" s="17">
        <f t="shared" si="26"/>
        <v>1</v>
      </c>
      <c r="AM339" s="17">
        <f>VLOOKUP(AK339,Sheet1!$A$2:$B$25,2,FALSE)</f>
        <v>1</v>
      </c>
    </row>
    <row r="340" spans="1:39" s="17" customFormat="1" x14ac:dyDescent="0.25">
      <c r="A340" s="21">
        <v>44595.458333333336</v>
      </c>
      <c r="B340" s="17">
        <v>674.05</v>
      </c>
      <c r="C340" s="17">
        <v>236.95</v>
      </c>
      <c r="D340" s="17">
        <v>198.32</v>
      </c>
      <c r="E340" s="17">
        <v>171.04</v>
      </c>
      <c r="F340" s="17">
        <v>154.68</v>
      </c>
      <c r="G340" s="17">
        <v>130.28</v>
      </c>
      <c r="H340" s="17">
        <v>45.38</v>
      </c>
      <c r="I340" s="17">
        <v>56.7</v>
      </c>
      <c r="J340" s="17">
        <v>28.89</v>
      </c>
      <c r="K340" s="17">
        <v>63.21</v>
      </c>
      <c r="L340" s="17">
        <v>70.239999999999995</v>
      </c>
      <c r="M340" s="17">
        <v>20.85</v>
      </c>
      <c r="N340" s="17">
        <v>22.98</v>
      </c>
      <c r="O340" s="17">
        <v>12.82</v>
      </c>
      <c r="P340" s="17">
        <v>18.14</v>
      </c>
      <c r="Q340" s="17">
        <v>10.77</v>
      </c>
      <c r="R340" s="17">
        <v>6.99</v>
      </c>
      <c r="S340" s="17">
        <v>8.93</v>
      </c>
      <c r="T340" s="17">
        <v>5.67</v>
      </c>
      <c r="U340" s="17">
        <v>1.93</v>
      </c>
      <c r="V340" s="17">
        <v>5.0199999999999996</v>
      </c>
      <c r="W340" s="17">
        <v>3.21</v>
      </c>
      <c r="X340" s="17">
        <v>2.94</v>
      </c>
      <c r="Y340" s="17">
        <v>4.29</v>
      </c>
      <c r="Z340" s="17">
        <v>0.55969999999999998</v>
      </c>
      <c r="AA340" s="17">
        <v>0</v>
      </c>
      <c r="AB340" s="17">
        <v>11.91</v>
      </c>
      <c r="AC340" s="17">
        <v>0</v>
      </c>
      <c r="AD340" s="17">
        <v>0</v>
      </c>
      <c r="AE340" s="17">
        <v>0.3821</v>
      </c>
      <c r="AF340" s="17">
        <v>0</v>
      </c>
      <c r="AG340" s="17">
        <v>0</v>
      </c>
      <c r="AH340" s="17">
        <v>0</v>
      </c>
      <c r="AI340" s="17">
        <f t="shared" si="23"/>
        <v>4</v>
      </c>
      <c r="AJ340" s="17">
        <f t="shared" si="24"/>
        <v>3</v>
      </c>
      <c r="AK340" s="17">
        <f t="shared" si="25"/>
        <v>11</v>
      </c>
      <c r="AL340" s="17">
        <f t="shared" si="26"/>
        <v>1</v>
      </c>
      <c r="AM340" s="17">
        <f>VLOOKUP(AK340,Sheet1!$A$2:$B$25,2,FALSE)</f>
        <v>1</v>
      </c>
    </row>
    <row r="341" spans="1:39" s="17" customFormat="1" x14ac:dyDescent="0.25">
      <c r="A341" s="21">
        <v>44595.46875</v>
      </c>
      <c r="B341" s="17">
        <v>731.39</v>
      </c>
      <c r="C341" s="17">
        <v>235.47</v>
      </c>
      <c r="D341" s="17">
        <v>248.84</v>
      </c>
      <c r="E341" s="17">
        <v>170.02</v>
      </c>
      <c r="F341" s="17">
        <v>196.42</v>
      </c>
      <c r="G341" s="17">
        <v>128.21</v>
      </c>
      <c r="H341" s="17">
        <v>57.46</v>
      </c>
      <c r="I341" s="17">
        <v>54.74</v>
      </c>
      <c r="J341" s="17">
        <v>29.43</v>
      </c>
      <c r="K341" s="17">
        <v>62.56</v>
      </c>
      <c r="L341" s="17">
        <v>70.64</v>
      </c>
      <c r="M341" s="17">
        <v>19.760000000000002</v>
      </c>
      <c r="N341" s="17">
        <v>20.86</v>
      </c>
      <c r="O341" s="17">
        <v>10.34</v>
      </c>
      <c r="P341" s="17">
        <v>16.7</v>
      </c>
      <c r="Q341" s="17">
        <v>10.69</v>
      </c>
      <c r="R341" s="17">
        <v>4.97</v>
      </c>
      <c r="S341" s="17">
        <v>15.58</v>
      </c>
      <c r="T341" s="17">
        <v>6.3</v>
      </c>
      <c r="U341" s="17">
        <v>1.91</v>
      </c>
      <c r="V341" s="17">
        <v>9.25</v>
      </c>
      <c r="W341" s="17">
        <v>4.17</v>
      </c>
      <c r="X341" s="17">
        <v>5.28</v>
      </c>
      <c r="Y341" s="17">
        <v>3.16</v>
      </c>
      <c r="Z341" s="17">
        <v>3.55</v>
      </c>
      <c r="AA341" s="17">
        <v>0</v>
      </c>
      <c r="AB341" s="17">
        <v>10.61</v>
      </c>
      <c r="AC341" s="17">
        <v>0</v>
      </c>
      <c r="AD341" s="17">
        <v>0</v>
      </c>
      <c r="AE341" s="17">
        <v>0</v>
      </c>
      <c r="AF341" s="17">
        <v>0.84550000000000003</v>
      </c>
      <c r="AG341" s="17">
        <v>0</v>
      </c>
      <c r="AH341" s="17">
        <v>0</v>
      </c>
      <c r="AI341" s="17">
        <f t="shared" si="23"/>
        <v>4</v>
      </c>
      <c r="AJ341" s="17">
        <f t="shared" si="24"/>
        <v>3</v>
      </c>
      <c r="AK341" s="17">
        <f t="shared" si="25"/>
        <v>11</v>
      </c>
      <c r="AL341" s="17">
        <f t="shared" si="26"/>
        <v>1</v>
      </c>
      <c r="AM341" s="17">
        <f>VLOOKUP(AK341,Sheet1!$A$2:$B$25,2,FALSE)</f>
        <v>1</v>
      </c>
    </row>
    <row r="342" spans="1:39" s="17" customFormat="1" x14ac:dyDescent="0.25">
      <c r="A342" s="21">
        <v>44595.479166666664</v>
      </c>
      <c r="B342" s="17">
        <v>723.11</v>
      </c>
      <c r="C342" s="17">
        <v>235.26</v>
      </c>
      <c r="D342" s="17">
        <v>248.5</v>
      </c>
      <c r="E342" s="17">
        <v>170.58</v>
      </c>
      <c r="F342" s="17">
        <v>200.03</v>
      </c>
      <c r="G342" s="17">
        <v>130.01</v>
      </c>
      <c r="H342" s="17">
        <v>59.49</v>
      </c>
      <c r="I342" s="17">
        <v>55.71</v>
      </c>
      <c r="J342" s="17">
        <v>28.99</v>
      </c>
      <c r="K342" s="17">
        <v>62.48</v>
      </c>
      <c r="L342" s="17">
        <v>69.44</v>
      </c>
      <c r="M342" s="17">
        <v>15.72</v>
      </c>
      <c r="N342" s="17">
        <v>21.01</v>
      </c>
      <c r="O342" s="17">
        <v>8.18</v>
      </c>
      <c r="P342" s="17">
        <v>18.309999999999999</v>
      </c>
      <c r="Q342" s="17">
        <v>12.04</v>
      </c>
      <c r="R342" s="17">
        <v>7.13</v>
      </c>
      <c r="S342" s="17">
        <v>12.59</v>
      </c>
      <c r="T342" s="17">
        <v>6.82</v>
      </c>
      <c r="U342" s="17">
        <v>1.94</v>
      </c>
      <c r="V342" s="17">
        <v>6.03</v>
      </c>
      <c r="W342" s="17">
        <v>4.0599999999999996</v>
      </c>
      <c r="X342" s="17">
        <v>3.39</v>
      </c>
      <c r="Y342" s="17">
        <v>3.13</v>
      </c>
      <c r="Z342" s="17">
        <v>0</v>
      </c>
      <c r="AA342" s="17">
        <v>0</v>
      </c>
      <c r="AB342" s="17">
        <v>10.19</v>
      </c>
      <c r="AC342" s="17">
        <v>0</v>
      </c>
      <c r="AD342" s="17">
        <v>0</v>
      </c>
      <c r="AE342" s="17">
        <v>0</v>
      </c>
      <c r="AF342" s="17">
        <v>0.96550000000000002</v>
      </c>
      <c r="AG342" s="17">
        <v>0</v>
      </c>
      <c r="AH342" s="17">
        <v>0</v>
      </c>
      <c r="AI342" s="17">
        <f t="shared" si="23"/>
        <v>4</v>
      </c>
      <c r="AJ342" s="17">
        <f t="shared" si="24"/>
        <v>3</v>
      </c>
      <c r="AK342" s="17">
        <f t="shared" si="25"/>
        <v>11</v>
      </c>
      <c r="AL342" s="17">
        <f t="shared" si="26"/>
        <v>1</v>
      </c>
      <c r="AM342" s="17">
        <f>VLOOKUP(AK342,Sheet1!$A$2:$B$25,2,FALSE)</f>
        <v>1</v>
      </c>
    </row>
    <row r="343" spans="1:39" s="17" customFormat="1" x14ac:dyDescent="0.25">
      <c r="A343" s="21">
        <v>44595.489583333336</v>
      </c>
      <c r="B343" s="17">
        <v>721.74</v>
      </c>
      <c r="C343" s="17">
        <v>302.08999999999997</v>
      </c>
      <c r="D343" s="17">
        <v>249.42</v>
      </c>
      <c r="E343" s="17">
        <v>201.3</v>
      </c>
      <c r="F343" s="17">
        <v>199.67</v>
      </c>
      <c r="G343" s="17">
        <v>51.48</v>
      </c>
      <c r="H343" s="17">
        <v>60.68</v>
      </c>
      <c r="I343" s="17">
        <v>54.81</v>
      </c>
      <c r="J343" s="17">
        <v>76.17</v>
      </c>
      <c r="K343" s="17">
        <v>24.86</v>
      </c>
      <c r="L343" s="17">
        <v>60.69</v>
      </c>
      <c r="M343" s="17">
        <v>17.27</v>
      </c>
      <c r="N343" s="17">
        <v>21.19</v>
      </c>
      <c r="O343" s="17">
        <v>25.85</v>
      </c>
      <c r="P343" s="17">
        <v>17.29</v>
      </c>
      <c r="Q343" s="17">
        <v>14.65</v>
      </c>
      <c r="R343" s="17">
        <v>3.19</v>
      </c>
      <c r="S343" s="17">
        <v>8.61</v>
      </c>
      <c r="T343" s="17">
        <v>2.88</v>
      </c>
      <c r="U343" s="17">
        <v>6.48</v>
      </c>
      <c r="V343" s="17">
        <v>3.24</v>
      </c>
      <c r="W343" s="17">
        <v>4.18</v>
      </c>
      <c r="X343" s="17">
        <v>4.32</v>
      </c>
      <c r="Y343" s="17">
        <v>5.67</v>
      </c>
      <c r="Z343" s="17">
        <v>5.83</v>
      </c>
      <c r="AA343" s="17">
        <v>7.09</v>
      </c>
      <c r="AB343" s="17">
        <v>11.89</v>
      </c>
      <c r="AC343" s="17">
        <v>0</v>
      </c>
      <c r="AD343" s="17">
        <v>0</v>
      </c>
      <c r="AE343" s="17">
        <v>0</v>
      </c>
      <c r="AF343" s="17">
        <v>0</v>
      </c>
      <c r="AG343" s="17">
        <v>0</v>
      </c>
      <c r="AH343" s="17">
        <v>0</v>
      </c>
      <c r="AI343" s="17">
        <f t="shared" si="23"/>
        <v>4</v>
      </c>
      <c r="AJ343" s="17">
        <f t="shared" si="24"/>
        <v>3</v>
      </c>
      <c r="AK343" s="17">
        <f t="shared" si="25"/>
        <v>11</v>
      </c>
      <c r="AL343" s="17">
        <f t="shared" si="26"/>
        <v>1</v>
      </c>
      <c r="AM343" s="17">
        <f>VLOOKUP(AK343,Sheet1!$A$2:$B$25,2,FALSE)</f>
        <v>1</v>
      </c>
    </row>
    <row r="344" spans="1:39" s="17" customFormat="1" x14ac:dyDescent="0.25">
      <c r="A344" s="21">
        <v>44595.5</v>
      </c>
      <c r="B344" s="17">
        <v>666.82</v>
      </c>
      <c r="C344" s="17">
        <v>311.95</v>
      </c>
      <c r="D344" s="17">
        <v>249.82</v>
      </c>
      <c r="E344" s="17">
        <v>203.83</v>
      </c>
      <c r="F344" s="17">
        <v>201.9</v>
      </c>
      <c r="G344" s="17">
        <v>0</v>
      </c>
      <c r="H344" s="17">
        <v>58.17</v>
      </c>
      <c r="I344" s="17">
        <v>55.4</v>
      </c>
      <c r="J344" s="17">
        <v>81.42</v>
      </c>
      <c r="K344" s="17">
        <v>0</v>
      </c>
      <c r="L344" s="17">
        <v>57.27</v>
      </c>
      <c r="M344" s="17">
        <v>16</v>
      </c>
      <c r="N344" s="17">
        <v>21.54</v>
      </c>
      <c r="O344" s="17">
        <v>27.66</v>
      </c>
      <c r="P344" s="17">
        <v>16.03</v>
      </c>
      <c r="Q344" s="17">
        <v>15.97</v>
      </c>
      <c r="R344" s="17">
        <v>0.2384</v>
      </c>
      <c r="S344" s="17">
        <v>0</v>
      </c>
      <c r="T344" s="17">
        <v>0</v>
      </c>
      <c r="U344" s="17">
        <v>6.64</v>
      </c>
      <c r="V344" s="17">
        <v>3.59</v>
      </c>
      <c r="W344" s="17">
        <v>3.88</v>
      </c>
      <c r="X344" s="17">
        <v>0</v>
      </c>
      <c r="Y344" s="17">
        <v>8.23</v>
      </c>
      <c r="Z344" s="17">
        <v>8.57</v>
      </c>
      <c r="AA344" s="17">
        <v>7.42</v>
      </c>
      <c r="AB344" s="17">
        <v>5.82</v>
      </c>
      <c r="AC344" s="17">
        <v>0</v>
      </c>
      <c r="AD344" s="17">
        <v>0</v>
      </c>
      <c r="AE344" s="17">
        <v>0</v>
      </c>
      <c r="AF344" s="17">
        <v>0</v>
      </c>
      <c r="AG344" s="17">
        <v>0</v>
      </c>
      <c r="AH344" s="17">
        <v>0</v>
      </c>
      <c r="AI344" s="17">
        <f t="shared" si="23"/>
        <v>4</v>
      </c>
      <c r="AJ344" s="17">
        <f t="shared" si="24"/>
        <v>3</v>
      </c>
      <c r="AK344" s="17">
        <f t="shared" si="25"/>
        <v>12</v>
      </c>
      <c r="AL344" s="17">
        <f t="shared" si="26"/>
        <v>1</v>
      </c>
      <c r="AM344" s="17">
        <f>VLOOKUP(AK344,Sheet1!$A$2:$B$25,2,FALSE)</f>
        <v>1</v>
      </c>
    </row>
    <row r="345" spans="1:39" s="17" customFormat="1" x14ac:dyDescent="0.25">
      <c r="A345" s="21">
        <v>44595.510416666664</v>
      </c>
      <c r="B345" s="17">
        <v>676.94</v>
      </c>
      <c r="C345" s="17">
        <v>319.29000000000002</v>
      </c>
      <c r="D345" s="17">
        <v>248.62</v>
      </c>
      <c r="E345" s="17">
        <v>207.49</v>
      </c>
      <c r="F345" s="17">
        <v>200.33</v>
      </c>
      <c r="G345" s="17">
        <v>0</v>
      </c>
      <c r="H345" s="17">
        <v>60.87</v>
      </c>
      <c r="I345" s="17">
        <v>56.48</v>
      </c>
      <c r="J345" s="17">
        <v>85.24</v>
      </c>
      <c r="K345" s="17">
        <v>0</v>
      </c>
      <c r="L345" s="17">
        <v>62.84</v>
      </c>
      <c r="M345" s="17">
        <v>12.74</v>
      </c>
      <c r="N345" s="17">
        <v>22.55</v>
      </c>
      <c r="O345" s="17">
        <v>27.01</v>
      </c>
      <c r="P345" s="17">
        <v>18</v>
      </c>
      <c r="Q345" s="17">
        <v>15.11</v>
      </c>
      <c r="R345" s="17">
        <v>0.36549999999999999</v>
      </c>
      <c r="S345" s="17">
        <v>0</v>
      </c>
      <c r="T345" s="17">
        <v>0</v>
      </c>
      <c r="U345" s="17">
        <v>6.66</v>
      </c>
      <c r="V345" s="17">
        <v>9.7799999999999994</v>
      </c>
      <c r="W345" s="17">
        <v>3.93</v>
      </c>
      <c r="X345" s="17">
        <v>0</v>
      </c>
      <c r="Y345" s="17">
        <v>8.33</v>
      </c>
      <c r="Z345" s="17">
        <v>8.7899999999999991</v>
      </c>
      <c r="AA345" s="17">
        <v>7.65</v>
      </c>
      <c r="AB345" s="17">
        <v>0</v>
      </c>
      <c r="AC345" s="17">
        <v>0</v>
      </c>
      <c r="AD345" s="17">
        <v>0</v>
      </c>
      <c r="AE345" s="17">
        <v>0</v>
      </c>
      <c r="AF345" s="17">
        <v>0</v>
      </c>
      <c r="AG345" s="17">
        <v>0</v>
      </c>
      <c r="AH345" s="17">
        <v>0</v>
      </c>
      <c r="AI345" s="17">
        <f t="shared" si="23"/>
        <v>4</v>
      </c>
      <c r="AJ345" s="17">
        <f t="shared" si="24"/>
        <v>3</v>
      </c>
      <c r="AK345" s="17">
        <f t="shared" si="25"/>
        <v>12</v>
      </c>
      <c r="AL345" s="17">
        <f t="shared" si="26"/>
        <v>1</v>
      </c>
      <c r="AM345" s="17">
        <f>VLOOKUP(AK345,Sheet1!$A$2:$B$25,2,FALSE)</f>
        <v>1</v>
      </c>
    </row>
    <row r="346" spans="1:39" s="17" customFormat="1" x14ac:dyDescent="0.25">
      <c r="A346" s="21">
        <v>44595.520833333336</v>
      </c>
      <c r="B346" s="17">
        <v>623.41999999999996</v>
      </c>
      <c r="C346" s="17">
        <v>271.29000000000002</v>
      </c>
      <c r="D346" s="17">
        <v>246.69</v>
      </c>
      <c r="E346" s="17">
        <v>186.36</v>
      </c>
      <c r="F346" s="17">
        <v>196.34</v>
      </c>
      <c r="G346" s="17">
        <v>0</v>
      </c>
      <c r="H346" s="17">
        <v>58.69</v>
      </c>
      <c r="I346" s="17">
        <v>56.3</v>
      </c>
      <c r="J346" s="17">
        <v>52.74</v>
      </c>
      <c r="K346" s="17">
        <v>0</v>
      </c>
      <c r="L346" s="17">
        <v>66.25</v>
      </c>
      <c r="M346" s="17">
        <v>17.72</v>
      </c>
      <c r="N346" s="17">
        <v>21.07</v>
      </c>
      <c r="O346" s="17">
        <v>11.6</v>
      </c>
      <c r="P346" s="17">
        <v>19.8</v>
      </c>
      <c r="Q346" s="17">
        <v>10.050000000000001</v>
      </c>
      <c r="R346" s="17">
        <v>0.30159999999999998</v>
      </c>
      <c r="S346" s="17">
        <v>0</v>
      </c>
      <c r="T346" s="17">
        <v>0</v>
      </c>
      <c r="U346" s="17">
        <v>4.79</v>
      </c>
      <c r="V346" s="17">
        <v>9.5299999999999994</v>
      </c>
      <c r="W346" s="17">
        <v>4.05</v>
      </c>
      <c r="X346" s="17">
        <v>0</v>
      </c>
      <c r="Y346" s="17">
        <v>8.17</v>
      </c>
      <c r="Z346" s="17">
        <v>8.4499999999999993</v>
      </c>
      <c r="AA346" s="17">
        <v>3.18</v>
      </c>
      <c r="AB346" s="17">
        <v>0</v>
      </c>
      <c r="AC346" s="17">
        <v>0</v>
      </c>
      <c r="AD346" s="17">
        <v>0</v>
      </c>
      <c r="AE346" s="17">
        <v>0</v>
      </c>
      <c r="AF346" s="17">
        <v>0</v>
      </c>
      <c r="AG346" s="17">
        <v>0</v>
      </c>
      <c r="AH346" s="17">
        <v>0</v>
      </c>
      <c r="AI346" s="17">
        <f t="shared" si="23"/>
        <v>4</v>
      </c>
      <c r="AJ346" s="17">
        <f t="shared" si="24"/>
        <v>3</v>
      </c>
      <c r="AK346" s="17">
        <f t="shared" si="25"/>
        <v>12</v>
      </c>
      <c r="AL346" s="17">
        <f t="shared" si="26"/>
        <v>1</v>
      </c>
      <c r="AM346" s="17">
        <f>VLOOKUP(AK346,Sheet1!$A$2:$B$25,2,FALSE)</f>
        <v>1</v>
      </c>
    </row>
    <row r="347" spans="1:39" s="17" customFormat="1" x14ac:dyDescent="0.25">
      <c r="A347" s="21">
        <v>44595.53125</v>
      </c>
      <c r="B347" s="17">
        <v>581.20000000000005</v>
      </c>
      <c r="C347" s="17">
        <v>238.69</v>
      </c>
      <c r="D347" s="17">
        <v>250.44</v>
      </c>
      <c r="E347" s="17">
        <v>170.83</v>
      </c>
      <c r="F347" s="17">
        <v>197.92</v>
      </c>
      <c r="G347" s="17">
        <v>0</v>
      </c>
      <c r="H347" s="17">
        <v>60.51</v>
      </c>
      <c r="I347" s="17">
        <v>56.19</v>
      </c>
      <c r="J347" s="17">
        <v>30.93</v>
      </c>
      <c r="K347" s="17">
        <v>0</v>
      </c>
      <c r="L347" s="17">
        <v>74.849999999999994</v>
      </c>
      <c r="M347" s="17">
        <v>19.82</v>
      </c>
      <c r="N347" s="17">
        <v>20.399999999999999</v>
      </c>
      <c r="O347" s="17">
        <v>13.81</v>
      </c>
      <c r="P347" s="17">
        <v>16.53</v>
      </c>
      <c r="Q347" s="17">
        <v>9.14</v>
      </c>
      <c r="R347" s="17">
        <v>0.39550000000000002</v>
      </c>
      <c r="S347" s="17">
        <v>0</v>
      </c>
      <c r="T347" s="17">
        <v>0</v>
      </c>
      <c r="U347" s="17">
        <v>1.92</v>
      </c>
      <c r="V347" s="17">
        <v>4.87</v>
      </c>
      <c r="W347" s="17">
        <v>3.86</v>
      </c>
      <c r="X347" s="17">
        <v>0</v>
      </c>
      <c r="Y347" s="17">
        <v>5.85</v>
      </c>
      <c r="Z347" s="17">
        <v>3.36</v>
      </c>
      <c r="AA347" s="17">
        <v>0</v>
      </c>
      <c r="AB347" s="17">
        <v>0</v>
      </c>
      <c r="AC347" s="17">
        <v>5.28</v>
      </c>
      <c r="AD347" s="17">
        <v>0</v>
      </c>
      <c r="AE347" s="17">
        <v>0</v>
      </c>
      <c r="AF347" s="17">
        <v>1.42</v>
      </c>
      <c r="AG347" s="17">
        <v>0</v>
      </c>
      <c r="AH347" s="17">
        <v>0</v>
      </c>
      <c r="AI347" s="17">
        <f t="shared" si="23"/>
        <v>4</v>
      </c>
      <c r="AJ347" s="17">
        <f t="shared" si="24"/>
        <v>3</v>
      </c>
      <c r="AK347" s="17">
        <f t="shared" si="25"/>
        <v>12</v>
      </c>
      <c r="AL347" s="17">
        <f t="shared" si="26"/>
        <v>1</v>
      </c>
      <c r="AM347" s="17">
        <f>VLOOKUP(AK347,Sheet1!$A$2:$B$25,2,FALSE)</f>
        <v>1</v>
      </c>
    </row>
    <row r="348" spans="1:39" s="17" customFormat="1" x14ac:dyDescent="0.25">
      <c r="A348" s="21">
        <v>44595.541666666664</v>
      </c>
      <c r="B348" s="17">
        <v>577.79</v>
      </c>
      <c r="C348" s="17">
        <v>240.43</v>
      </c>
      <c r="D348" s="17">
        <v>249.53</v>
      </c>
      <c r="E348" s="17">
        <v>171.95</v>
      </c>
      <c r="F348" s="17">
        <v>198.79</v>
      </c>
      <c r="G348" s="17">
        <v>0</v>
      </c>
      <c r="H348" s="17">
        <v>60</v>
      </c>
      <c r="I348" s="17">
        <v>56.59</v>
      </c>
      <c r="J348" s="17">
        <v>30.77</v>
      </c>
      <c r="K348" s="17">
        <v>0</v>
      </c>
      <c r="L348" s="17">
        <v>73.209999999999994</v>
      </c>
      <c r="M348" s="17">
        <v>19.239999999999998</v>
      </c>
      <c r="N348" s="17">
        <v>22.31</v>
      </c>
      <c r="O348" s="17">
        <v>14.58</v>
      </c>
      <c r="P348" s="17">
        <v>19.37</v>
      </c>
      <c r="Q348" s="17">
        <v>9.6300000000000008</v>
      </c>
      <c r="R348" s="17">
        <v>0.47839999999999999</v>
      </c>
      <c r="S348" s="17">
        <v>0</v>
      </c>
      <c r="T348" s="17">
        <v>0</v>
      </c>
      <c r="U348" s="17">
        <v>1.93</v>
      </c>
      <c r="V348" s="17">
        <v>2.41</v>
      </c>
      <c r="W348" s="17">
        <v>4.03</v>
      </c>
      <c r="X348" s="17">
        <v>0</v>
      </c>
      <c r="Y348" s="17">
        <v>7.24</v>
      </c>
      <c r="Z348" s="17">
        <v>0</v>
      </c>
      <c r="AA348" s="17">
        <v>0</v>
      </c>
      <c r="AB348" s="17">
        <v>0</v>
      </c>
      <c r="AC348" s="17">
        <v>2.2200000000000002</v>
      </c>
      <c r="AD348" s="17">
        <v>0</v>
      </c>
      <c r="AE348" s="17">
        <v>0</v>
      </c>
      <c r="AF348" s="17">
        <v>1.7</v>
      </c>
      <c r="AG348" s="17">
        <v>0</v>
      </c>
      <c r="AH348" s="17">
        <v>0</v>
      </c>
      <c r="AI348" s="17">
        <f t="shared" si="23"/>
        <v>4</v>
      </c>
      <c r="AJ348" s="17">
        <f t="shared" si="24"/>
        <v>3</v>
      </c>
      <c r="AK348" s="17">
        <f t="shared" si="25"/>
        <v>13</v>
      </c>
      <c r="AL348" s="17">
        <f t="shared" si="26"/>
        <v>1</v>
      </c>
      <c r="AM348" s="17">
        <f>VLOOKUP(AK348,Sheet1!$A$2:$B$25,2,FALSE)</f>
        <v>1</v>
      </c>
    </row>
    <row r="349" spans="1:39" s="17" customFormat="1" x14ac:dyDescent="0.25">
      <c r="A349" s="21">
        <v>44595.552083333336</v>
      </c>
      <c r="B349" s="17">
        <v>582.80999999999995</v>
      </c>
      <c r="C349" s="17">
        <v>239.41</v>
      </c>
      <c r="D349" s="17">
        <v>251.2</v>
      </c>
      <c r="E349" s="17">
        <v>172.35</v>
      </c>
      <c r="F349" s="17">
        <v>200.18</v>
      </c>
      <c r="G349" s="17">
        <v>0</v>
      </c>
      <c r="H349" s="17">
        <v>60.61</v>
      </c>
      <c r="I349" s="17">
        <v>55.6</v>
      </c>
      <c r="J349" s="17">
        <v>31.09</v>
      </c>
      <c r="K349" s="17">
        <v>0</v>
      </c>
      <c r="L349" s="17">
        <v>73.569999999999993</v>
      </c>
      <c r="M349" s="17">
        <v>19.82</v>
      </c>
      <c r="N349" s="17">
        <v>19.899999999999999</v>
      </c>
      <c r="O349" s="17">
        <v>13.78</v>
      </c>
      <c r="P349" s="17">
        <v>17.579999999999998</v>
      </c>
      <c r="Q349" s="17">
        <v>10.43</v>
      </c>
      <c r="R349" s="17">
        <v>0.3458</v>
      </c>
      <c r="S349" s="17">
        <v>0</v>
      </c>
      <c r="T349" s="17">
        <v>0</v>
      </c>
      <c r="U349" s="17">
        <v>1.93</v>
      </c>
      <c r="V349" s="17">
        <v>4.5199999999999996</v>
      </c>
      <c r="W349" s="17">
        <v>3.9</v>
      </c>
      <c r="X349" s="17">
        <v>0</v>
      </c>
      <c r="Y349" s="17">
        <v>3.73</v>
      </c>
      <c r="Z349" s="17">
        <v>0</v>
      </c>
      <c r="AA349" s="17">
        <v>0</v>
      </c>
      <c r="AB349" s="17">
        <v>4.7</v>
      </c>
      <c r="AC349" s="17">
        <v>6.08</v>
      </c>
      <c r="AD349" s="17">
        <v>0</v>
      </c>
      <c r="AE349" s="17">
        <v>0</v>
      </c>
      <c r="AF349" s="17">
        <v>1.66</v>
      </c>
      <c r="AG349" s="17">
        <v>0</v>
      </c>
      <c r="AH349" s="17">
        <v>0</v>
      </c>
      <c r="AI349" s="17">
        <f t="shared" si="23"/>
        <v>4</v>
      </c>
      <c r="AJ349" s="17">
        <f t="shared" si="24"/>
        <v>3</v>
      </c>
      <c r="AK349" s="17">
        <f t="shared" si="25"/>
        <v>13</v>
      </c>
      <c r="AL349" s="17">
        <f t="shared" si="26"/>
        <v>1</v>
      </c>
      <c r="AM349" s="17">
        <f>VLOOKUP(AK349,Sheet1!$A$2:$B$25,2,FALSE)</f>
        <v>1</v>
      </c>
    </row>
    <row r="350" spans="1:39" s="17" customFormat="1" x14ac:dyDescent="0.25">
      <c r="A350" s="21">
        <v>44595.5625</v>
      </c>
      <c r="B350" s="17">
        <v>586.28</v>
      </c>
      <c r="C350" s="17">
        <v>237.51</v>
      </c>
      <c r="D350" s="17">
        <v>247.09</v>
      </c>
      <c r="E350" s="17">
        <v>171.84</v>
      </c>
      <c r="F350" s="17">
        <v>197.99</v>
      </c>
      <c r="G350" s="17">
        <v>0</v>
      </c>
      <c r="H350" s="17">
        <v>59.37</v>
      </c>
      <c r="I350" s="17">
        <v>57.06</v>
      </c>
      <c r="J350" s="17">
        <v>29.78</v>
      </c>
      <c r="K350" s="17">
        <v>0</v>
      </c>
      <c r="L350" s="17">
        <v>70.56</v>
      </c>
      <c r="M350" s="17">
        <v>17.149999999999999</v>
      </c>
      <c r="N350" s="17">
        <v>21.82</v>
      </c>
      <c r="O350" s="17">
        <v>13.02</v>
      </c>
      <c r="P350" s="17">
        <v>20.34</v>
      </c>
      <c r="Q350" s="17">
        <v>10.52</v>
      </c>
      <c r="R350" s="17">
        <v>0.38840000000000002</v>
      </c>
      <c r="S350" s="17">
        <v>0</v>
      </c>
      <c r="T350" s="17">
        <v>0</v>
      </c>
      <c r="U350" s="17">
        <v>1.93</v>
      </c>
      <c r="V350" s="17">
        <v>5.03</v>
      </c>
      <c r="W350" s="17">
        <v>3.97</v>
      </c>
      <c r="X350" s="17">
        <v>0</v>
      </c>
      <c r="Y350" s="17">
        <v>3.18</v>
      </c>
      <c r="Z350" s="17">
        <v>0</v>
      </c>
      <c r="AA350" s="17">
        <v>0</v>
      </c>
      <c r="AB350" s="17">
        <v>8.76</v>
      </c>
      <c r="AC350" s="17">
        <v>7.31</v>
      </c>
      <c r="AD350" s="17">
        <v>0</v>
      </c>
      <c r="AE350" s="17">
        <v>0</v>
      </c>
      <c r="AF350" s="17">
        <v>1.67</v>
      </c>
      <c r="AG350" s="17">
        <v>0</v>
      </c>
      <c r="AH350" s="17">
        <v>0</v>
      </c>
      <c r="AI350" s="17">
        <f t="shared" si="23"/>
        <v>4</v>
      </c>
      <c r="AJ350" s="17">
        <f t="shared" si="24"/>
        <v>3</v>
      </c>
      <c r="AK350" s="17">
        <f t="shared" si="25"/>
        <v>13</v>
      </c>
      <c r="AL350" s="17">
        <f t="shared" si="26"/>
        <v>1</v>
      </c>
      <c r="AM350" s="17">
        <f>VLOOKUP(AK350,Sheet1!$A$2:$B$25,2,FALSE)</f>
        <v>1</v>
      </c>
    </row>
    <row r="351" spans="1:39" s="17" customFormat="1" x14ac:dyDescent="0.25">
      <c r="A351" s="21">
        <v>44595.572916666664</v>
      </c>
      <c r="B351" s="17">
        <v>518.79</v>
      </c>
      <c r="C351" s="17">
        <v>235.56</v>
      </c>
      <c r="D351" s="17">
        <v>200.9</v>
      </c>
      <c r="E351" s="17">
        <v>172.41</v>
      </c>
      <c r="F351" s="17">
        <v>180.2</v>
      </c>
      <c r="G351" s="17">
        <v>0</v>
      </c>
      <c r="H351" s="17">
        <v>25.53</v>
      </c>
      <c r="I351" s="17">
        <v>57.1</v>
      </c>
      <c r="J351" s="17">
        <v>29.39</v>
      </c>
      <c r="K351" s="17">
        <v>0</v>
      </c>
      <c r="L351" s="17">
        <v>69.3</v>
      </c>
      <c r="M351" s="17">
        <v>8.51</v>
      </c>
      <c r="N351" s="17">
        <v>20.440000000000001</v>
      </c>
      <c r="O351" s="17">
        <v>11.6</v>
      </c>
      <c r="P351" s="17">
        <v>19.22</v>
      </c>
      <c r="Q351" s="17">
        <v>8.39</v>
      </c>
      <c r="R351" s="17">
        <v>0.29599999999999999</v>
      </c>
      <c r="S351" s="17">
        <v>0</v>
      </c>
      <c r="T351" s="17">
        <v>0</v>
      </c>
      <c r="U351" s="17">
        <v>1.81</v>
      </c>
      <c r="V351" s="17">
        <v>0.31030000000000002</v>
      </c>
      <c r="W351" s="17">
        <v>2.08</v>
      </c>
      <c r="X351" s="17">
        <v>0</v>
      </c>
      <c r="Y351" s="17">
        <v>0</v>
      </c>
      <c r="Z351" s="17">
        <v>0</v>
      </c>
      <c r="AA351" s="17">
        <v>0</v>
      </c>
      <c r="AB351" s="17">
        <v>1.29</v>
      </c>
      <c r="AC351" s="17">
        <v>4.41</v>
      </c>
      <c r="AD351" s="17">
        <v>0</v>
      </c>
      <c r="AE351" s="17">
        <v>0</v>
      </c>
      <c r="AF351" s="17">
        <v>0.69630000000000003</v>
      </c>
      <c r="AG351" s="17">
        <v>0</v>
      </c>
      <c r="AH351" s="17">
        <v>0</v>
      </c>
      <c r="AI351" s="17">
        <f t="shared" si="23"/>
        <v>4</v>
      </c>
      <c r="AJ351" s="17">
        <f t="shared" si="24"/>
        <v>3</v>
      </c>
      <c r="AK351" s="17">
        <f t="shared" si="25"/>
        <v>13</v>
      </c>
      <c r="AL351" s="17">
        <f t="shared" si="26"/>
        <v>1</v>
      </c>
      <c r="AM351" s="17">
        <f>VLOOKUP(AK351,Sheet1!$A$2:$B$25,2,FALSE)</f>
        <v>1</v>
      </c>
    </row>
    <row r="352" spans="1:39" s="17" customFormat="1" x14ac:dyDescent="0.25">
      <c r="A352" s="21">
        <v>44595.583333333336</v>
      </c>
      <c r="B352" s="17">
        <v>446.32</v>
      </c>
      <c r="C352" s="17">
        <v>242.71</v>
      </c>
      <c r="D352" s="17">
        <v>121.77</v>
      </c>
      <c r="E352" s="17">
        <v>175.55</v>
      </c>
      <c r="F352" s="17">
        <v>96.63</v>
      </c>
      <c r="G352" s="17">
        <v>0</v>
      </c>
      <c r="H352" s="17">
        <v>30.45</v>
      </c>
      <c r="I352" s="17">
        <v>57.19</v>
      </c>
      <c r="J352" s="17">
        <v>29.94</v>
      </c>
      <c r="K352" s="17">
        <v>0</v>
      </c>
      <c r="L352" s="17">
        <v>73.650000000000006</v>
      </c>
      <c r="M352" s="17">
        <v>16.52</v>
      </c>
      <c r="N352" s="17">
        <v>19.47</v>
      </c>
      <c r="O352" s="17">
        <v>13.63</v>
      </c>
      <c r="P352" s="17">
        <v>19.2</v>
      </c>
      <c r="Q352" s="17">
        <v>9.9600000000000009</v>
      </c>
      <c r="R352" s="17">
        <v>0.4839</v>
      </c>
      <c r="S352" s="17">
        <v>0</v>
      </c>
      <c r="T352" s="17">
        <v>0</v>
      </c>
      <c r="U352" s="17">
        <v>1.64</v>
      </c>
      <c r="V352" s="17">
        <v>3.08</v>
      </c>
      <c r="W352" s="17">
        <v>1.08</v>
      </c>
      <c r="X352" s="17">
        <v>0</v>
      </c>
      <c r="Y352" s="17">
        <v>0</v>
      </c>
      <c r="Z352" s="17">
        <v>0</v>
      </c>
      <c r="AA352" s="17">
        <v>0</v>
      </c>
      <c r="AB352" s="17">
        <v>0</v>
      </c>
      <c r="AC352" s="17">
        <v>2.37</v>
      </c>
      <c r="AD352" s="17">
        <v>0</v>
      </c>
      <c r="AE352" s="17">
        <v>0</v>
      </c>
      <c r="AF352" s="17">
        <v>0</v>
      </c>
      <c r="AG352" s="17">
        <v>2.19</v>
      </c>
      <c r="AH352" s="17">
        <v>0</v>
      </c>
      <c r="AI352" s="17">
        <f t="shared" si="23"/>
        <v>4</v>
      </c>
      <c r="AJ352" s="17">
        <f t="shared" si="24"/>
        <v>3</v>
      </c>
      <c r="AK352" s="17">
        <f t="shared" si="25"/>
        <v>14</v>
      </c>
      <c r="AL352" s="17">
        <f t="shared" si="26"/>
        <v>1</v>
      </c>
      <c r="AM352" s="17">
        <f>VLOOKUP(AK352,Sheet1!$A$2:$B$25,2,FALSE)</f>
        <v>1</v>
      </c>
    </row>
    <row r="353" spans="1:39" s="17" customFormat="1" x14ac:dyDescent="0.25">
      <c r="A353" s="21">
        <v>44595.59375</v>
      </c>
      <c r="B353" s="17">
        <v>375.22</v>
      </c>
      <c r="C353" s="17">
        <v>244.09</v>
      </c>
      <c r="D353" s="17">
        <v>3.98</v>
      </c>
      <c r="E353" s="17">
        <v>176.92</v>
      </c>
      <c r="F353" s="17">
        <v>0</v>
      </c>
      <c r="G353" s="17">
        <v>0</v>
      </c>
      <c r="H353" s="17">
        <v>1.06</v>
      </c>
      <c r="I353" s="17">
        <v>95.73</v>
      </c>
      <c r="J353" s="17">
        <v>28.73</v>
      </c>
      <c r="K353" s="17">
        <v>0</v>
      </c>
      <c r="L353" s="17">
        <v>73.180000000000007</v>
      </c>
      <c r="M353" s="17">
        <v>0</v>
      </c>
      <c r="N353" s="17">
        <v>21.21</v>
      </c>
      <c r="O353" s="17">
        <v>10.36</v>
      </c>
      <c r="P353" s="17">
        <v>15.89</v>
      </c>
      <c r="Q353" s="17">
        <v>10.37</v>
      </c>
      <c r="R353" s="17">
        <v>0.2495</v>
      </c>
      <c r="S353" s="17">
        <v>0</v>
      </c>
      <c r="T353" s="17">
        <v>0</v>
      </c>
      <c r="U353" s="17">
        <v>1.65</v>
      </c>
      <c r="V353" s="17">
        <v>2.16</v>
      </c>
      <c r="W353" s="17">
        <v>1.1100000000000001</v>
      </c>
      <c r="X353" s="17">
        <v>0</v>
      </c>
      <c r="Y353" s="17">
        <v>3.23</v>
      </c>
      <c r="Z353" s="17">
        <v>0</v>
      </c>
      <c r="AA353" s="17">
        <v>0</v>
      </c>
      <c r="AB353" s="17">
        <v>0</v>
      </c>
      <c r="AC353" s="17">
        <v>10.14</v>
      </c>
      <c r="AD353" s="17">
        <v>0</v>
      </c>
      <c r="AE353" s="17">
        <v>0</v>
      </c>
      <c r="AF353" s="17">
        <v>0</v>
      </c>
      <c r="AG353" s="17">
        <v>0</v>
      </c>
      <c r="AH353" s="17">
        <v>0</v>
      </c>
      <c r="AI353" s="17">
        <f t="shared" si="23"/>
        <v>4</v>
      </c>
      <c r="AJ353" s="17">
        <f t="shared" si="24"/>
        <v>3</v>
      </c>
      <c r="AK353" s="17">
        <f t="shared" si="25"/>
        <v>14</v>
      </c>
      <c r="AL353" s="17">
        <f t="shared" si="26"/>
        <v>1</v>
      </c>
      <c r="AM353" s="17">
        <f>VLOOKUP(AK353,Sheet1!$A$2:$B$25,2,FALSE)</f>
        <v>1</v>
      </c>
    </row>
    <row r="354" spans="1:39" s="17" customFormat="1" x14ac:dyDescent="0.25">
      <c r="A354" s="21">
        <v>44595.604166666664</v>
      </c>
      <c r="B354" s="17">
        <v>298.01</v>
      </c>
      <c r="C354" s="17">
        <v>207.67</v>
      </c>
      <c r="D354" s="17">
        <v>9.24</v>
      </c>
      <c r="E354" s="17">
        <v>175.56</v>
      </c>
      <c r="F354" s="17">
        <v>0</v>
      </c>
      <c r="G354" s="17">
        <v>0</v>
      </c>
      <c r="H354" s="17">
        <v>1.4</v>
      </c>
      <c r="I354" s="17">
        <v>78.75</v>
      </c>
      <c r="J354" s="17">
        <v>24.55</v>
      </c>
      <c r="K354" s="17">
        <v>0</v>
      </c>
      <c r="L354" s="17">
        <v>39.229999999999997</v>
      </c>
      <c r="M354" s="17">
        <v>0</v>
      </c>
      <c r="N354" s="17">
        <v>3.87</v>
      </c>
      <c r="O354" s="17">
        <v>11.82</v>
      </c>
      <c r="P354" s="17">
        <v>1.71</v>
      </c>
      <c r="Q354" s="17">
        <v>8.61</v>
      </c>
      <c r="R354" s="17">
        <v>0.34739999999999999</v>
      </c>
      <c r="S354" s="17">
        <v>0</v>
      </c>
      <c r="T354" s="17">
        <v>0</v>
      </c>
      <c r="U354" s="17">
        <v>1.73</v>
      </c>
      <c r="V354" s="17">
        <v>0</v>
      </c>
      <c r="W354" s="17">
        <v>1.07</v>
      </c>
      <c r="X354" s="17">
        <v>0</v>
      </c>
      <c r="Y354" s="17">
        <v>0</v>
      </c>
      <c r="Z354" s="17">
        <v>0</v>
      </c>
      <c r="AA354" s="17">
        <v>0</v>
      </c>
      <c r="AB354" s="17">
        <v>0</v>
      </c>
      <c r="AC354" s="17">
        <v>0.65290000000000004</v>
      </c>
      <c r="AD354" s="17">
        <v>0</v>
      </c>
      <c r="AE354" s="17">
        <v>0</v>
      </c>
      <c r="AF354" s="17">
        <v>0</v>
      </c>
      <c r="AG354" s="17">
        <v>1.78</v>
      </c>
      <c r="AH354" s="17">
        <v>0</v>
      </c>
      <c r="AI354" s="17">
        <f t="shared" si="23"/>
        <v>4</v>
      </c>
      <c r="AJ354" s="17">
        <f t="shared" si="24"/>
        <v>3</v>
      </c>
      <c r="AK354" s="17">
        <f t="shared" si="25"/>
        <v>14</v>
      </c>
      <c r="AL354" s="17">
        <f t="shared" si="26"/>
        <v>1</v>
      </c>
      <c r="AM354" s="17">
        <f>VLOOKUP(AK354,Sheet1!$A$2:$B$25,2,FALSE)</f>
        <v>1</v>
      </c>
    </row>
    <row r="355" spans="1:39" s="17" customFormat="1" x14ac:dyDescent="0.25">
      <c r="A355" s="21">
        <v>44595.614583333336</v>
      </c>
      <c r="B355" s="17">
        <v>92.01</v>
      </c>
      <c r="C355" s="17">
        <v>39.86</v>
      </c>
      <c r="D355" s="17">
        <v>4.2300000000000004</v>
      </c>
      <c r="E355" s="17">
        <v>35.700000000000003</v>
      </c>
      <c r="F355" s="17">
        <v>0</v>
      </c>
      <c r="G355" s="17">
        <v>0</v>
      </c>
      <c r="H355" s="17">
        <v>1.1000000000000001</v>
      </c>
      <c r="I355" s="17">
        <v>47.92</v>
      </c>
      <c r="J355" s="17">
        <v>4.32</v>
      </c>
      <c r="K355" s="17">
        <v>0</v>
      </c>
      <c r="L355" s="17">
        <v>5.8</v>
      </c>
      <c r="M355" s="17">
        <v>0</v>
      </c>
      <c r="N355" s="17">
        <v>0</v>
      </c>
      <c r="O355" s="17">
        <v>0</v>
      </c>
      <c r="P355" s="17">
        <v>0</v>
      </c>
      <c r="Q355" s="17">
        <v>0</v>
      </c>
      <c r="R355" s="17">
        <v>0.29449999999999998</v>
      </c>
      <c r="S355" s="17">
        <v>0</v>
      </c>
      <c r="T355" s="17">
        <v>0</v>
      </c>
      <c r="U355" s="17">
        <v>1.78</v>
      </c>
      <c r="V355" s="17">
        <v>0</v>
      </c>
      <c r="W355" s="17">
        <v>1.28</v>
      </c>
      <c r="X355" s="17">
        <v>0</v>
      </c>
      <c r="Y355" s="17">
        <v>0</v>
      </c>
      <c r="Z355" s="17">
        <v>0</v>
      </c>
      <c r="AA355" s="17">
        <v>0</v>
      </c>
      <c r="AB355" s="17">
        <v>0</v>
      </c>
      <c r="AC355" s="17">
        <v>0</v>
      </c>
      <c r="AD355" s="17">
        <v>0</v>
      </c>
      <c r="AE355" s="17">
        <v>0</v>
      </c>
      <c r="AF355" s="17">
        <v>0</v>
      </c>
      <c r="AG355" s="17">
        <v>0</v>
      </c>
      <c r="AH355" s="17">
        <v>0</v>
      </c>
      <c r="AI355" s="17">
        <f t="shared" si="23"/>
        <v>4</v>
      </c>
      <c r="AJ355" s="17">
        <f t="shared" si="24"/>
        <v>3</v>
      </c>
      <c r="AK355" s="17">
        <f t="shared" si="25"/>
        <v>14</v>
      </c>
      <c r="AL355" s="17">
        <f t="shared" si="26"/>
        <v>1</v>
      </c>
      <c r="AM355" s="17">
        <f>VLOOKUP(AK355,Sheet1!$A$2:$B$25,2,FALSE)</f>
        <v>1</v>
      </c>
    </row>
    <row r="356" spans="1:39" s="17" customFormat="1" x14ac:dyDescent="0.25">
      <c r="A356" s="21">
        <v>44595.625</v>
      </c>
      <c r="B356" s="17">
        <v>4.4800000000000004</v>
      </c>
      <c r="C356" s="17">
        <v>0.21870000000000001</v>
      </c>
      <c r="D356" s="17">
        <v>4.26</v>
      </c>
      <c r="E356" s="17">
        <v>0</v>
      </c>
      <c r="F356" s="17">
        <v>0</v>
      </c>
      <c r="G356" s="17">
        <v>0</v>
      </c>
      <c r="H356" s="17">
        <v>1.67</v>
      </c>
      <c r="I356" s="17">
        <v>0</v>
      </c>
      <c r="J356" s="17">
        <v>1.8</v>
      </c>
      <c r="K356" s="17">
        <v>0</v>
      </c>
      <c r="L356" s="17">
        <v>0</v>
      </c>
      <c r="M356" s="17">
        <v>0</v>
      </c>
      <c r="N356" s="17">
        <v>0</v>
      </c>
      <c r="O356" s="17">
        <v>0</v>
      </c>
      <c r="P356" s="17">
        <v>0</v>
      </c>
      <c r="Q356" s="17">
        <v>0</v>
      </c>
      <c r="R356" s="17">
        <v>0.44450000000000001</v>
      </c>
      <c r="S356" s="17">
        <v>0</v>
      </c>
      <c r="T356" s="17">
        <v>0</v>
      </c>
      <c r="U356" s="17">
        <v>1.78</v>
      </c>
      <c r="V356" s="17">
        <v>0</v>
      </c>
      <c r="W356" s="17">
        <v>1.17</v>
      </c>
      <c r="X356" s="17">
        <v>0</v>
      </c>
      <c r="Y356" s="17">
        <v>0</v>
      </c>
      <c r="Z356" s="17">
        <v>0</v>
      </c>
      <c r="AA356" s="17">
        <v>0</v>
      </c>
      <c r="AB356" s="17">
        <v>0</v>
      </c>
      <c r="AC356" s="17">
        <v>0</v>
      </c>
      <c r="AD356" s="17">
        <v>0</v>
      </c>
      <c r="AE356" s="17">
        <v>0</v>
      </c>
      <c r="AF356" s="17">
        <v>0</v>
      </c>
      <c r="AG356" s="17">
        <v>0</v>
      </c>
      <c r="AH356" s="17">
        <v>0</v>
      </c>
      <c r="AI356" s="17">
        <f t="shared" si="23"/>
        <v>4</v>
      </c>
      <c r="AJ356" s="17">
        <f t="shared" si="24"/>
        <v>3</v>
      </c>
      <c r="AK356" s="17">
        <f t="shared" si="25"/>
        <v>15</v>
      </c>
      <c r="AL356" s="17">
        <f t="shared" si="26"/>
        <v>1</v>
      </c>
      <c r="AM356" s="17">
        <f>VLOOKUP(AK356,Sheet1!$A$2:$B$25,2,FALSE)</f>
        <v>1</v>
      </c>
    </row>
    <row r="357" spans="1:39" s="17" customFormat="1" x14ac:dyDescent="0.25">
      <c r="A357" s="21">
        <v>44595.635416666664</v>
      </c>
      <c r="B357" s="17">
        <v>3.85</v>
      </c>
      <c r="C357" s="17">
        <v>0</v>
      </c>
      <c r="D357" s="17">
        <v>3.85</v>
      </c>
      <c r="E357" s="17">
        <v>0</v>
      </c>
      <c r="F357" s="17">
        <v>0</v>
      </c>
      <c r="G357" s="17">
        <v>0</v>
      </c>
      <c r="H357" s="17">
        <v>0.65759999999999996</v>
      </c>
      <c r="I357" s="17">
        <v>0</v>
      </c>
      <c r="J357" s="17">
        <v>1.7</v>
      </c>
      <c r="K357" s="17">
        <v>0</v>
      </c>
      <c r="L357" s="17">
        <v>0</v>
      </c>
      <c r="M357" s="17">
        <v>0</v>
      </c>
      <c r="N357" s="17">
        <v>0</v>
      </c>
      <c r="O357" s="17">
        <v>0</v>
      </c>
      <c r="P357" s="17">
        <v>0</v>
      </c>
      <c r="Q357" s="17">
        <v>0</v>
      </c>
      <c r="R357" s="17">
        <v>0.2984</v>
      </c>
      <c r="S357" s="17">
        <v>0</v>
      </c>
      <c r="T357" s="17">
        <v>0</v>
      </c>
      <c r="U357" s="17">
        <v>1.67</v>
      </c>
      <c r="V357" s="17">
        <v>0</v>
      </c>
      <c r="W357" s="17">
        <v>1.0900000000000001</v>
      </c>
      <c r="X357" s="17">
        <v>0</v>
      </c>
      <c r="Y357" s="17">
        <v>0</v>
      </c>
      <c r="Z357" s="17">
        <v>0</v>
      </c>
      <c r="AA357" s="17">
        <v>0</v>
      </c>
      <c r="AB357" s="17">
        <v>0</v>
      </c>
      <c r="AC357" s="17">
        <v>0</v>
      </c>
      <c r="AD357" s="17">
        <v>0</v>
      </c>
      <c r="AE357" s="17">
        <v>0</v>
      </c>
      <c r="AF357" s="17">
        <v>0</v>
      </c>
      <c r="AG357" s="17">
        <v>0</v>
      </c>
      <c r="AH357" s="17">
        <v>0</v>
      </c>
      <c r="AI357" s="17">
        <f t="shared" si="23"/>
        <v>4</v>
      </c>
      <c r="AJ357" s="17">
        <f t="shared" si="24"/>
        <v>3</v>
      </c>
      <c r="AK357" s="17">
        <f t="shared" si="25"/>
        <v>15</v>
      </c>
      <c r="AL357" s="17">
        <f t="shared" si="26"/>
        <v>1</v>
      </c>
      <c r="AM357" s="17">
        <f>VLOOKUP(AK357,Sheet1!$A$2:$B$25,2,FALSE)</f>
        <v>1</v>
      </c>
    </row>
    <row r="358" spans="1:39" s="17" customFormat="1" x14ac:dyDescent="0.25">
      <c r="A358" s="21">
        <v>44595.645833333336</v>
      </c>
      <c r="B358" s="17">
        <v>4.3</v>
      </c>
      <c r="C358" s="17">
        <v>0.2021</v>
      </c>
      <c r="D358" s="17">
        <v>3.92</v>
      </c>
      <c r="E358" s="17">
        <v>0</v>
      </c>
      <c r="F358" s="17">
        <v>0</v>
      </c>
      <c r="G358" s="17">
        <v>0</v>
      </c>
      <c r="H358" s="17">
        <v>1.02</v>
      </c>
      <c r="I358" s="17">
        <v>0</v>
      </c>
      <c r="J358" s="17">
        <v>1.76</v>
      </c>
      <c r="K358" s="17">
        <v>0</v>
      </c>
      <c r="L358" s="17">
        <v>0</v>
      </c>
      <c r="M358" s="17">
        <v>0</v>
      </c>
      <c r="N358" s="17">
        <v>0</v>
      </c>
      <c r="O358" s="17">
        <v>0</v>
      </c>
      <c r="P358" s="17">
        <v>0</v>
      </c>
      <c r="Q358" s="17">
        <v>0</v>
      </c>
      <c r="R358" s="17">
        <v>0.39389999999999997</v>
      </c>
      <c r="S358" s="17">
        <v>0</v>
      </c>
      <c r="T358" s="17">
        <v>0</v>
      </c>
      <c r="U358" s="17">
        <v>1.68</v>
      </c>
      <c r="V358" s="17">
        <v>0</v>
      </c>
      <c r="W358" s="17">
        <v>1.0900000000000001</v>
      </c>
      <c r="X358" s="17">
        <v>0</v>
      </c>
      <c r="Y358" s="17">
        <v>0</v>
      </c>
      <c r="Z358" s="17">
        <v>0</v>
      </c>
      <c r="AA358" s="17">
        <v>0</v>
      </c>
      <c r="AB358" s="17">
        <v>0</v>
      </c>
      <c r="AC358" s="17">
        <v>0.1855</v>
      </c>
      <c r="AD358" s="17">
        <v>0</v>
      </c>
      <c r="AE358" s="17">
        <v>0</v>
      </c>
      <c r="AF358" s="17">
        <v>0</v>
      </c>
      <c r="AG358" s="17">
        <v>0</v>
      </c>
      <c r="AH358" s="17">
        <v>0</v>
      </c>
      <c r="AI358" s="17">
        <f t="shared" si="23"/>
        <v>4</v>
      </c>
      <c r="AJ358" s="17">
        <f t="shared" si="24"/>
        <v>3</v>
      </c>
      <c r="AK358" s="17">
        <f t="shared" si="25"/>
        <v>15</v>
      </c>
      <c r="AL358" s="17">
        <f t="shared" si="26"/>
        <v>1</v>
      </c>
      <c r="AM358" s="17">
        <f>VLOOKUP(AK358,Sheet1!$A$2:$B$25,2,FALSE)</f>
        <v>1</v>
      </c>
    </row>
    <row r="359" spans="1:39" s="17" customFormat="1" x14ac:dyDescent="0.25">
      <c r="A359" s="21">
        <v>44595.65625</v>
      </c>
      <c r="B359" s="17">
        <v>6.01</v>
      </c>
      <c r="C359" s="17">
        <v>0.21870000000000001</v>
      </c>
      <c r="D359" s="17">
        <v>4.1100000000000003</v>
      </c>
      <c r="E359" s="17">
        <v>0</v>
      </c>
      <c r="F359" s="17">
        <v>0</v>
      </c>
      <c r="G359" s="17">
        <v>0</v>
      </c>
      <c r="H359" s="17">
        <v>1.58</v>
      </c>
      <c r="I359" s="17">
        <v>0</v>
      </c>
      <c r="J359" s="17">
        <v>2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0.25259999999999999</v>
      </c>
      <c r="S359" s="17">
        <v>0</v>
      </c>
      <c r="T359" s="17">
        <v>0</v>
      </c>
      <c r="U359" s="17">
        <v>1.7</v>
      </c>
      <c r="V359" s="17">
        <v>0</v>
      </c>
      <c r="W359" s="17">
        <v>1.1100000000000001</v>
      </c>
      <c r="X359" s="17">
        <v>0</v>
      </c>
      <c r="Y359" s="17">
        <v>0</v>
      </c>
      <c r="Z359" s="17">
        <v>0</v>
      </c>
      <c r="AA359" s="17">
        <v>0</v>
      </c>
      <c r="AB359" s="17">
        <v>0</v>
      </c>
      <c r="AC359" s="17">
        <v>1.68</v>
      </c>
      <c r="AD359" s="17">
        <v>0</v>
      </c>
      <c r="AE359" s="17">
        <v>0</v>
      </c>
      <c r="AF359" s="17">
        <v>0</v>
      </c>
      <c r="AG359" s="17">
        <v>0</v>
      </c>
      <c r="AH359" s="17">
        <v>0</v>
      </c>
      <c r="AI359" s="17">
        <f t="shared" si="23"/>
        <v>4</v>
      </c>
      <c r="AJ359" s="17">
        <f t="shared" si="24"/>
        <v>3</v>
      </c>
      <c r="AK359" s="17">
        <f t="shared" si="25"/>
        <v>15</v>
      </c>
      <c r="AL359" s="17">
        <f t="shared" si="26"/>
        <v>1</v>
      </c>
      <c r="AM359" s="17">
        <f>VLOOKUP(AK359,Sheet1!$A$2:$B$25,2,FALSE)</f>
        <v>1</v>
      </c>
    </row>
    <row r="360" spans="1:39" s="17" customFormat="1" x14ac:dyDescent="0.25">
      <c r="A360" s="21">
        <v>44595.666666666664</v>
      </c>
      <c r="B360" s="17">
        <v>5.93</v>
      </c>
      <c r="C360" s="17">
        <v>0</v>
      </c>
      <c r="D360" s="17">
        <v>4.05</v>
      </c>
      <c r="E360" s="17">
        <v>0</v>
      </c>
      <c r="F360" s="17">
        <v>0</v>
      </c>
      <c r="G360" s="17">
        <v>0</v>
      </c>
      <c r="H360" s="17">
        <v>0.87229999999999996</v>
      </c>
      <c r="I360" s="17">
        <v>0</v>
      </c>
      <c r="J360" s="17">
        <v>1.93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17">
        <v>0</v>
      </c>
      <c r="R360" s="17">
        <v>0.3</v>
      </c>
      <c r="S360" s="17">
        <v>0</v>
      </c>
      <c r="T360" s="17">
        <v>0</v>
      </c>
      <c r="U360" s="17">
        <v>1.72</v>
      </c>
      <c r="V360" s="17">
        <v>0</v>
      </c>
      <c r="W360" s="17">
        <v>1.1200000000000001</v>
      </c>
      <c r="X360" s="17">
        <v>0</v>
      </c>
      <c r="Y360" s="17">
        <v>0</v>
      </c>
      <c r="Z360" s="17">
        <v>0</v>
      </c>
      <c r="AA360" s="17">
        <v>0</v>
      </c>
      <c r="AB360" s="17">
        <v>0</v>
      </c>
      <c r="AC360" s="17">
        <v>1.87</v>
      </c>
      <c r="AD360" s="17">
        <v>0</v>
      </c>
      <c r="AE360" s="17">
        <v>0</v>
      </c>
      <c r="AF360" s="17">
        <v>0</v>
      </c>
      <c r="AG360" s="17">
        <v>0</v>
      </c>
      <c r="AH360" s="17">
        <v>0</v>
      </c>
      <c r="AI360" s="17">
        <f t="shared" si="23"/>
        <v>4</v>
      </c>
      <c r="AJ360" s="17">
        <f t="shared" si="24"/>
        <v>3</v>
      </c>
      <c r="AK360" s="17">
        <f t="shared" si="25"/>
        <v>16</v>
      </c>
      <c r="AL360" s="17">
        <f t="shared" si="26"/>
        <v>1</v>
      </c>
      <c r="AM360" s="17">
        <f>VLOOKUP(AK360,Sheet1!$A$2:$B$25,2,FALSE)</f>
        <v>0</v>
      </c>
    </row>
    <row r="361" spans="1:39" s="17" customFormat="1" x14ac:dyDescent="0.25">
      <c r="A361" s="21">
        <v>44595.677083333336</v>
      </c>
      <c r="B361" s="17">
        <v>26.54</v>
      </c>
      <c r="C361" s="17">
        <v>22.41</v>
      </c>
      <c r="D361" s="17">
        <v>4.13</v>
      </c>
      <c r="E361" s="17">
        <v>22.66</v>
      </c>
      <c r="F361" s="17">
        <v>0</v>
      </c>
      <c r="G361" s="17">
        <v>0</v>
      </c>
      <c r="H361" s="17">
        <v>1.71</v>
      </c>
      <c r="I361" s="17">
        <v>0</v>
      </c>
      <c r="J361" s="17">
        <v>2.0299999999999998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17">
        <v>0</v>
      </c>
      <c r="R361" s="17">
        <v>0.34970000000000001</v>
      </c>
      <c r="S361" s="17">
        <v>0</v>
      </c>
      <c r="T361" s="17">
        <v>0</v>
      </c>
      <c r="U361" s="17">
        <v>1.69</v>
      </c>
      <c r="V361" s="17">
        <v>0</v>
      </c>
      <c r="W361" s="17">
        <v>1.1100000000000001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17">
        <v>0</v>
      </c>
      <c r="AG361" s="17">
        <v>0</v>
      </c>
      <c r="AH361" s="17">
        <v>0</v>
      </c>
      <c r="AI361" s="17">
        <f t="shared" si="23"/>
        <v>4</v>
      </c>
      <c r="AJ361" s="17">
        <f t="shared" si="24"/>
        <v>3</v>
      </c>
      <c r="AK361" s="17">
        <f t="shared" si="25"/>
        <v>16</v>
      </c>
      <c r="AL361" s="17">
        <f t="shared" si="26"/>
        <v>1</v>
      </c>
      <c r="AM361" s="17">
        <f>VLOOKUP(AK361,Sheet1!$A$2:$B$25,2,FALSE)</f>
        <v>0</v>
      </c>
    </row>
    <row r="362" spans="1:39" s="17" customFormat="1" x14ac:dyDescent="0.25">
      <c r="A362" s="21">
        <v>44595.6875</v>
      </c>
      <c r="B362" s="17">
        <v>180.51</v>
      </c>
      <c r="C362" s="17">
        <v>176.64</v>
      </c>
      <c r="D362" s="17">
        <v>3.87</v>
      </c>
      <c r="E362" s="17">
        <v>174.2</v>
      </c>
      <c r="F362" s="17">
        <v>0</v>
      </c>
      <c r="G362" s="17">
        <v>0</v>
      </c>
      <c r="H362" s="17">
        <v>1.53</v>
      </c>
      <c r="I362" s="17">
        <v>0</v>
      </c>
      <c r="J362" s="17">
        <v>2.27</v>
      </c>
      <c r="K362" s="17">
        <v>0</v>
      </c>
      <c r="L362" s="17">
        <v>0</v>
      </c>
      <c r="M362" s="17">
        <v>0</v>
      </c>
      <c r="N362" s="17">
        <v>0</v>
      </c>
      <c r="O362" s="17">
        <v>0</v>
      </c>
      <c r="P362" s="17">
        <v>0</v>
      </c>
      <c r="Q362" s="17">
        <v>0</v>
      </c>
      <c r="R362" s="17">
        <v>0.33389999999999997</v>
      </c>
      <c r="S362" s="17">
        <v>0</v>
      </c>
      <c r="T362" s="17">
        <v>0</v>
      </c>
      <c r="U362" s="17">
        <v>1.6</v>
      </c>
      <c r="V362" s="17">
        <v>0</v>
      </c>
      <c r="W362" s="17">
        <v>1.06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  <c r="AH362" s="17">
        <v>0</v>
      </c>
      <c r="AI362" s="17">
        <f t="shared" si="23"/>
        <v>4</v>
      </c>
      <c r="AJ362" s="17">
        <f t="shared" si="24"/>
        <v>3</v>
      </c>
      <c r="AK362" s="17">
        <f t="shared" si="25"/>
        <v>16</v>
      </c>
      <c r="AL362" s="17">
        <f t="shared" si="26"/>
        <v>1</v>
      </c>
      <c r="AM362" s="17">
        <f>VLOOKUP(AK362,Sheet1!$A$2:$B$25,2,FALSE)</f>
        <v>0</v>
      </c>
    </row>
    <row r="363" spans="1:39" s="17" customFormat="1" x14ac:dyDescent="0.25">
      <c r="A363" s="21">
        <v>44595.697916666664</v>
      </c>
      <c r="B363" s="17">
        <v>184.71</v>
      </c>
      <c r="C363" s="17">
        <v>180.55</v>
      </c>
      <c r="D363" s="17">
        <v>4.1500000000000004</v>
      </c>
      <c r="E363" s="17">
        <v>178.26</v>
      </c>
      <c r="F363" s="17">
        <v>0</v>
      </c>
      <c r="G363" s="17">
        <v>0</v>
      </c>
      <c r="H363" s="17">
        <v>2.0099999999999998</v>
      </c>
      <c r="I363" s="17">
        <v>0</v>
      </c>
      <c r="J363" s="17">
        <v>2.65</v>
      </c>
      <c r="K363" s="17">
        <v>0</v>
      </c>
      <c r="L363" s="17">
        <v>0</v>
      </c>
      <c r="M363" s="17">
        <v>0</v>
      </c>
      <c r="N363" s="17">
        <v>0</v>
      </c>
      <c r="O363" s="17">
        <v>0</v>
      </c>
      <c r="P363" s="17">
        <v>0</v>
      </c>
      <c r="Q363" s="17">
        <v>0</v>
      </c>
      <c r="R363" s="17">
        <v>0.46810000000000002</v>
      </c>
      <c r="S363" s="17">
        <v>0</v>
      </c>
      <c r="T363" s="17">
        <v>0</v>
      </c>
      <c r="U363" s="17">
        <v>1.7</v>
      </c>
      <c r="V363" s="17">
        <v>0</v>
      </c>
      <c r="W363" s="17">
        <v>1.1399999999999999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  <c r="AH363" s="17">
        <v>0</v>
      </c>
      <c r="AI363" s="17">
        <f t="shared" si="23"/>
        <v>4</v>
      </c>
      <c r="AJ363" s="17">
        <f t="shared" si="24"/>
        <v>3</v>
      </c>
      <c r="AK363" s="17">
        <f t="shared" si="25"/>
        <v>16</v>
      </c>
      <c r="AL363" s="17">
        <f t="shared" si="26"/>
        <v>1</v>
      </c>
      <c r="AM363" s="17">
        <f>VLOOKUP(AK363,Sheet1!$A$2:$B$25,2,FALSE)</f>
        <v>0</v>
      </c>
    </row>
    <row r="364" spans="1:39" s="17" customFormat="1" x14ac:dyDescent="0.25">
      <c r="A364" s="21">
        <v>44595.708333333336</v>
      </c>
      <c r="B364" s="17">
        <v>182.47</v>
      </c>
      <c r="C364" s="17">
        <v>178.38</v>
      </c>
      <c r="D364" s="17">
        <v>4.09</v>
      </c>
      <c r="E364" s="17">
        <v>177.21</v>
      </c>
      <c r="F364" s="17">
        <v>0</v>
      </c>
      <c r="G364" s="17">
        <v>0</v>
      </c>
      <c r="H364" s="17">
        <v>2.2400000000000002</v>
      </c>
      <c r="I364" s="17">
        <v>0</v>
      </c>
      <c r="J364" s="17">
        <v>2.74</v>
      </c>
      <c r="K364" s="17">
        <v>0</v>
      </c>
      <c r="L364" s="17">
        <v>0</v>
      </c>
      <c r="M364" s="17">
        <v>0</v>
      </c>
      <c r="N364" s="17">
        <v>0</v>
      </c>
      <c r="O364" s="17">
        <v>0</v>
      </c>
      <c r="P364" s="17">
        <v>0</v>
      </c>
      <c r="Q364" s="17">
        <v>0</v>
      </c>
      <c r="R364" s="17">
        <v>0.94969999999999999</v>
      </c>
      <c r="S364" s="17">
        <v>0</v>
      </c>
      <c r="T364" s="17">
        <v>0</v>
      </c>
      <c r="U364" s="17">
        <v>1.69</v>
      </c>
      <c r="V364" s="17">
        <v>0</v>
      </c>
      <c r="W364" s="17">
        <v>1.1299999999999999</v>
      </c>
      <c r="X364" s="17">
        <v>0</v>
      </c>
      <c r="Y364" s="17">
        <v>0</v>
      </c>
      <c r="Z364" s="17">
        <v>0</v>
      </c>
      <c r="AA364" s="17">
        <v>0</v>
      </c>
      <c r="AB364" s="17">
        <v>0</v>
      </c>
      <c r="AC364" s="17">
        <v>0</v>
      </c>
      <c r="AD364" s="17">
        <v>0</v>
      </c>
      <c r="AE364" s="17">
        <v>0</v>
      </c>
      <c r="AF364" s="17">
        <v>0</v>
      </c>
      <c r="AG364" s="17">
        <v>0</v>
      </c>
      <c r="AH364" s="17">
        <v>0</v>
      </c>
      <c r="AI364" s="17">
        <f t="shared" si="23"/>
        <v>4</v>
      </c>
      <c r="AJ364" s="17">
        <f t="shared" si="24"/>
        <v>3</v>
      </c>
      <c r="AK364" s="17">
        <f t="shared" si="25"/>
        <v>17</v>
      </c>
      <c r="AL364" s="17">
        <f t="shared" si="26"/>
        <v>1</v>
      </c>
      <c r="AM364" s="17">
        <f>VLOOKUP(AK364,Sheet1!$A$2:$B$25,2,FALSE)</f>
        <v>0</v>
      </c>
    </row>
    <row r="365" spans="1:39" s="17" customFormat="1" x14ac:dyDescent="0.25">
      <c r="A365" s="21">
        <v>44595.71875</v>
      </c>
      <c r="B365" s="17">
        <v>4.58</v>
      </c>
      <c r="C365" s="17">
        <v>0.23599999999999999</v>
      </c>
      <c r="D365" s="17">
        <v>4.34</v>
      </c>
      <c r="E365" s="17">
        <v>0</v>
      </c>
      <c r="F365" s="17">
        <v>0</v>
      </c>
      <c r="G365" s="17">
        <v>0</v>
      </c>
      <c r="H365" s="17">
        <v>1.77</v>
      </c>
      <c r="I365" s="17">
        <v>0</v>
      </c>
      <c r="J365" s="17">
        <v>2.5099999999999998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0.9244</v>
      </c>
      <c r="S365" s="17">
        <v>0</v>
      </c>
      <c r="T365" s="17">
        <v>0</v>
      </c>
      <c r="U365" s="17">
        <v>1.8</v>
      </c>
      <c r="V365" s="17">
        <v>0</v>
      </c>
      <c r="W365" s="17">
        <v>1.19</v>
      </c>
      <c r="X365" s="17">
        <v>0</v>
      </c>
      <c r="Y365" s="17">
        <v>0</v>
      </c>
      <c r="Z365" s="17">
        <v>0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  <c r="AH365" s="17">
        <v>0</v>
      </c>
      <c r="AI365" s="17">
        <f t="shared" si="23"/>
        <v>4</v>
      </c>
      <c r="AJ365" s="17">
        <f t="shared" si="24"/>
        <v>3</v>
      </c>
      <c r="AK365" s="17">
        <f t="shared" si="25"/>
        <v>17</v>
      </c>
      <c r="AL365" s="17">
        <f t="shared" si="26"/>
        <v>1</v>
      </c>
      <c r="AM365" s="17">
        <f>VLOOKUP(AK365,Sheet1!$A$2:$B$25,2,FALSE)</f>
        <v>0</v>
      </c>
    </row>
    <row r="366" spans="1:39" s="17" customFormat="1" x14ac:dyDescent="0.25">
      <c r="A366" s="21">
        <v>44595.729166666664</v>
      </c>
      <c r="B366" s="17">
        <v>4.41</v>
      </c>
      <c r="C366" s="17">
        <v>0.50519999999999998</v>
      </c>
      <c r="D366" s="17">
        <v>3.91</v>
      </c>
      <c r="E366" s="17">
        <v>0</v>
      </c>
      <c r="F366" s="17">
        <v>0</v>
      </c>
      <c r="G366" s="17">
        <v>0</v>
      </c>
      <c r="H366" s="17">
        <v>2.2799999999999998</v>
      </c>
      <c r="I366" s="17">
        <v>0</v>
      </c>
      <c r="J366" s="17">
        <v>2.52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0.36549999999999999</v>
      </c>
      <c r="S366" s="17">
        <v>0</v>
      </c>
      <c r="T366" s="17">
        <v>0</v>
      </c>
      <c r="U366" s="17">
        <v>1.79</v>
      </c>
      <c r="V366" s="17">
        <v>0</v>
      </c>
      <c r="W366" s="17">
        <v>1.17</v>
      </c>
      <c r="X366" s="17">
        <v>0</v>
      </c>
      <c r="Y366" s="17">
        <v>0</v>
      </c>
      <c r="Z366" s="17">
        <v>0</v>
      </c>
      <c r="AA366" s="17">
        <v>0</v>
      </c>
      <c r="AB366" s="17">
        <v>0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  <c r="AH366" s="17">
        <v>0</v>
      </c>
      <c r="AI366" s="17">
        <f t="shared" si="23"/>
        <v>4</v>
      </c>
      <c r="AJ366" s="17">
        <f t="shared" si="24"/>
        <v>3</v>
      </c>
      <c r="AK366" s="17">
        <f t="shared" si="25"/>
        <v>17</v>
      </c>
      <c r="AL366" s="17">
        <f t="shared" si="26"/>
        <v>1</v>
      </c>
      <c r="AM366" s="17">
        <f>VLOOKUP(AK366,Sheet1!$A$2:$B$25,2,FALSE)</f>
        <v>0</v>
      </c>
    </row>
    <row r="367" spans="1:39" s="17" customFormat="1" x14ac:dyDescent="0.25">
      <c r="A367" s="21">
        <v>44595.739583333336</v>
      </c>
      <c r="B367" s="17">
        <v>47.89</v>
      </c>
      <c r="C367" s="17">
        <v>43.8</v>
      </c>
      <c r="D367" s="17">
        <v>4.08</v>
      </c>
      <c r="E367" s="17">
        <v>44.33</v>
      </c>
      <c r="F367" s="17">
        <v>0</v>
      </c>
      <c r="G367" s="17">
        <v>0</v>
      </c>
      <c r="H367" s="17">
        <v>1.61</v>
      </c>
      <c r="I367" s="17">
        <v>0</v>
      </c>
      <c r="J367" s="17">
        <v>2.5299999999999998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0.55810000000000004</v>
      </c>
      <c r="S367" s="17">
        <v>0</v>
      </c>
      <c r="T367" s="17">
        <v>0</v>
      </c>
      <c r="U367" s="17">
        <v>1.76</v>
      </c>
      <c r="V367" s="17">
        <v>0</v>
      </c>
      <c r="W367" s="17">
        <v>1.1599999999999999</v>
      </c>
      <c r="X367" s="17">
        <v>0</v>
      </c>
      <c r="Y367" s="17">
        <v>0</v>
      </c>
      <c r="Z367" s="17">
        <v>0</v>
      </c>
      <c r="AA367" s="17">
        <v>0</v>
      </c>
      <c r="AB367" s="17">
        <v>0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  <c r="AH367" s="17">
        <v>0</v>
      </c>
      <c r="AI367" s="17">
        <f t="shared" si="23"/>
        <v>4</v>
      </c>
      <c r="AJ367" s="17">
        <f t="shared" si="24"/>
        <v>3</v>
      </c>
      <c r="AK367" s="17">
        <f t="shared" si="25"/>
        <v>17</v>
      </c>
      <c r="AL367" s="17">
        <f t="shared" si="26"/>
        <v>1</v>
      </c>
      <c r="AM367" s="17">
        <f>VLOOKUP(AK367,Sheet1!$A$2:$B$25,2,FALSE)</f>
        <v>0</v>
      </c>
    </row>
    <row r="368" spans="1:39" s="17" customFormat="1" x14ac:dyDescent="0.25">
      <c r="A368" s="21">
        <v>44595.75</v>
      </c>
      <c r="B368" s="17">
        <v>5.17</v>
      </c>
      <c r="C368" s="17">
        <v>1.01</v>
      </c>
      <c r="D368" s="17">
        <v>4.16</v>
      </c>
      <c r="E368" s="17">
        <v>0</v>
      </c>
      <c r="F368" s="17">
        <v>0</v>
      </c>
      <c r="G368" s="17">
        <v>0</v>
      </c>
      <c r="H368" s="17">
        <v>2.08</v>
      </c>
      <c r="I368" s="17">
        <v>0</v>
      </c>
      <c r="J368" s="17">
        <v>2.5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0.79730000000000001</v>
      </c>
      <c r="S368" s="17">
        <v>0</v>
      </c>
      <c r="T368" s="17">
        <v>0</v>
      </c>
      <c r="U368" s="17">
        <v>1.79</v>
      </c>
      <c r="V368" s="17">
        <v>0</v>
      </c>
      <c r="W368" s="17">
        <v>1.18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  <c r="AH368" s="17">
        <v>0</v>
      </c>
      <c r="AI368" s="17">
        <f t="shared" si="23"/>
        <v>4</v>
      </c>
      <c r="AJ368" s="17">
        <f t="shared" si="24"/>
        <v>3</v>
      </c>
      <c r="AK368" s="17">
        <f t="shared" si="25"/>
        <v>18</v>
      </c>
      <c r="AL368" s="17">
        <f t="shared" si="26"/>
        <v>1</v>
      </c>
      <c r="AM368" s="17">
        <f>VLOOKUP(AK368,Sheet1!$A$2:$B$25,2,FALSE)</f>
        <v>0</v>
      </c>
    </row>
    <row r="369" spans="1:39" s="17" customFormat="1" x14ac:dyDescent="0.25">
      <c r="A369" s="21">
        <v>44595.760416666664</v>
      </c>
      <c r="B369" s="17">
        <v>4.5199999999999996</v>
      </c>
      <c r="C369" s="17">
        <v>0.23599999999999999</v>
      </c>
      <c r="D369" s="17">
        <v>4.29</v>
      </c>
      <c r="E369" s="17">
        <v>0</v>
      </c>
      <c r="F369" s="17">
        <v>0</v>
      </c>
      <c r="G369" s="17">
        <v>0</v>
      </c>
      <c r="H369" s="17">
        <v>2.12</v>
      </c>
      <c r="I369" s="17">
        <v>0</v>
      </c>
      <c r="J369" s="17">
        <v>2.5099999999999998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0.7429</v>
      </c>
      <c r="S369" s="17">
        <v>0</v>
      </c>
      <c r="T369" s="17">
        <v>0</v>
      </c>
      <c r="U369" s="17">
        <v>1.8</v>
      </c>
      <c r="V369" s="17">
        <v>0</v>
      </c>
      <c r="W369" s="17">
        <v>1.18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  <c r="AH369" s="17">
        <v>0</v>
      </c>
      <c r="AI369" s="17">
        <f t="shared" si="23"/>
        <v>4</v>
      </c>
      <c r="AJ369" s="17">
        <f t="shared" si="24"/>
        <v>3</v>
      </c>
      <c r="AK369" s="17">
        <f t="shared" si="25"/>
        <v>18</v>
      </c>
      <c r="AL369" s="17">
        <f t="shared" si="26"/>
        <v>1</v>
      </c>
      <c r="AM369" s="17">
        <f>VLOOKUP(AK369,Sheet1!$A$2:$B$25,2,FALSE)</f>
        <v>0</v>
      </c>
    </row>
    <row r="370" spans="1:39" s="17" customFormat="1" x14ac:dyDescent="0.25">
      <c r="A370" s="21">
        <v>44595.770833333336</v>
      </c>
      <c r="B370" s="17">
        <v>4.75</v>
      </c>
      <c r="C370" s="17">
        <v>0.52180000000000004</v>
      </c>
      <c r="D370" s="17">
        <v>4.2300000000000004</v>
      </c>
      <c r="E370" s="17">
        <v>0</v>
      </c>
      <c r="F370" s="17">
        <v>0</v>
      </c>
      <c r="G370" s="17">
        <v>0</v>
      </c>
      <c r="H370" s="17">
        <v>1.79</v>
      </c>
      <c r="I370" s="17">
        <v>0</v>
      </c>
      <c r="J370" s="17">
        <v>2.54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0.56130000000000002</v>
      </c>
      <c r="S370" s="17">
        <v>0</v>
      </c>
      <c r="T370" s="17">
        <v>0</v>
      </c>
      <c r="U370" s="17">
        <v>1.81</v>
      </c>
      <c r="V370" s="17">
        <v>0</v>
      </c>
      <c r="W370" s="17">
        <v>1.19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17">
        <v>0</v>
      </c>
      <c r="AF370" s="17">
        <v>0</v>
      </c>
      <c r="AG370" s="17">
        <v>0</v>
      </c>
      <c r="AH370" s="17">
        <v>0</v>
      </c>
      <c r="AI370" s="17">
        <f t="shared" si="23"/>
        <v>4</v>
      </c>
      <c r="AJ370" s="17">
        <f t="shared" si="24"/>
        <v>3</v>
      </c>
      <c r="AK370" s="17">
        <f t="shared" si="25"/>
        <v>18</v>
      </c>
      <c r="AL370" s="17">
        <f t="shared" si="26"/>
        <v>1</v>
      </c>
      <c r="AM370" s="17">
        <f>VLOOKUP(AK370,Sheet1!$A$2:$B$25,2,FALSE)</f>
        <v>0</v>
      </c>
    </row>
    <row r="371" spans="1:39" s="17" customFormat="1" x14ac:dyDescent="0.25">
      <c r="A371" s="21">
        <v>44595.78125</v>
      </c>
      <c r="B371" s="17">
        <v>4.62</v>
      </c>
      <c r="C371" s="17">
        <v>0.48870000000000002</v>
      </c>
      <c r="D371" s="17">
        <v>4.13</v>
      </c>
      <c r="E371" s="17">
        <v>0</v>
      </c>
      <c r="F371" s="17">
        <v>0</v>
      </c>
      <c r="G371" s="17">
        <v>0</v>
      </c>
      <c r="H371" s="17">
        <v>1.97</v>
      </c>
      <c r="I371" s="17">
        <v>0</v>
      </c>
      <c r="J371" s="17">
        <v>2.5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0.73970000000000002</v>
      </c>
      <c r="S371" s="17">
        <v>0</v>
      </c>
      <c r="T371" s="17">
        <v>0</v>
      </c>
      <c r="U371" s="17">
        <v>1.81</v>
      </c>
      <c r="V371" s="17">
        <v>0</v>
      </c>
      <c r="W371" s="17">
        <v>1.19</v>
      </c>
      <c r="X371" s="17">
        <v>0</v>
      </c>
      <c r="Y371" s="17">
        <v>0</v>
      </c>
      <c r="Z371" s="17">
        <v>0</v>
      </c>
      <c r="AA371" s="17">
        <v>0</v>
      </c>
      <c r="AB371" s="17">
        <v>0</v>
      </c>
      <c r="AC371" s="17">
        <v>0</v>
      </c>
      <c r="AD371" s="17">
        <v>0</v>
      </c>
      <c r="AE371" s="17">
        <v>0</v>
      </c>
      <c r="AF371" s="17">
        <v>0</v>
      </c>
      <c r="AG371" s="17">
        <v>0</v>
      </c>
      <c r="AH371" s="17">
        <v>0</v>
      </c>
      <c r="AI371" s="17">
        <f t="shared" si="23"/>
        <v>4</v>
      </c>
      <c r="AJ371" s="17">
        <f t="shared" si="24"/>
        <v>3</v>
      </c>
      <c r="AK371" s="17">
        <f t="shared" si="25"/>
        <v>18</v>
      </c>
      <c r="AL371" s="17">
        <f t="shared" si="26"/>
        <v>1</v>
      </c>
      <c r="AM371" s="17">
        <f>VLOOKUP(AK371,Sheet1!$A$2:$B$25,2,FALSE)</f>
        <v>0</v>
      </c>
    </row>
    <row r="372" spans="1:39" s="17" customFormat="1" x14ac:dyDescent="0.25">
      <c r="A372" s="21">
        <v>44595.791666666664</v>
      </c>
      <c r="B372" s="17">
        <v>4.09</v>
      </c>
      <c r="C372" s="17">
        <v>0</v>
      </c>
      <c r="D372" s="17">
        <v>4.09</v>
      </c>
      <c r="E372" s="17">
        <v>0</v>
      </c>
      <c r="F372" s="17">
        <v>0</v>
      </c>
      <c r="G372" s="17">
        <v>0</v>
      </c>
      <c r="H372" s="17">
        <v>1.95</v>
      </c>
      <c r="I372" s="17">
        <v>0</v>
      </c>
      <c r="J372" s="17">
        <v>2.4500000000000002</v>
      </c>
      <c r="K372" s="17">
        <v>0</v>
      </c>
      <c r="L372" s="17">
        <v>0</v>
      </c>
      <c r="M372" s="17">
        <v>0</v>
      </c>
      <c r="N372" s="17">
        <v>0</v>
      </c>
      <c r="O372" s="17">
        <v>0</v>
      </c>
      <c r="P372" s="17">
        <v>0</v>
      </c>
      <c r="Q372" s="17">
        <v>0</v>
      </c>
      <c r="R372" s="17">
        <v>0.44209999999999999</v>
      </c>
      <c r="S372" s="17">
        <v>0</v>
      </c>
      <c r="T372" s="17">
        <v>0</v>
      </c>
      <c r="U372" s="17">
        <v>1.7</v>
      </c>
      <c r="V372" s="17">
        <v>0</v>
      </c>
      <c r="W372" s="17">
        <v>1.1100000000000001</v>
      </c>
      <c r="X372" s="17">
        <v>0</v>
      </c>
      <c r="Y372" s="17">
        <v>0</v>
      </c>
      <c r="Z372" s="17">
        <v>0</v>
      </c>
      <c r="AA372" s="17">
        <v>0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  <c r="AH372" s="17">
        <v>0</v>
      </c>
      <c r="AI372" s="17">
        <f t="shared" si="23"/>
        <v>4</v>
      </c>
      <c r="AJ372" s="17">
        <f t="shared" si="24"/>
        <v>3</v>
      </c>
      <c r="AK372" s="17">
        <f t="shared" si="25"/>
        <v>19</v>
      </c>
      <c r="AL372" s="17">
        <f t="shared" si="26"/>
        <v>1</v>
      </c>
      <c r="AM372" s="17">
        <f>VLOOKUP(AK372,Sheet1!$A$2:$B$25,2,FALSE)</f>
        <v>0</v>
      </c>
    </row>
    <row r="373" spans="1:39" s="17" customFormat="1" x14ac:dyDescent="0.25">
      <c r="A373" s="21">
        <v>44595.802083333336</v>
      </c>
      <c r="B373" s="17">
        <v>3.99</v>
      </c>
      <c r="C373" s="17">
        <v>0.25259999999999999</v>
      </c>
      <c r="D373" s="17">
        <v>3.74</v>
      </c>
      <c r="E373" s="17">
        <v>0</v>
      </c>
      <c r="F373" s="17">
        <v>0</v>
      </c>
      <c r="G373" s="17">
        <v>0</v>
      </c>
      <c r="H373" s="17">
        <v>1.34</v>
      </c>
      <c r="I373" s="17">
        <v>0</v>
      </c>
      <c r="J373" s="17">
        <v>2.36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0.54239999999999999</v>
      </c>
      <c r="S373" s="17">
        <v>0</v>
      </c>
      <c r="T373" s="17">
        <v>0</v>
      </c>
      <c r="U373" s="17">
        <v>1.68</v>
      </c>
      <c r="V373" s="17">
        <v>0</v>
      </c>
      <c r="W373" s="17">
        <v>1.1100000000000001</v>
      </c>
      <c r="X373" s="17">
        <v>0</v>
      </c>
      <c r="Y373" s="17">
        <v>0</v>
      </c>
      <c r="Z373" s="17">
        <v>0</v>
      </c>
      <c r="AA373" s="17">
        <v>0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  <c r="AH373" s="17">
        <v>0</v>
      </c>
      <c r="AI373" s="17">
        <f t="shared" si="23"/>
        <v>4</v>
      </c>
      <c r="AJ373" s="17">
        <f t="shared" si="24"/>
        <v>3</v>
      </c>
      <c r="AK373" s="17">
        <f t="shared" si="25"/>
        <v>19</v>
      </c>
      <c r="AL373" s="17">
        <f t="shared" si="26"/>
        <v>1</v>
      </c>
      <c r="AM373" s="17">
        <f>VLOOKUP(AK373,Sheet1!$A$2:$B$25,2,FALSE)</f>
        <v>0</v>
      </c>
    </row>
    <row r="374" spans="1:39" s="17" customFormat="1" x14ac:dyDescent="0.25">
      <c r="A374" s="21">
        <v>44595.8125</v>
      </c>
      <c r="B374" s="17">
        <v>4.3499999999999996</v>
      </c>
      <c r="C374" s="17">
        <v>0.25259999999999999</v>
      </c>
      <c r="D374" s="17">
        <v>4.0999999999999996</v>
      </c>
      <c r="E374" s="17">
        <v>0</v>
      </c>
      <c r="F374" s="17">
        <v>0</v>
      </c>
      <c r="G374" s="17">
        <v>0</v>
      </c>
      <c r="H374" s="17">
        <v>1.63</v>
      </c>
      <c r="I374" s="17">
        <v>0</v>
      </c>
      <c r="J374" s="17">
        <v>2.39</v>
      </c>
      <c r="K374" s="17">
        <v>0</v>
      </c>
      <c r="L374" s="17">
        <v>0</v>
      </c>
      <c r="M374" s="17">
        <v>0</v>
      </c>
      <c r="N374" s="17">
        <v>0</v>
      </c>
      <c r="O374" s="17">
        <v>0</v>
      </c>
      <c r="P374" s="17">
        <v>0</v>
      </c>
      <c r="Q374" s="17">
        <v>0</v>
      </c>
      <c r="R374" s="17">
        <v>0.29530000000000001</v>
      </c>
      <c r="S374" s="17">
        <v>0</v>
      </c>
      <c r="T374" s="17">
        <v>0</v>
      </c>
      <c r="U374" s="17">
        <v>1.68</v>
      </c>
      <c r="V374" s="17">
        <v>0</v>
      </c>
      <c r="W374" s="17">
        <v>1.1000000000000001</v>
      </c>
      <c r="X374" s="17">
        <v>0</v>
      </c>
      <c r="Y374" s="17">
        <v>0</v>
      </c>
      <c r="Z374" s="17">
        <v>0</v>
      </c>
      <c r="AA374" s="17">
        <v>0</v>
      </c>
      <c r="AB374" s="17">
        <v>0</v>
      </c>
      <c r="AC374" s="17">
        <v>0</v>
      </c>
      <c r="AD374" s="17">
        <v>0</v>
      </c>
      <c r="AE374" s="17">
        <v>0</v>
      </c>
      <c r="AF374" s="17">
        <v>0</v>
      </c>
      <c r="AG374" s="17">
        <v>0</v>
      </c>
      <c r="AH374" s="17">
        <v>0</v>
      </c>
      <c r="AI374" s="17">
        <f t="shared" si="23"/>
        <v>4</v>
      </c>
      <c r="AJ374" s="17">
        <f t="shared" si="24"/>
        <v>3</v>
      </c>
      <c r="AK374" s="17">
        <f t="shared" si="25"/>
        <v>19</v>
      </c>
      <c r="AL374" s="17">
        <f t="shared" si="26"/>
        <v>1</v>
      </c>
      <c r="AM374" s="17">
        <f>VLOOKUP(AK374,Sheet1!$A$2:$B$25,2,FALSE)</f>
        <v>0</v>
      </c>
    </row>
    <row r="375" spans="1:39" s="17" customFormat="1" x14ac:dyDescent="0.25">
      <c r="A375" s="21">
        <v>44595.822916666664</v>
      </c>
      <c r="B375" s="17">
        <v>4.09</v>
      </c>
      <c r="C375" s="17">
        <v>0</v>
      </c>
      <c r="D375" s="17">
        <v>4.09</v>
      </c>
      <c r="E375" s="17">
        <v>0</v>
      </c>
      <c r="F375" s="17">
        <v>0</v>
      </c>
      <c r="G375" s="17">
        <v>0</v>
      </c>
      <c r="H375" s="17">
        <v>1.69</v>
      </c>
      <c r="I375" s="17">
        <v>0</v>
      </c>
      <c r="J375" s="17">
        <v>2.4500000000000002</v>
      </c>
      <c r="K375" s="17">
        <v>0</v>
      </c>
      <c r="L375" s="17">
        <v>0</v>
      </c>
      <c r="M375" s="17">
        <v>0</v>
      </c>
      <c r="N375" s="17">
        <v>0</v>
      </c>
      <c r="O375" s="17">
        <v>0</v>
      </c>
      <c r="P375" s="17">
        <v>0</v>
      </c>
      <c r="Q375" s="17">
        <v>0</v>
      </c>
      <c r="R375" s="17">
        <v>0.54079999999999995</v>
      </c>
      <c r="S375" s="17">
        <v>0</v>
      </c>
      <c r="T375" s="17">
        <v>0</v>
      </c>
      <c r="U375" s="17">
        <v>1.7</v>
      </c>
      <c r="V375" s="17">
        <v>0</v>
      </c>
      <c r="W375" s="17">
        <v>1.1200000000000001</v>
      </c>
      <c r="X375" s="17">
        <v>0</v>
      </c>
      <c r="Y375" s="17">
        <v>0</v>
      </c>
      <c r="Z375" s="17">
        <v>0</v>
      </c>
      <c r="AA375" s="17">
        <v>0</v>
      </c>
      <c r="AB375" s="17">
        <v>0</v>
      </c>
      <c r="AC375" s="17">
        <v>0</v>
      </c>
      <c r="AD375" s="17">
        <v>0</v>
      </c>
      <c r="AE375" s="17">
        <v>0</v>
      </c>
      <c r="AF375" s="17">
        <v>0</v>
      </c>
      <c r="AG375" s="17">
        <v>0</v>
      </c>
      <c r="AH375" s="17">
        <v>0</v>
      </c>
      <c r="AI375" s="17">
        <f t="shared" si="23"/>
        <v>4</v>
      </c>
      <c r="AJ375" s="17">
        <f t="shared" si="24"/>
        <v>3</v>
      </c>
      <c r="AK375" s="17">
        <f t="shared" si="25"/>
        <v>19</v>
      </c>
      <c r="AL375" s="17">
        <f t="shared" si="26"/>
        <v>1</v>
      </c>
      <c r="AM375" s="17">
        <f>VLOOKUP(AK375,Sheet1!$A$2:$B$25,2,FALSE)</f>
        <v>0</v>
      </c>
    </row>
    <row r="376" spans="1:39" s="17" customFormat="1" x14ac:dyDescent="0.25">
      <c r="A376" s="21">
        <v>44595.833333333336</v>
      </c>
      <c r="B376" s="17">
        <v>4.24</v>
      </c>
      <c r="C376" s="17">
        <v>0.25259999999999999</v>
      </c>
      <c r="D376" s="17">
        <v>3.99</v>
      </c>
      <c r="E376" s="17">
        <v>0</v>
      </c>
      <c r="F376" s="17">
        <v>0</v>
      </c>
      <c r="G376" s="17">
        <v>0</v>
      </c>
      <c r="H376" s="17">
        <v>2.15</v>
      </c>
      <c r="I376" s="17">
        <v>0</v>
      </c>
      <c r="J376" s="17">
        <v>2.37</v>
      </c>
      <c r="K376" s="17">
        <v>0</v>
      </c>
      <c r="L376" s="17">
        <v>0</v>
      </c>
      <c r="M376" s="17">
        <v>0</v>
      </c>
      <c r="N376" s="17">
        <v>0</v>
      </c>
      <c r="O376" s="17">
        <v>0</v>
      </c>
      <c r="P376" s="17">
        <v>0</v>
      </c>
      <c r="Q376" s="17">
        <v>0</v>
      </c>
      <c r="R376" s="17">
        <v>0.38529999999999998</v>
      </c>
      <c r="S376" s="17">
        <v>0</v>
      </c>
      <c r="T376" s="17">
        <v>0</v>
      </c>
      <c r="U376" s="17">
        <v>1.7</v>
      </c>
      <c r="V376" s="17">
        <v>0</v>
      </c>
      <c r="W376" s="17">
        <v>1.1100000000000001</v>
      </c>
      <c r="X376" s="17">
        <v>0</v>
      </c>
      <c r="Y376" s="17">
        <v>0</v>
      </c>
      <c r="Z376" s="17">
        <v>0</v>
      </c>
      <c r="AA376" s="17">
        <v>0</v>
      </c>
      <c r="AB376" s="17">
        <v>0</v>
      </c>
      <c r="AC376" s="17">
        <v>0</v>
      </c>
      <c r="AD376" s="17">
        <v>0</v>
      </c>
      <c r="AE376" s="17">
        <v>0</v>
      </c>
      <c r="AF376" s="17">
        <v>0</v>
      </c>
      <c r="AG376" s="17">
        <v>0</v>
      </c>
      <c r="AH376" s="17">
        <v>0</v>
      </c>
      <c r="AI376" s="17">
        <f t="shared" si="23"/>
        <v>4</v>
      </c>
      <c r="AJ376" s="17">
        <f t="shared" si="24"/>
        <v>3</v>
      </c>
      <c r="AK376" s="17">
        <f t="shared" si="25"/>
        <v>20</v>
      </c>
      <c r="AL376" s="17">
        <f t="shared" si="26"/>
        <v>1</v>
      </c>
      <c r="AM376" s="17">
        <f>VLOOKUP(AK376,Sheet1!$A$2:$B$25,2,FALSE)</f>
        <v>0</v>
      </c>
    </row>
    <row r="377" spans="1:39" s="17" customFormat="1" x14ac:dyDescent="0.25">
      <c r="A377" s="21">
        <v>44595.84375</v>
      </c>
      <c r="B377" s="17">
        <v>4.1900000000000004</v>
      </c>
      <c r="C377" s="17">
        <v>0.23599999999999999</v>
      </c>
      <c r="D377" s="17">
        <v>3.95</v>
      </c>
      <c r="E377" s="17">
        <v>0</v>
      </c>
      <c r="F377" s="17">
        <v>0</v>
      </c>
      <c r="G377" s="17">
        <v>0</v>
      </c>
      <c r="H377" s="17">
        <v>1.62</v>
      </c>
      <c r="I377" s="17">
        <v>0</v>
      </c>
      <c r="J377" s="17">
        <v>2.35</v>
      </c>
      <c r="K377" s="17">
        <v>0</v>
      </c>
      <c r="L377" s="17">
        <v>0</v>
      </c>
      <c r="M377" s="17">
        <v>0</v>
      </c>
      <c r="N377" s="17">
        <v>0</v>
      </c>
      <c r="O377" s="17">
        <v>0</v>
      </c>
      <c r="P377" s="17">
        <v>0</v>
      </c>
      <c r="Q377" s="17">
        <v>0</v>
      </c>
      <c r="R377" s="17">
        <v>0.37259999999999999</v>
      </c>
      <c r="S377" s="17">
        <v>0</v>
      </c>
      <c r="T377" s="17">
        <v>0</v>
      </c>
      <c r="U377" s="17">
        <v>1.71</v>
      </c>
      <c r="V377" s="17">
        <v>0</v>
      </c>
      <c r="W377" s="17">
        <v>1.1299999999999999</v>
      </c>
      <c r="X377" s="17">
        <v>0</v>
      </c>
      <c r="Y377" s="17">
        <v>0</v>
      </c>
      <c r="Z377" s="17">
        <v>0</v>
      </c>
      <c r="AA377" s="17">
        <v>0</v>
      </c>
      <c r="AB377" s="17">
        <v>0</v>
      </c>
      <c r="AC377" s="17">
        <v>0</v>
      </c>
      <c r="AD377" s="17">
        <v>0</v>
      </c>
      <c r="AE377" s="17">
        <v>0</v>
      </c>
      <c r="AF377" s="17">
        <v>0</v>
      </c>
      <c r="AG377" s="17">
        <v>0</v>
      </c>
      <c r="AH377" s="17">
        <v>0</v>
      </c>
      <c r="AI377" s="17">
        <f t="shared" si="23"/>
        <v>4</v>
      </c>
      <c r="AJ377" s="17">
        <f t="shared" si="24"/>
        <v>3</v>
      </c>
      <c r="AK377" s="17">
        <f t="shared" si="25"/>
        <v>20</v>
      </c>
      <c r="AL377" s="17">
        <f t="shared" si="26"/>
        <v>1</v>
      </c>
      <c r="AM377" s="17">
        <f>VLOOKUP(AK377,Sheet1!$A$2:$B$25,2,FALSE)</f>
        <v>0</v>
      </c>
    </row>
    <row r="378" spans="1:39" s="17" customFormat="1" x14ac:dyDescent="0.25">
      <c r="A378" s="21">
        <v>44595.854166666664</v>
      </c>
      <c r="B378" s="17">
        <v>4.37</v>
      </c>
      <c r="C378" s="17">
        <v>0.23599999999999999</v>
      </c>
      <c r="D378" s="17">
        <v>4.13</v>
      </c>
      <c r="E378" s="17">
        <v>0</v>
      </c>
      <c r="F378" s="17">
        <v>0</v>
      </c>
      <c r="G378" s="17">
        <v>0</v>
      </c>
      <c r="H378" s="17">
        <v>2.0299999999999998</v>
      </c>
      <c r="I378" s="17">
        <v>0</v>
      </c>
      <c r="J378" s="17">
        <v>2.4300000000000002</v>
      </c>
      <c r="K378" s="17">
        <v>0</v>
      </c>
      <c r="L378" s="17">
        <v>0</v>
      </c>
      <c r="M378" s="17">
        <v>0</v>
      </c>
      <c r="N378" s="17">
        <v>0</v>
      </c>
      <c r="O378" s="17">
        <v>0</v>
      </c>
      <c r="P378" s="17">
        <v>0</v>
      </c>
      <c r="Q378" s="17">
        <v>0</v>
      </c>
      <c r="R378" s="17">
        <v>0.59760000000000002</v>
      </c>
      <c r="S378" s="17">
        <v>0</v>
      </c>
      <c r="T378" s="17">
        <v>0</v>
      </c>
      <c r="U378" s="17">
        <v>1.71</v>
      </c>
      <c r="V378" s="17">
        <v>0</v>
      </c>
      <c r="W378" s="17">
        <v>1.1200000000000001</v>
      </c>
      <c r="X378" s="17">
        <v>0</v>
      </c>
      <c r="Y378" s="17">
        <v>0</v>
      </c>
      <c r="Z378" s="17">
        <v>0</v>
      </c>
      <c r="AA378" s="17">
        <v>0</v>
      </c>
      <c r="AB378" s="17">
        <v>0</v>
      </c>
      <c r="AC378" s="17">
        <v>0</v>
      </c>
      <c r="AD378" s="17">
        <v>0</v>
      </c>
      <c r="AE378" s="17">
        <v>0</v>
      </c>
      <c r="AF378" s="17">
        <v>0</v>
      </c>
      <c r="AG378" s="17">
        <v>0</v>
      </c>
      <c r="AH378" s="17">
        <v>0</v>
      </c>
      <c r="AI378" s="17">
        <f t="shared" si="23"/>
        <v>4</v>
      </c>
      <c r="AJ378" s="17">
        <f t="shared" si="24"/>
        <v>3</v>
      </c>
      <c r="AK378" s="17">
        <f t="shared" si="25"/>
        <v>20</v>
      </c>
      <c r="AL378" s="17">
        <f t="shared" si="26"/>
        <v>1</v>
      </c>
      <c r="AM378" s="17">
        <f>VLOOKUP(AK378,Sheet1!$A$2:$B$25,2,FALSE)</f>
        <v>0</v>
      </c>
    </row>
    <row r="379" spans="1:39" s="17" customFormat="1" x14ac:dyDescent="0.25">
      <c r="A379" s="21">
        <v>44595.864583333336</v>
      </c>
      <c r="B379" s="17">
        <v>4.33</v>
      </c>
      <c r="C379" s="17">
        <v>0.25259999999999999</v>
      </c>
      <c r="D379" s="17">
        <v>4.07</v>
      </c>
      <c r="E379" s="17">
        <v>0</v>
      </c>
      <c r="F379" s="17">
        <v>0</v>
      </c>
      <c r="G379" s="17">
        <v>0</v>
      </c>
      <c r="H379" s="17">
        <v>1.55</v>
      </c>
      <c r="I379" s="17">
        <v>0</v>
      </c>
      <c r="J379" s="17">
        <v>2.36</v>
      </c>
      <c r="K379" s="17">
        <v>0</v>
      </c>
      <c r="L379" s="17">
        <v>0</v>
      </c>
      <c r="M379" s="17">
        <v>0</v>
      </c>
      <c r="N379" s="17">
        <v>0</v>
      </c>
      <c r="O379" s="17">
        <v>0</v>
      </c>
      <c r="P379" s="17">
        <v>0</v>
      </c>
      <c r="Q379" s="17">
        <v>0</v>
      </c>
      <c r="R379" s="17">
        <v>0.49809999999999999</v>
      </c>
      <c r="S379" s="17">
        <v>0</v>
      </c>
      <c r="T379" s="17">
        <v>0</v>
      </c>
      <c r="U379" s="17">
        <v>1.72</v>
      </c>
      <c r="V379" s="17">
        <v>0</v>
      </c>
      <c r="W379" s="17">
        <v>1.1299999999999999</v>
      </c>
      <c r="X379" s="17">
        <v>0</v>
      </c>
      <c r="Y379" s="17">
        <v>0</v>
      </c>
      <c r="Z379" s="17">
        <v>0</v>
      </c>
      <c r="AA379" s="17">
        <v>0</v>
      </c>
      <c r="AB379" s="17">
        <v>0</v>
      </c>
      <c r="AC379" s="17">
        <v>0</v>
      </c>
      <c r="AD379" s="17">
        <v>0</v>
      </c>
      <c r="AE379" s="17">
        <v>0</v>
      </c>
      <c r="AF379" s="17">
        <v>0</v>
      </c>
      <c r="AG379" s="17">
        <v>0</v>
      </c>
      <c r="AH379" s="17">
        <v>0</v>
      </c>
      <c r="AI379" s="17">
        <f t="shared" si="23"/>
        <v>4</v>
      </c>
      <c r="AJ379" s="17">
        <f t="shared" si="24"/>
        <v>3</v>
      </c>
      <c r="AK379" s="17">
        <f t="shared" si="25"/>
        <v>20</v>
      </c>
      <c r="AL379" s="17">
        <f t="shared" si="26"/>
        <v>1</v>
      </c>
      <c r="AM379" s="17">
        <f>VLOOKUP(AK379,Sheet1!$A$2:$B$25,2,FALSE)</f>
        <v>0</v>
      </c>
    </row>
    <row r="380" spans="1:39" s="17" customFormat="1" x14ac:dyDescent="0.25">
      <c r="A380" s="21">
        <v>44595.875</v>
      </c>
      <c r="B380" s="17">
        <v>4.74</v>
      </c>
      <c r="C380" s="17">
        <v>0.52180000000000004</v>
      </c>
      <c r="D380" s="17">
        <v>4.22</v>
      </c>
      <c r="E380" s="17">
        <v>0</v>
      </c>
      <c r="F380" s="17">
        <v>0</v>
      </c>
      <c r="G380" s="17">
        <v>0</v>
      </c>
      <c r="H380" s="17">
        <v>1.95</v>
      </c>
      <c r="I380" s="17">
        <v>0</v>
      </c>
      <c r="J380" s="17">
        <v>2.42</v>
      </c>
      <c r="K380" s="17">
        <v>0</v>
      </c>
      <c r="L380" s="17">
        <v>0</v>
      </c>
      <c r="M380" s="17">
        <v>0</v>
      </c>
      <c r="N380" s="17">
        <v>0</v>
      </c>
      <c r="O380" s="17">
        <v>0</v>
      </c>
      <c r="P380" s="17">
        <v>0</v>
      </c>
      <c r="Q380" s="17">
        <v>0</v>
      </c>
      <c r="R380" s="17">
        <v>0.44679999999999997</v>
      </c>
      <c r="S380" s="17">
        <v>0</v>
      </c>
      <c r="T380" s="17">
        <v>0</v>
      </c>
      <c r="U380" s="17">
        <v>1.73</v>
      </c>
      <c r="V380" s="17">
        <v>0</v>
      </c>
      <c r="W380" s="17">
        <v>1.1299999999999999</v>
      </c>
      <c r="X380" s="17">
        <v>0</v>
      </c>
      <c r="Y380" s="17">
        <v>0</v>
      </c>
      <c r="Z380" s="17">
        <v>0</v>
      </c>
      <c r="AA380" s="17">
        <v>0</v>
      </c>
      <c r="AB380" s="17">
        <v>0</v>
      </c>
      <c r="AC380" s="17">
        <v>0</v>
      </c>
      <c r="AD380" s="17">
        <v>0</v>
      </c>
      <c r="AE380" s="17">
        <v>0</v>
      </c>
      <c r="AF380" s="17">
        <v>0</v>
      </c>
      <c r="AG380" s="17">
        <v>0</v>
      </c>
      <c r="AH380" s="17">
        <v>0</v>
      </c>
      <c r="AI380" s="17">
        <f t="shared" si="23"/>
        <v>4</v>
      </c>
      <c r="AJ380" s="17">
        <f t="shared" si="24"/>
        <v>3</v>
      </c>
      <c r="AK380" s="17">
        <f t="shared" si="25"/>
        <v>21</v>
      </c>
      <c r="AL380" s="17">
        <f t="shared" si="26"/>
        <v>1</v>
      </c>
      <c r="AM380" s="17">
        <f>VLOOKUP(AK380,Sheet1!$A$2:$B$25,2,FALSE)</f>
        <v>0</v>
      </c>
    </row>
    <row r="381" spans="1:39" s="17" customFormat="1" x14ac:dyDescent="0.25">
      <c r="A381" s="21">
        <v>44595.885416666664</v>
      </c>
      <c r="B381" s="17">
        <v>4.3499999999999996</v>
      </c>
      <c r="C381" s="17">
        <v>0.25259999999999999</v>
      </c>
      <c r="D381" s="17">
        <v>4.0999999999999996</v>
      </c>
      <c r="E381" s="17">
        <v>0</v>
      </c>
      <c r="F381" s="17">
        <v>0</v>
      </c>
      <c r="G381" s="17">
        <v>0</v>
      </c>
      <c r="H381" s="17">
        <v>2.14</v>
      </c>
      <c r="I381" s="17">
        <v>0</v>
      </c>
      <c r="J381" s="17">
        <v>2.36</v>
      </c>
      <c r="K381" s="17">
        <v>0</v>
      </c>
      <c r="L381" s="17">
        <v>0</v>
      </c>
      <c r="M381" s="17">
        <v>0</v>
      </c>
      <c r="N381" s="17">
        <v>0</v>
      </c>
      <c r="O381" s="17">
        <v>0</v>
      </c>
      <c r="P381" s="17">
        <v>0</v>
      </c>
      <c r="Q381" s="17">
        <v>0</v>
      </c>
      <c r="R381" s="17">
        <v>0.495</v>
      </c>
      <c r="S381" s="17">
        <v>0</v>
      </c>
      <c r="T381" s="17">
        <v>0</v>
      </c>
      <c r="U381" s="17">
        <v>1.67</v>
      </c>
      <c r="V381" s="17">
        <v>0</v>
      </c>
      <c r="W381" s="17">
        <v>1.1000000000000001</v>
      </c>
      <c r="X381" s="17">
        <v>0</v>
      </c>
      <c r="Y381" s="17">
        <v>0</v>
      </c>
      <c r="Z381" s="17">
        <v>0</v>
      </c>
      <c r="AA381" s="17">
        <v>0</v>
      </c>
      <c r="AB381" s="17">
        <v>0</v>
      </c>
      <c r="AC381" s="17">
        <v>0</v>
      </c>
      <c r="AD381" s="17">
        <v>0</v>
      </c>
      <c r="AE381" s="17">
        <v>0</v>
      </c>
      <c r="AF381" s="17">
        <v>0</v>
      </c>
      <c r="AG381" s="17">
        <v>0</v>
      </c>
      <c r="AH381" s="17">
        <v>0</v>
      </c>
      <c r="AI381" s="17">
        <f t="shared" si="23"/>
        <v>4</v>
      </c>
      <c r="AJ381" s="17">
        <f t="shared" si="24"/>
        <v>3</v>
      </c>
      <c r="AK381" s="17">
        <f t="shared" si="25"/>
        <v>21</v>
      </c>
      <c r="AL381" s="17">
        <f t="shared" si="26"/>
        <v>1</v>
      </c>
      <c r="AM381" s="17">
        <f>VLOOKUP(AK381,Sheet1!$A$2:$B$25,2,FALSE)</f>
        <v>0</v>
      </c>
    </row>
    <row r="382" spans="1:39" s="17" customFormat="1" x14ac:dyDescent="0.25">
      <c r="A382" s="21">
        <v>44595.895833333336</v>
      </c>
      <c r="B382" s="17">
        <v>4.21</v>
      </c>
      <c r="C382" s="17">
        <v>0.23599999999999999</v>
      </c>
      <c r="D382" s="17">
        <v>3.97</v>
      </c>
      <c r="E382" s="17">
        <v>0</v>
      </c>
      <c r="F382" s="17">
        <v>0</v>
      </c>
      <c r="G382" s="17">
        <v>0</v>
      </c>
      <c r="H382" s="17">
        <v>1.95</v>
      </c>
      <c r="I382" s="17">
        <v>0</v>
      </c>
      <c r="J382" s="17">
        <v>2.25</v>
      </c>
      <c r="K382" s="17">
        <v>0</v>
      </c>
      <c r="L382" s="17">
        <v>0</v>
      </c>
      <c r="M382" s="17">
        <v>0</v>
      </c>
      <c r="N382" s="17">
        <v>0</v>
      </c>
      <c r="O382" s="17">
        <v>0</v>
      </c>
      <c r="P382" s="17">
        <v>0</v>
      </c>
      <c r="Q382" s="17">
        <v>0</v>
      </c>
      <c r="R382" s="17">
        <v>0.60309999999999997</v>
      </c>
      <c r="S382" s="17">
        <v>0</v>
      </c>
      <c r="T382" s="17">
        <v>0</v>
      </c>
      <c r="U382" s="17">
        <v>1.67</v>
      </c>
      <c r="V382" s="17">
        <v>0</v>
      </c>
      <c r="W382" s="17">
        <v>1.0900000000000001</v>
      </c>
      <c r="X382" s="17">
        <v>0</v>
      </c>
      <c r="Y382" s="17">
        <v>0</v>
      </c>
      <c r="Z382" s="17">
        <v>0</v>
      </c>
      <c r="AA382" s="17">
        <v>0</v>
      </c>
      <c r="AB382" s="17">
        <v>0</v>
      </c>
      <c r="AC382" s="17">
        <v>0</v>
      </c>
      <c r="AD382" s="17">
        <v>0</v>
      </c>
      <c r="AE382" s="17">
        <v>0</v>
      </c>
      <c r="AF382" s="17">
        <v>0</v>
      </c>
      <c r="AG382" s="17">
        <v>0</v>
      </c>
      <c r="AH382" s="17">
        <v>0</v>
      </c>
      <c r="AI382" s="17">
        <f t="shared" si="23"/>
        <v>4</v>
      </c>
      <c r="AJ382" s="17">
        <f t="shared" si="24"/>
        <v>3</v>
      </c>
      <c r="AK382" s="17">
        <f t="shared" si="25"/>
        <v>21</v>
      </c>
      <c r="AL382" s="17">
        <f t="shared" si="26"/>
        <v>1</v>
      </c>
      <c r="AM382" s="17">
        <f>VLOOKUP(AK382,Sheet1!$A$2:$B$25,2,FALSE)</f>
        <v>0</v>
      </c>
    </row>
    <row r="383" spans="1:39" s="17" customFormat="1" x14ac:dyDescent="0.25">
      <c r="A383" s="21">
        <v>44595.90625</v>
      </c>
      <c r="B383" s="17">
        <v>4.46</v>
      </c>
      <c r="C383" s="17">
        <v>0.45469999999999999</v>
      </c>
      <c r="D383" s="17">
        <v>4.01</v>
      </c>
      <c r="E383" s="17">
        <v>0</v>
      </c>
      <c r="F383" s="17">
        <v>0</v>
      </c>
      <c r="G383" s="17">
        <v>0</v>
      </c>
      <c r="H383" s="17">
        <v>2.0699999999999998</v>
      </c>
      <c r="I383" s="17">
        <v>0</v>
      </c>
      <c r="J383" s="17">
        <v>2.2799999999999998</v>
      </c>
      <c r="K383" s="17">
        <v>0</v>
      </c>
      <c r="L383" s="17">
        <v>0</v>
      </c>
      <c r="M383" s="17">
        <v>0</v>
      </c>
      <c r="N383" s="17">
        <v>0</v>
      </c>
      <c r="O383" s="17">
        <v>0</v>
      </c>
      <c r="P383" s="17">
        <v>0</v>
      </c>
      <c r="Q383" s="17">
        <v>0</v>
      </c>
      <c r="R383" s="17">
        <v>0.24079999999999999</v>
      </c>
      <c r="S383" s="17">
        <v>0</v>
      </c>
      <c r="T383" s="17">
        <v>0</v>
      </c>
      <c r="U383" s="17">
        <v>1.68</v>
      </c>
      <c r="V383" s="17">
        <v>0</v>
      </c>
      <c r="W383" s="17">
        <v>1.1000000000000001</v>
      </c>
      <c r="X383" s="17">
        <v>0</v>
      </c>
      <c r="Y383" s="17">
        <v>0</v>
      </c>
      <c r="Z383" s="17">
        <v>0</v>
      </c>
      <c r="AA383" s="17">
        <v>0</v>
      </c>
      <c r="AB383" s="17">
        <v>0</v>
      </c>
      <c r="AC383" s="17">
        <v>0</v>
      </c>
      <c r="AD383" s="17">
        <v>0</v>
      </c>
      <c r="AE383" s="17">
        <v>0</v>
      </c>
      <c r="AF383" s="17">
        <v>0</v>
      </c>
      <c r="AG383" s="17">
        <v>0</v>
      </c>
      <c r="AH383" s="17">
        <v>0</v>
      </c>
      <c r="AI383" s="17">
        <f t="shared" si="23"/>
        <v>4</v>
      </c>
      <c r="AJ383" s="17">
        <f t="shared" si="24"/>
        <v>3</v>
      </c>
      <c r="AK383" s="17">
        <f t="shared" si="25"/>
        <v>21</v>
      </c>
      <c r="AL383" s="17">
        <f t="shared" si="26"/>
        <v>1</v>
      </c>
      <c r="AM383" s="17">
        <f>VLOOKUP(AK383,Sheet1!$A$2:$B$25,2,FALSE)</f>
        <v>0</v>
      </c>
    </row>
    <row r="384" spans="1:39" s="17" customFormat="1" x14ac:dyDescent="0.25">
      <c r="A384" s="21">
        <v>44595.916666666664</v>
      </c>
      <c r="B384" s="17">
        <v>4.03</v>
      </c>
      <c r="C384" s="17">
        <v>0</v>
      </c>
      <c r="D384" s="17">
        <v>4.03</v>
      </c>
      <c r="E384" s="17">
        <v>0</v>
      </c>
      <c r="F384" s="17">
        <v>0</v>
      </c>
      <c r="G384" s="17">
        <v>0</v>
      </c>
      <c r="H384" s="17">
        <v>1.9</v>
      </c>
      <c r="I384" s="17">
        <v>0</v>
      </c>
      <c r="J384" s="17">
        <v>2.16</v>
      </c>
      <c r="K384" s="17">
        <v>0</v>
      </c>
      <c r="L384" s="17">
        <v>0</v>
      </c>
      <c r="M384" s="17">
        <v>0</v>
      </c>
      <c r="N384" s="17">
        <v>0</v>
      </c>
      <c r="O384" s="17">
        <v>0</v>
      </c>
      <c r="P384" s="17">
        <v>0</v>
      </c>
      <c r="Q384" s="17">
        <v>0</v>
      </c>
      <c r="R384" s="17">
        <v>0.58420000000000005</v>
      </c>
      <c r="S384" s="17">
        <v>0</v>
      </c>
      <c r="T384" s="17">
        <v>0</v>
      </c>
      <c r="U384" s="17">
        <v>1.66</v>
      </c>
      <c r="V384" s="17">
        <v>0</v>
      </c>
      <c r="W384" s="17">
        <v>1.08</v>
      </c>
      <c r="X384" s="17">
        <v>0</v>
      </c>
      <c r="Y384" s="17">
        <v>0</v>
      </c>
      <c r="Z384" s="17">
        <v>0</v>
      </c>
      <c r="AA384" s="17">
        <v>0</v>
      </c>
      <c r="AB384" s="17">
        <v>0</v>
      </c>
      <c r="AC384" s="17">
        <v>0</v>
      </c>
      <c r="AD384" s="17">
        <v>0</v>
      </c>
      <c r="AE384" s="17">
        <v>0</v>
      </c>
      <c r="AF384" s="17">
        <v>0</v>
      </c>
      <c r="AG384" s="17">
        <v>0</v>
      </c>
      <c r="AH384" s="17">
        <v>0</v>
      </c>
      <c r="AI384" s="17">
        <f t="shared" si="23"/>
        <v>4</v>
      </c>
      <c r="AJ384" s="17">
        <f t="shared" si="24"/>
        <v>3</v>
      </c>
      <c r="AK384" s="17">
        <f t="shared" si="25"/>
        <v>22</v>
      </c>
      <c r="AL384" s="17">
        <f t="shared" si="26"/>
        <v>1</v>
      </c>
      <c r="AM384" s="17">
        <f>VLOOKUP(AK384,Sheet1!$A$2:$B$25,2,FALSE)</f>
        <v>0</v>
      </c>
    </row>
    <row r="385" spans="1:39" s="17" customFormat="1" x14ac:dyDescent="0.25">
      <c r="A385" s="21">
        <v>44595.927083333336</v>
      </c>
      <c r="B385" s="17">
        <v>4.1399999999999997</v>
      </c>
      <c r="C385" s="17">
        <v>0.16819999999999999</v>
      </c>
      <c r="D385" s="17">
        <v>3.97</v>
      </c>
      <c r="E385" s="17">
        <v>0</v>
      </c>
      <c r="F385" s="17">
        <v>0</v>
      </c>
      <c r="G385" s="17">
        <v>0</v>
      </c>
      <c r="H385" s="17">
        <v>1.95</v>
      </c>
      <c r="I385" s="17">
        <v>0</v>
      </c>
      <c r="J385" s="17">
        <v>2.15</v>
      </c>
      <c r="K385" s="17">
        <v>0</v>
      </c>
      <c r="L385" s="17">
        <v>0</v>
      </c>
      <c r="M385" s="17">
        <v>0</v>
      </c>
      <c r="N385" s="17">
        <v>0</v>
      </c>
      <c r="O385" s="17">
        <v>0</v>
      </c>
      <c r="P385" s="17">
        <v>0</v>
      </c>
      <c r="Q385" s="17">
        <v>0</v>
      </c>
      <c r="R385" s="17">
        <v>0.50839999999999996</v>
      </c>
      <c r="S385" s="17">
        <v>0</v>
      </c>
      <c r="T385" s="17">
        <v>0</v>
      </c>
      <c r="U385" s="17">
        <v>1.67</v>
      </c>
      <c r="V385" s="17">
        <v>0</v>
      </c>
      <c r="W385" s="17">
        <v>1.0900000000000001</v>
      </c>
      <c r="X385" s="17">
        <v>0</v>
      </c>
      <c r="Y385" s="17">
        <v>0</v>
      </c>
      <c r="Z385" s="17">
        <v>0</v>
      </c>
      <c r="AA385" s="17">
        <v>0</v>
      </c>
      <c r="AB385" s="17">
        <v>0</v>
      </c>
      <c r="AC385" s="17">
        <v>0</v>
      </c>
      <c r="AD385" s="17">
        <v>0</v>
      </c>
      <c r="AE385" s="17">
        <v>0</v>
      </c>
      <c r="AF385" s="17">
        <v>0</v>
      </c>
      <c r="AG385" s="17">
        <v>0</v>
      </c>
      <c r="AH385" s="17">
        <v>0</v>
      </c>
      <c r="AI385" s="17">
        <f t="shared" si="23"/>
        <v>4</v>
      </c>
      <c r="AJ385" s="17">
        <f t="shared" si="24"/>
        <v>3</v>
      </c>
      <c r="AK385" s="17">
        <f t="shared" si="25"/>
        <v>22</v>
      </c>
      <c r="AL385" s="17">
        <f t="shared" si="26"/>
        <v>1</v>
      </c>
      <c r="AM385" s="17">
        <f>VLOOKUP(AK385,Sheet1!$A$2:$B$25,2,FALSE)</f>
        <v>0</v>
      </c>
    </row>
    <row r="386" spans="1:39" s="17" customFormat="1" x14ac:dyDescent="0.25">
      <c r="A386" s="21">
        <v>44595.9375</v>
      </c>
      <c r="B386" s="17">
        <v>3.84</v>
      </c>
      <c r="C386" s="17">
        <v>0</v>
      </c>
      <c r="D386" s="17">
        <v>3.84</v>
      </c>
      <c r="E386" s="17">
        <v>0</v>
      </c>
      <c r="F386" s="17">
        <v>0</v>
      </c>
      <c r="G386" s="17">
        <v>0</v>
      </c>
      <c r="H386" s="17">
        <v>1.81</v>
      </c>
      <c r="I386" s="17">
        <v>0</v>
      </c>
      <c r="J386" s="17">
        <v>2.0299999999999998</v>
      </c>
      <c r="K386" s="17">
        <v>0</v>
      </c>
      <c r="L386" s="17">
        <v>0</v>
      </c>
      <c r="M386" s="17">
        <v>0</v>
      </c>
      <c r="N386" s="17">
        <v>0</v>
      </c>
      <c r="O386" s="17">
        <v>0</v>
      </c>
      <c r="P386" s="17">
        <v>0</v>
      </c>
      <c r="Q386" s="17">
        <v>0</v>
      </c>
      <c r="R386" s="17">
        <v>0.43580000000000002</v>
      </c>
      <c r="S386" s="17">
        <v>0</v>
      </c>
      <c r="T386" s="17">
        <v>0</v>
      </c>
      <c r="U386" s="17">
        <v>1.64</v>
      </c>
      <c r="V386" s="17">
        <v>0</v>
      </c>
      <c r="W386" s="17">
        <v>1.07</v>
      </c>
      <c r="X386" s="17">
        <v>0</v>
      </c>
      <c r="Y386" s="17">
        <v>0</v>
      </c>
      <c r="Z386" s="17">
        <v>0</v>
      </c>
      <c r="AA386" s="17">
        <v>0</v>
      </c>
      <c r="AB386" s="17">
        <v>0</v>
      </c>
      <c r="AC386" s="17">
        <v>0</v>
      </c>
      <c r="AD386" s="17">
        <v>0</v>
      </c>
      <c r="AE386" s="17">
        <v>0</v>
      </c>
      <c r="AF386" s="17">
        <v>0</v>
      </c>
      <c r="AG386" s="17">
        <v>0</v>
      </c>
      <c r="AH386" s="17">
        <v>0</v>
      </c>
      <c r="AI386" s="17">
        <f t="shared" si="23"/>
        <v>4</v>
      </c>
      <c r="AJ386" s="17">
        <f t="shared" si="24"/>
        <v>3</v>
      </c>
      <c r="AK386" s="17">
        <f t="shared" si="25"/>
        <v>22</v>
      </c>
      <c r="AL386" s="17">
        <f t="shared" si="26"/>
        <v>1</v>
      </c>
      <c r="AM386" s="17">
        <f>VLOOKUP(AK386,Sheet1!$A$2:$B$25,2,FALSE)</f>
        <v>0</v>
      </c>
    </row>
    <row r="387" spans="1:39" s="17" customFormat="1" x14ac:dyDescent="0.25">
      <c r="A387" s="21">
        <v>44595.947916666664</v>
      </c>
      <c r="B387" s="17">
        <v>3.84</v>
      </c>
      <c r="C387" s="17">
        <v>0</v>
      </c>
      <c r="D387" s="17">
        <v>3.84</v>
      </c>
      <c r="E387" s="17">
        <v>0</v>
      </c>
      <c r="F387" s="17">
        <v>0</v>
      </c>
      <c r="G387" s="17">
        <v>0</v>
      </c>
      <c r="H387" s="17">
        <v>1.77</v>
      </c>
      <c r="I387" s="17">
        <v>0</v>
      </c>
      <c r="J387" s="17">
        <v>1.96</v>
      </c>
      <c r="K387" s="17">
        <v>0</v>
      </c>
      <c r="L387" s="17">
        <v>0</v>
      </c>
      <c r="M387" s="17">
        <v>0</v>
      </c>
      <c r="N387" s="17">
        <v>0</v>
      </c>
      <c r="O387" s="17">
        <v>0</v>
      </c>
      <c r="P387" s="17">
        <v>0</v>
      </c>
      <c r="Q387" s="17">
        <v>0</v>
      </c>
      <c r="R387" s="17">
        <v>0.49020000000000002</v>
      </c>
      <c r="S387" s="17">
        <v>0</v>
      </c>
      <c r="T387" s="17">
        <v>0</v>
      </c>
      <c r="U387" s="17">
        <v>1.59</v>
      </c>
      <c r="V387" s="17">
        <v>0</v>
      </c>
      <c r="W387" s="17">
        <v>1.04</v>
      </c>
      <c r="X387" s="17">
        <v>0</v>
      </c>
      <c r="Y387" s="17">
        <v>0</v>
      </c>
      <c r="Z387" s="17">
        <v>0</v>
      </c>
      <c r="AA387" s="17">
        <v>0</v>
      </c>
      <c r="AB387" s="17">
        <v>0</v>
      </c>
      <c r="AC387" s="17">
        <v>0</v>
      </c>
      <c r="AD387" s="17">
        <v>0</v>
      </c>
      <c r="AE387" s="17">
        <v>0</v>
      </c>
      <c r="AF387" s="17">
        <v>0</v>
      </c>
      <c r="AG387" s="17">
        <v>0</v>
      </c>
      <c r="AH387" s="17">
        <v>0</v>
      </c>
      <c r="AI387" s="17">
        <f t="shared" si="23"/>
        <v>4</v>
      </c>
      <c r="AJ387" s="17">
        <f t="shared" si="24"/>
        <v>3</v>
      </c>
      <c r="AK387" s="17">
        <f t="shared" si="25"/>
        <v>22</v>
      </c>
      <c r="AL387" s="17">
        <f t="shared" si="26"/>
        <v>1</v>
      </c>
      <c r="AM387" s="17">
        <f>VLOOKUP(AK387,Sheet1!$A$2:$B$25,2,FALSE)</f>
        <v>0</v>
      </c>
    </row>
    <row r="388" spans="1:39" s="17" customFormat="1" x14ac:dyDescent="0.25">
      <c r="A388" s="21">
        <v>44595.958333333336</v>
      </c>
      <c r="B388" s="17">
        <v>4.1399999999999997</v>
      </c>
      <c r="C388" s="17">
        <v>0.2021</v>
      </c>
      <c r="D388" s="17">
        <v>3.93</v>
      </c>
      <c r="E388" s="17">
        <v>0</v>
      </c>
      <c r="F388" s="17">
        <v>0</v>
      </c>
      <c r="G388" s="17">
        <v>0</v>
      </c>
      <c r="H388" s="17">
        <v>1.4</v>
      </c>
      <c r="I388" s="17">
        <v>0</v>
      </c>
      <c r="J388" s="17">
        <v>1.99</v>
      </c>
      <c r="K388" s="17">
        <v>0</v>
      </c>
      <c r="L388" s="17">
        <v>0</v>
      </c>
      <c r="M388" s="17">
        <v>0</v>
      </c>
      <c r="N388" s="17">
        <v>0</v>
      </c>
      <c r="O388" s="17">
        <v>0</v>
      </c>
      <c r="P388" s="17">
        <v>0</v>
      </c>
      <c r="Q388" s="17">
        <v>0</v>
      </c>
      <c r="R388" s="17">
        <v>0.3347</v>
      </c>
      <c r="S388" s="17">
        <v>0</v>
      </c>
      <c r="T388" s="17">
        <v>0</v>
      </c>
      <c r="U388" s="17">
        <v>1.61</v>
      </c>
      <c r="V388" s="17">
        <v>0</v>
      </c>
      <c r="W388" s="17">
        <v>1.05</v>
      </c>
      <c r="X388" s="17">
        <v>0</v>
      </c>
      <c r="Y388" s="17">
        <v>0</v>
      </c>
      <c r="Z388" s="17">
        <v>0</v>
      </c>
      <c r="AA388" s="17">
        <v>0</v>
      </c>
      <c r="AB388" s="17">
        <v>0</v>
      </c>
      <c r="AC388" s="17">
        <v>0</v>
      </c>
      <c r="AD388" s="17">
        <v>0</v>
      </c>
      <c r="AE388" s="17">
        <v>0</v>
      </c>
      <c r="AF388" s="17">
        <v>0</v>
      </c>
      <c r="AG388" s="17">
        <v>0</v>
      </c>
      <c r="AH388" s="17">
        <v>0</v>
      </c>
      <c r="AI388" s="17">
        <f t="shared" si="23"/>
        <v>4</v>
      </c>
      <c r="AJ388" s="17">
        <f t="shared" si="24"/>
        <v>3</v>
      </c>
      <c r="AK388" s="17">
        <f t="shared" si="25"/>
        <v>23</v>
      </c>
      <c r="AL388" s="17">
        <f t="shared" si="26"/>
        <v>1</v>
      </c>
      <c r="AM388" s="17">
        <f>VLOOKUP(AK388,Sheet1!$A$2:$B$25,2,FALSE)</f>
        <v>0</v>
      </c>
    </row>
    <row r="389" spans="1:39" s="17" customFormat="1" x14ac:dyDescent="0.25">
      <c r="A389" s="21">
        <v>44595.96875</v>
      </c>
      <c r="B389" s="17">
        <v>4.17</v>
      </c>
      <c r="C389" s="17">
        <v>0.2021</v>
      </c>
      <c r="D389" s="17">
        <v>3.97</v>
      </c>
      <c r="E389" s="17">
        <v>0</v>
      </c>
      <c r="F389" s="17">
        <v>0</v>
      </c>
      <c r="G389" s="17">
        <v>0</v>
      </c>
      <c r="H389" s="17">
        <v>1.75</v>
      </c>
      <c r="I389" s="17">
        <v>0</v>
      </c>
      <c r="J389" s="17">
        <v>1.89</v>
      </c>
      <c r="K389" s="17">
        <v>0</v>
      </c>
      <c r="L389" s="17">
        <v>0</v>
      </c>
      <c r="M389" s="17">
        <v>0</v>
      </c>
      <c r="N389" s="17">
        <v>0</v>
      </c>
      <c r="O389" s="17">
        <v>0</v>
      </c>
      <c r="P389" s="17">
        <v>0</v>
      </c>
      <c r="Q389" s="17">
        <v>0</v>
      </c>
      <c r="R389" s="17">
        <v>0.48080000000000001</v>
      </c>
      <c r="S389" s="17">
        <v>0</v>
      </c>
      <c r="T389" s="17">
        <v>0</v>
      </c>
      <c r="U389" s="17">
        <v>1.62</v>
      </c>
      <c r="V389" s="17">
        <v>0</v>
      </c>
      <c r="W389" s="17">
        <v>1.06</v>
      </c>
      <c r="X389" s="17">
        <v>0</v>
      </c>
      <c r="Y389" s="17">
        <v>0</v>
      </c>
      <c r="Z389" s="17">
        <v>0</v>
      </c>
      <c r="AA389" s="17">
        <v>0</v>
      </c>
      <c r="AB389" s="17">
        <v>0</v>
      </c>
      <c r="AC389" s="17">
        <v>0</v>
      </c>
      <c r="AD389" s="17">
        <v>0</v>
      </c>
      <c r="AE389" s="17">
        <v>0</v>
      </c>
      <c r="AF389" s="17">
        <v>0</v>
      </c>
      <c r="AG389" s="17">
        <v>0</v>
      </c>
      <c r="AH389" s="17">
        <v>0</v>
      </c>
      <c r="AI389" s="17">
        <f t="shared" si="23"/>
        <v>4</v>
      </c>
      <c r="AJ389" s="17">
        <f t="shared" si="24"/>
        <v>3</v>
      </c>
      <c r="AK389" s="17">
        <f t="shared" si="25"/>
        <v>23</v>
      </c>
      <c r="AL389" s="17">
        <f t="shared" si="26"/>
        <v>1</v>
      </c>
      <c r="AM389" s="17">
        <f>VLOOKUP(AK389,Sheet1!$A$2:$B$25,2,FALSE)</f>
        <v>0</v>
      </c>
    </row>
    <row r="390" spans="1:39" s="17" customFormat="1" x14ac:dyDescent="0.25">
      <c r="A390" s="21">
        <v>44595.979166666664</v>
      </c>
      <c r="B390" s="17">
        <v>3.87</v>
      </c>
      <c r="C390" s="17">
        <v>0</v>
      </c>
      <c r="D390" s="17">
        <v>3.87</v>
      </c>
      <c r="E390" s="17">
        <v>0</v>
      </c>
      <c r="F390" s="17">
        <v>0</v>
      </c>
      <c r="G390" s="17">
        <v>0</v>
      </c>
      <c r="H390" s="17">
        <v>1.47</v>
      </c>
      <c r="I390" s="17">
        <v>0</v>
      </c>
      <c r="J390" s="17">
        <v>1.98</v>
      </c>
      <c r="K390" s="17">
        <v>0</v>
      </c>
      <c r="L390" s="17">
        <v>0</v>
      </c>
      <c r="M390" s="17">
        <v>0</v>
      </c>
      <c r="N390" s="17">
        <v>0</v>
      </c>
      <c r="O390" s="17">
        <v>0</v>
      </c>
      <c r="P390" s="17">
        <v>0</v>
      </c>
      <c r="Q390" s="17">
        <v>0</v>
      </c>
      <c r="R390" s="17">
        <v>0.29370000000000002</v>
      </c>
      <c r="S390" s="17">
        <v>0</v>
      </c>
      <c r="T390" s="17">
        <v>0</v>
      </c>
      <c r="U390" s="17">
        <v>1.62</v>
      </c>
      <c r="V390" s="17">
        <v>0</v>
      </c>
      <c r="W390" s="17">
        <v>1.06</v>
      </c>
      <c r="X390" s="17">
        <v>0</v>
      </c>
      <c r="Y390" s="17">
        <v>0</v>
      </c>
      <c r="Z390" s="17">
        <v>0</v>
      </c>
      <c r="AA390" s="17">
        <v>0</v>
      </c>
      <c r="AB390" s="17">
        <v>0</v>
      </c>
      <c r="AC390" s="17">
        <v>0</v>
      </c>
      <c r="AD390" s="17">
        <v>0</v>
      </c>
      <c r="AE390" s="17">
        <v>0</v>
      </c>
      <c r="AF390" s="17">
        <v>0</v>
      </c>
      <c r="AG390" s="17">
        <v>0</v>
      </c>
      <c r="AH390" s="17">
        <v>0</v>
      </c>
      <c r="AI390" s="17">
        <f t="shared" si="23"/>
        <v>4</v>
      </c>
      <c r="AJ390" s="17">
        <f t="shared" si="24"/>
        <v>3</v>
      </c>
      <c r="AK390" s="17">
        <f t="shared" si="25"/>
        <v>23</v>
      </c>
      <c r="AL390" s="17">
        <f t="shared" si="26"/>
        <v>1</v>
      </c>
      <c r="AM390" s="17">
        <f>VLOOKUP(AK390,Sheet1!$A$2:$B$25,2,FALSE)</f>
        <v>0</v>
      </c>
    </row>
    <row r="391" spans="1:39" s="17" customFormat="1" x14ac:dyDescent="0.25">
      <c r="A391" s="21">
        <v>44595.989583333336</v>
      </c>
      <c r="B391" s="17">
        <v>3.85</v>
      </c>
      <c r="C391" s="17">
        <v>0</v>
      </c>
      <c r="D391" s="17">
        <v>3.85</v>
      </c>
      <c r="E391" s="17">
        <v>0</v>
      </c>
      <c r="F391" s="17">
        <v>0</v>
      </c>
      <c r="G391" s="17">
        <v>0</v>
      </c>
      <c r="H391" s="17">
        <v>1.75</v>
      </c>
      <c r="I391" s="17">
        <v>0</v>
      </c>
      <c r="J391" s="17">
        <v>1.9</v>
      </c>
      <c r="K391" s="17">
        <v>0</v>
      </c>
      <c r="L391" s="17">
        <v>0</v>
      </c>
      <c r="M391" s="17">
        <v>0</v>
      </c>
      <c r="N391" s="17">
        <v>0</v>
      </c>
      <c r="O391" s="17">
        <v>0</v>
      </c>
      <c r="P391" s="17">
        <v>0</v>
      </c>
      <c r="Q391" s="17">
        <v>0</v>
      </c>
      <c r="R391" s="17">
        <v>0.33160000000000001</v>
      </c>
      <c r="S391" s="17">
        <v>0</v>
      </c>
      <c r="T391" s="17">
        <v>0</v>
      </c>
      <c r="U391" s="17">
        <v>1.61</v>
      </c>
      <c r="V391" s="17">
        <v>0</v>
      </c>
      <c r="W391" s="17">
        <v>1.05</v>
      </c>
      <c r="X391" s="17">
        <v>0</v>
      </c>
      <c r="Y391" s="17">
        <v>0</v>
      </c>
      <c r="Z391" s="17">
        <v>0</v>
      </c>
      <c r="AA391" s="17">
        <v>0</v>
      </c>
      <c r="AB391" s="17">
        <v>0</v>
      </c>
      <c r="AC391" s="17">
        <v>0</v>
      </c>
      <c r="AD391" s="17">
        <v>0</v>
      </c>
      <c r="AE391" s="17">
        <v>0</v>
      </c>
      <c r="AF391" s="17">
        <v>0</v>
      </c>
      <c r="AG391" s="17">
        <v>0</v>
      </c>
      <c r="AH391" s="17">
        <v>0</v>
      </c>
      <c r="AI391" s="17">
        <f t="shared" si="23"/>
        <v>4</v>
      </c>
      <c r="AJ391" s="17">
        <f t="shared" si="24"/>
        <v>3</v>
      </c>
      <c r="AK391" s="17">
        <f t="shared" si="25"/>
        <v>23</v>
      </c>
      <c r="AL391" s="17">
        <f t="shared" si="26"/>
        <v>1</v>
      </c>
      <c r="AM391" s="17">
        <f>VLOOKUP(AK391,Sheet1!$A$2:$B$25,2,FALSE)</f>
        <v>0</v>
      </c>
    </row>
    <row r="392" spans="1:39" s="25" customFormat="1" x14ac:dyDescent="0.25">
      <c r="A392" s="24">
        <f>MAX(B393:B488)</f>
        <v>824.99</v>
      </c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</row>
    <row r="393" spans="1:39" s="17" customFormat="1" x14ac:dyDescent="0.25">
      <c r="A393" s="21">
        <v>44596</v>
      </c>
      <c r="B393" s="17">
        <v>3.86</v>
      </c>
      <c r="C393" s="17">
        <v>0</v>
      </c>
      <c r="D393" s="17">
        <v>3.86</v>
      </c>
      <c r="E393" s="17">
        <v>0</v>
      </c>
      <c r="F393" s="17">
        <v>0</v>
      </c>
      <c r="G393" s="17">
        <v>0</v>
      </c>
      <c r="H393" s="17">
        <v>1.75</v>
      </c>
      <c r="I393" s="17">
        <v>0</v>
      </c>
      <c r="J393" s="17">
        <v>1.97</v>
      </c>
      <c r="K393" s="17">
        <v>0</v>
      </c>
      <c r="L393" s="17">
        <v>0</v>
      </c>
      <c r="M393" s="17">
        <v>0</v>
      </c>
      <c r="N393" s="17">
        <v>0</v>
      </c>
      <c r="O393" s="17">
        <v>0</v>
      </c>
      <c r="P393" s="17">
        <v>0</v>
      </c>
      <c r="Q393" s="17">
        <v>0</v>
      </c>
      <c r="R393" s="17">
        <v>0.53369999999999995</v>
      </c>
      <c r="S393" s="17">
        <v>0</v>
      </c>
      <c r="T393" s="17">
        <v>0</v>
      </c>
      <c r="U393" s="17">
        <v>1.62</v>
      </c>
      <c r="V393" s="17">
        <v>0</v>
      </c>
      <c r="W393" s="17">
        <v>1.06</v>
      </c>
      <c r="X393" s="17">
        <v>0</v>
      </c>
      <c r="Y393" s="17">
        <v>0</v>
      </c>
      <c r="Z393" s="17">
        <v>0</v>
      </c>
      <c r="AA393" s="17">
        <v>0</v>
      </c>
      <c r="AB393" s="17">
        <v>0</v>
      </c>
      <c r="AC393" s="17">
        <v>0</v>
      </c>
      <c r="AD393" s="17">
        <v>0</v>
      </c>
      <c r="AE393" s="17">
        <v>0</v>
      </c>
      <c r="AF393" s="17">
        <v>0</v>
      </c>
      <c r="AG393" s="17">
        <v>0</v>
      </c>
      <c r="AH393" s="17">
        <v>0</v>
      </c>
      <c r="AI393" s="17">
        <f t="shared" ref="AI393:AI456" si="27">WEEKDAY(A393,2)</f>
        <v>5</v>
      </c>
      <c r="AJ393" s="17">
        <f t="shared" ref="AJ393:AJ456" si="28">DAY(A393)</f>
        <v>4</v>
      </c>
      <c r="AK393" s="17">
        <f t="shared" ref="AK393:AK456" si="29">HOUR(A393)</f>
        <v>0</v>
      </c>
      <c r="AL393" s="17">
        <f t="shared" ref="AL393:AL456" si="30">IF(AI393&gt;=6,0,1)</f>
        <v>1</v>
      </c>
      <c r="AM393" s="17">
        <f>VLOOKUP(AK393,Sheet1!$A$2:$B$25,2,FALSE)</f>
        <v>0</v>
      </c>
    </row>
    <row r="394" spans="1:39" s="17" customFormat="1" x14ac:dyDescent="0.25">
      <c r="A394" s="21">
        <v>44596.010416666664</v>
      </c>
      <c r="B394" s="17">
        <v>3.91</v>
      </c>
      <c r="C394" s="17">
        <v>0</v>
      </c>
      <c r="D394" s="17">
        <v>3.91</v>
      </c>
      <c r="E394" s="17">
        <v>0</v>
      </c>
      <c r="F394" s="17">
        <v>0</v>
      </c>
      <c r="G394" s="17">
        <v>0</v>
      </c>
      <c r="H394" s="17">
        <v>1.45</v>
      </c>
      <c r="I394" s="17">
        <v>0</v>
      </c>
      <c r="J394" s="17">
        <v>1.92</v>
      </c>
      <c r="K394" s="17">
        <v>0</v>
      </c>
      <c r="L394" s="17">
        <v>0</v>
      </c>
      <c r="M394" s="17">
        <v>0</v>
      </c>
      <c r="N394" s="17">
        <v>0</v>
      </c>
      <c r="O394" s="17">
        <v>0</v>
      </c>
      <c r="P394" s="17">
        <v>0</v>
      </c>
      <c r="Q394" s="17">
        <v>0</v>
      </c>
      <c r="R394" s="17">
        <v>0.38529999999999998</v>
      </c>
      <c r="S394" s="17">
        <v>0</v>
      </c>
      <c r="T394" s="17">
        <v>0</v>
      </c>
      <c r="U394" s="17">
        <v>1.6</v>
      </c>
      <c r="V394" s="17">
        <v>0</v>
      </c>
      <c r="W394" s="17">
        <v>1.05</v>
      </c>
      <c r="X394" s="17">
        <v>0</v>
      </c>
      <c r="Y394" s="17">
        <v>0</v>
      </c>
      <c r="Z394" s="17">
        <v>0</v>
      </c>
      <c r="AA394" s="17">
        <v>0</v>
      </c>
      <c r="AB394" s="17">
        <v>0</v>
      </c>
      <c r="AC394" s="17">
        <v>0</v>
      </c>
      <c r="AD394" s="17">
        <v>0</v>
      </c>
      <c r="AE394" s="17">
        <v>0</v>
      </c>
      <c r="AF394" s="17">
        <v>0</v>
      </c>
      <c r="AG394" s="17">
        <v>0</v>
      </c>
      <c r="AH394" s="17">
        <v>0</v>
      </c>
      <c r="AI394" s="17">
        <f t="shared" si="27"/>
        <v>5</v>
      </c>
      <c r="AJ394" s="17">
        <f t="shared" si="28"/>
        <v>4</v>
      </c>
      <c r="AK394" s="17">
        <f t="shared" si="29"/>
        <v>0</v>
      </c>
      <c r="AL394" s="17">
        <f t="shared" si="30"/>
        <v>1</v>
      </c>
      <c r="AM394" s="17">
        <f>VLOOKUP(AK394,Sheet1!$A$2:$B$25,2,FALSE)</f>
        <v>0</v>
      </c>
    </row>
    <row r="395" spans="1:39" s="17" customFormat="1" x14ac:dyDescent="0.25">
      <c r="A395" s="21">
        <v>44596.020833333336</v>
      </c>
      <c r="B395" s="17">
        <v>4.08</v>
      </c>
      <c r="C395" s="17">
        <v>0.21870000000000001</v>
      </c>
      <c r="D395" s="17">
        <v>3.86</v>
      </c>
      <c r="E395" s="17">
        <v>0</v>
      </c>
      <c r="F395" s="17">
        <v>0</v>
      </c>
      <c r="G395" s="17">
        <v>0</v>
      </c>
      <c r="H395" s="17">
        <v>1.47</v>
      </c>
      <c r="I395" s="17">
        <v>0</v>
      </c>
      <c r="J395" s="17">
        <v>1.85</v>
      </c>
      <c r="K395" s="17">
        <v>0</v>
      </c>
      <c r="L395" s="17">
        <v>0</v>
      </c>
      <c r="M395" s="17">
        <v>0</v>
      </c>
      <c r="N395" s="17">
        <v>0</v>
      </c>
      <c r="O395" s="17">
        <v>0</v>
      </c>
      <c r="P395" s="17">
        <v>0</v>
      </c>
      <c r="Q395" s="17">
        <v>0</v>
      </c>
      <c r="R395" s="17">
        <v>0.19259999999999999</v>
      </c>
      <c r="S395" s="17">
        <v>0</v>
      </c>
      <c r="T395" s="17">
        <v>0</v>
      </c>
      <c r="U395" s="17">
        <v>1.6</v>
      </c>
      <c r="V395" s="17">
        <v>0</v>
      </c>
      <c r="W395" s="17">
        <v>1.04</v>
      </c>
      <c r="X395" s="17">
        <v>0</v>
      </c>
      <c r="Y395" s="17">
        <v>0</v>
      </c>
      <c r="Z395" s="17">
        <v>0</v>
      </c>
      <c r="AA395" s="17">
        <v>0</v>
      </c>
      <c r="AB395" s="17">
        <v>0</v>
      </c>
      <c r="AC395" s="17">
        <v>0</v>
      </c>
      <c r="AD395" s="17">
        <v>0</v>
      </c>
      <c r="AE395" s="17">
        <v>0</v>
      </c>
      <c r="AF395" s="17">
        <v>0</v>
      </c>
      <c r="AG395" s="17">
        <v>0</v>
      </c>
      <c r="AH395" s="17">
        <v>0</v>
      </c>
      <c r="AI395" s="17">
        <f t="shared" si="27"/>
        <v>5</v>
      </c>
      <c r="AJ395" s="17">
        <f t="shared" si="28"/>
        <v>4</v>
      </c>
      <c r="AK395" s="17">
        <f t="shared" si="29"/>
        <v>0</v>
      </c>
      <c r="AL395" s="17">
        <f t="shared" si="30"/>
        <v>1</v>
      </c>
      <c r="AM395" s="17">
        <f>VLOOKUP(AK395,Sheet1!$A$2:$B$25,2,FALSE)</f>
        <v>0</v>
      </c>
    </row>
    <row r="396" spans="1:39" s="17" customFormat="1" x14ac:dyDescent="0.25">
      <c r="A396" s="21">
        <v>44596.03125</v>
      </c>
      <c r="B396" s="17">
        <v>3.86</v>
      </c>
      <c r="C396" s="17">
        <v>0</v>
      </c>
      <c r="D396" s="17">
        <v>3.86</v>
      </c>
      <c r="E396" s="17">
        <v>0</v>
      </c>
      <c r="F396" s="17">
        <v>0</v>
      </c>
      <c r="G396" s="17">
        <v>0</v>
      </c>
      <c r="H396" s="17">
        <v>1.23</v>
      </c>
      <c r="I396" s="17">
        <v>0</v>
      </c>
      <c r="J396" s="17">
        <v>1.82</v>
      </c>
      <c r="K396" s="17">
        <v>0</v>
      </c>
      <c r="L396" s="17">
        <v>0</v>
      </c>
      <c r="M396" s="17">
        <v>0</v>
      </c>
      <c r="N396" s="17">
        <v>0</v>
      </c>
      <c r="O396" s="17">
        <v>0</v>
      </c>
      <c r="P396" s="17">
        <v>0</v>
      </c>
      <c r="Q396" s="17">
        <v>0</v>
      </c>
      <c r="R396" s="17">
        <v>0.18629999999999999</v>
      </c>
      <c r="S396" s="17">
        <v>0</v>
      </c>
      <c r="T396" s="17">
        <v>0</v>
      </c>
      <c r="U396" s="17">
        <v>1.59</v>
      </c>
      <c r="V396" s="17">
        <v>0</v>
      </c>
      <c r="W396" s="17">
        <v>1.03</v>
      </c>
      <c r="X396" s="17">
        <v>0</v>
      </c>
      <c r="Y396" s="17">
        <v>0</v>
      </c>
      <c r="Z396" s="17">
        <v>0</v>
      </c>
      <c r="AA396" s="17">
        <v>0</v>
      </c>
      <c r="AB396" s="17">
        <v>0</v>
      </c>
      <c r="AC396" s="17">
        <v>0</v>
      </c>
      <c r="AD396" s="17">
        <v>0</v>
      </c>
      <c r="AE396" s="17">
        <v>0</v>
      </c>
      <c r="AF396" s="17">
        <v>0</v>
      </c>
      <c r="AG396" s="17">
        <v>0</v>
      </c>
      <c r="AH396" s="17">
        <v>0</v>
      </c>
      <c r="AI396" s="17">
        <f t="shared" si="27"/>
        <v>5</v>
      </c>
      <c r="AJ396" s="17">
        <f t="shared" si="28"/>
        <v>4</v>
      </c>
      <c r="AK396" s="17">
        <f t="shared" si="29"/>
        <v>0</v>
      </c>
      <c r="AL396" s="17">
        <f t="shared" si="30"/>
        <v>1</v>
      </c>
      <c r="AM396" s="17">
        <f>VLOOKUP(AK396,Sheet1!$A$2:$B$25,2,FALSE)</f>
        <v>0</v>
      </c>
    </row>
    <row r="397" spans="1:39" s="17" customFormat="1" x14ac:dyDescent="0.25">
      <c r="A397" s="21">
        <v>44596.041666666664</v>
      </c>
      <c r="B397" s="17">
        <v>4.2</v>
      </c>
      <c r="C397" s="17">
        <v>0.21870000000000001</v>
      </c>
      <c r="D397" s="17">
        <v>3.99</v>
      </c>
      <c r="E397" s="17">
        <v>0</v>
      </c>
      <c r="F397" s="17">
        <v>0</v>
      </c>
      <c r="G397" s="17">
        <v>0</v>
      </c>
      <c r="H397" s="17">
        <v>1.71</v>
      </c>
      <c r="I397" s="17">
        <v>0</v>
      </c>
      <c r="J397" s="17">
        <v>1.97</v>
      </c>
      <c r="K397" s="17">
        <v>0</v>
      </c>
      <c r="L397" s="17">
        <v>0</v>
      </c>
      <c r="M397" s="17">
        <v>0</v>
      </c>
      <c r="N397" s="17">
        <v>0</v>
      </c>
      <c r="O397" s="17">
        <v>0</v>
      </c>
      <c r="P397" s="17">
        <v>0</v>
      </c>
      <c r="Q397" s="17">
        <v>0</v>
      </c>
      <c r="R397" s="17">
        <v>0.57240000000000002</v>
      </c>
      <c r="S397" s="17">
        <v>0</v>
      </c>
      <c r="T397" s="17">
        <v>0</v>
      </c>
      <c r="U397" s="17">
        <v>1.59</v>
      </c>
      <c r="V397" s="17">
        <v>0</v>
      </c>
      <c r="W397" s="17">
        <v>1.04</v>
      </c>
      <c r="X397" s="17">
        <v>0</v>
      </c>
      <c r="Y397" s="17">
        <v>0</v>
      </c>
      <c r="Z397" s="17">
        <v>0</v>
      </c>
      <c r="AA397" s="17">
        <v>0</v>
      </c>
      <c r="AB397" s="17">
        <v>0</v>
      </c>
      <c r="AC397" s="17">
        <v>0</v>
      </c>
      <c r="AD397" s="17">
        <v>0</v>
      </c>
      <c r="AE397" s="17">
        <v>0</v>
      </c>
      <c r="AF397" s="17">
        <v>0</v>
      </c>
      <c r="AG397" s="17">
        <v>0</v>
      </c>
      <c r="AH397" s="17">
        <v>0</v>
      </c>
      <c r="AI397" s="17">
        <f t="shared" si="27"/>
        <v>5</v>
      </c>
      <c r="AJ397" s="17">
        <f t="shared" si="28"/>
        <v>4</v>
      </c>
      <c r="AK397" s="17">
        <f t="shared" si="29"/>
        <v>1</v>
      </c>
      <c r="AL397" s="17">
        <f t="shared" si="30"/>
        <v>1</v>
      </c>
      <c r="AM397" s="17">
        <f>VLOOKUP(AK397,Sheet1!$A$2:$B$25,2,FALSE)</f>
        <v>0</v>
      </c>
    </row>
    <row r="398" spans="1:39" s="17" customFormat="1" x14ac:dyDescent="0.25">
      <c r="A398" s="21">
        <v>44596.052083333336</v>
      </c>
      <c r="B398" s="17">
        <v>3.95</v>
      </c>
      <c r="C398" s="17">
        <v>0</v>
      </c>
      <c r="D398" s="17">
        <v>3.95</v>
      </c>
      <c r="E398" s="17">
        <v>0</v>
      </c>
      <c r="F398" s="17">
        <v>0</v>
      </c>
      <c r="G398" s="17">
        <v>0</v>
      </c>
      <c r="H398" s="17">
        <v>1.6</v>
      </c>
      <c r="I398" s="17">
        <v>0</v>
      </c>
      <c r="J398" s="17">
        <v>1.78</v>
      </c>
      <c r="K398" s="17">
        <v>0</v>
      </c>
      <c r="L398" s="17">
        <v>0</v>
      </c>
      <c r="M398" s="17">
        <v>0</v>
      </c>
      <c r="N398" s="17">
        <v>0</v>
      </c>
      <c r="O398" s="17">
        <v>0</v>
      </c>
      <c r="P398" s="17">
        <v>0</v>
      </c>
      <c r="Q398" s="17">
        <v>0</v>
      </c>
      <c r="R398" s="17">
        <v>0.28420000000000001</v>
      </c>
      <c r="S398" s="17">
        <v>0</v>
      </c>
      <c r="T398" s="17">
        <v>0</v>
      </c>
      <c r="U398" s="17">
        <v>1.58</v>
      </c>
      <c r="V398" s="17">
        <v>0</v>
      </c>
      <c r="W398" s="17">
        <v>1.03</v>
      </c>
      <c r="X398" s="17">
        <v>0</v>
      </c>
      <c r="Y398" s="17">
        <v>0</v>
      </c>
      <c r="Z398" s="17">
        <v>0</v>
      </c>
      <c r="AA398" s="17">
        <v>0</v>
      </c>
      <c r="AB398" s="17">
        <v>0</v>
      </c>
      <c r="AC398" s="17">
        <v>0</v>
      </c>
      <c r="AD398" s="17">
        <v>0</v>
      </c>
      <c r="AE398" s="17">
        <v>0</v>
      </c>
      <c r="AF398" s="17">
        <v>0</v>
      </c>
      <c r="AG398" s="17">
        <v>0</v>
      </c>
      <c r="AH398" s="17">
        <v>0</v>
      </c>
      <c r="AI398" s="17">
        <f t="shared" si="27"/>
        <v>5</v>
      </c>
      <c r="AJ398" s="17">
        <f t="shared" si="28"/>
        <v>4</v>
      </c>
      <c r="AK398" s="17">
        <f t="shared" si="29"/>
        <v>1</v>
      </c>
      <c r="AL398" s="17">
        <f t="shared" si="30"/>
        <v>1</v>
      </c>
      <c r="AM398" s="17">
        <f>VLOOKUP(AK398,Sheet1!$A$2:$B$25,2,FALSE)</f>
        <v>0</v>
      </c>
    </row>
    <row r="399" spans="1:39" s="17" customFormat="1" x14ac:dyDescent="0.25">
      <c r="A399" s="21">
        <v>44596.0625</v>
      </c>
      <c r="B399" s="17">
        <v>3.98</v>
      </c>
      <c r="C399" s="17">
        <v>0.1855</v>
      </c>
      <c r="D399" s="17">
        <v>3.8</v>
      </c>
      <c r="E399" s="17">
        <v>0</v>
      </c>
      <c r="F399" s="17">
        <v>0</v>
      </c>
      <c r="G399" s="17">
        <v>0</v>
      </c>
      <c r="H399" s="17">
        <v>1.63</v>
      </c>
      <c r="I399" s="17">
        <v>0</v>
      </c>
      <c r="J399" s="17">
        <v>1.89</v>
      </c>
      <c r="K399" s="17">
        <v>0</v>
      </c>
      <c r="L399" s="17">
        <v>0</v>
      </c>
      <c r="M399" s="17">
        <v>0</v>
      </c>
      <c r="N399" s="17">
        <v>0</v>
      </c>
      <c r="O399" s="17">
        <v>0</v>
      </c>
      <c r="P399" s="17">
        <v>0</v>
      </c>
      <c r="Q399" s="17">
        <v>0</v>
      </c>
      <c r="R399" s="17">
        <v>0.51870000000000005</v>
      </c>
      <c r="S399" s="17">
        <v>0</v>
      </c>
      <c r="T399" s="17">
        <v>0</v>
      </c>
      <c r="U399" s="17">
        <v>1.58</v>
      </c>
      <c r="V399" s="17">
        <v>0</v>
      </c>
      <c r="W399" s="17">
        <v>1.03</v>
      </c>
      <c r="X399" s="17">
        <v>0</v>
      </c>
      <c r="Y399" s="17">
        <v>0</v>
      </c>
      <c r="Z399" s="17">
        <v>0</v>
      </c>
      <c r="AA399" s="17">
        <v>0</v>
      </c>
      <c r="AB399" s="17">
        <v>0</v>
      </c>
      <c r="AC399" s="17">
        <v>0</v>
      </c>
      <c r="AD399" s="17">
        <v>0</v>
      </c>
      <c r="AE399" s="17">
        <v>0</v>
      </c>
      <c r="AF399" s="17">
        <v>0</v>
      </c>
      <c r="AG399" s="17">
        <v>0</v>
      </c>
      <c r="AH399" s="17">
        <v>0</v>
      </c>
      <c r="AI399" s="17">
        <f t="shared" si="27"/>
        <v>5</v>
      </c>
      <c r="AJ399" s="17">
        <f t="shared" si="28"/>
        <v>4</v>
      </c>
      <c r="AK399" s="17">
        <f t="shared" si="29"/>
        <v>1</v>
      </c>
      <c r="AL399" s="17">
        <f t="shared" si="30"/>
        <v>1</v>
      </c>
      <c r="AM399" s="17">
        <f>VLOOKUP(AK399,Sheet1!$A$2:$B$25,2,FALSE)</f>
        <v>0</v>
      </c>
    </row>
    <row r="400" spans="1:39" s="17" customFormat="1" x14ac:dyDescent="0.25">
      <c r="A400" s="21">
        <v>44596.072916666664</v>
      </c>
      <c r="B400" s="17">
        <v>3.97</v>
      </c>
      <c r="C400" s="17">
        <v>0.21870000000000001</v>
      </c>
      <c r="D400" s="17">
        <v>3.75</v>
      </c>
      <c r="E400" s="17">
        <v>0</v>
      </c>
      <c r="F400" s="17">
        <v>0</v>
      </c>
      <c r="G400" s="17">
        <v>0</v>
      </c>
      <c r="H400" s="17">
        <v>1.66</v>
      </c>
      <c r="I400" s="17">
        <v>0</v>
      </c>
      <c r="J400" s="17">
        <v>1.84</v>
      </c>
      <c r="K400" s="17">
        <v>0</v>
      </c>
      <c r="L400" s="17">
        <v>0</v>
      </c>
      <c r="M400" s="17">
        <v>0</v>
      </c>
      <c r="N400" s="17">
        <v>0</v>
      </c>
      <c r="O400" s="17">
        <v>0</v>
      </c>
      <c r="P400" s="17">
        <v>0</v>
      </c>
      <c r="Q400" s="17">
        <v>0</v>
      </c>
      <c r="R400" s="17">
        <v>0.67730000000000001</v>
      </c>
      <c r="S400" s="17">
        <v>0</v>
      </c>
      <c r="T400" s="17">
        <v>0</v>
      </c>
      <c r="U400" s="17">
        <v>1.58</v>
      </c>
      <c r="V400" s="17">
        <v>0</v>
      </c>
      <c r="W400" s="17">
        <v>1.04</v>
      </c>
      <c r="X400" s="17">
        <v>0</v>
      </c>
      <c r="Y400" s="17">
        <v>0</v>
      </c>
      <c r="Z400" s="17">
        <v>0</v>
      </c>
      <c r="AA400" s="17">
        <v>0</v>
      </c>
      <c r="AB400" s="17">
        <v>0</v>
      </c>
      <c r="AC400" s="17">
        <v>0</v>
      </c>
      <c r="AD400" s="17">
        <v>0</v>
      </c>
      <c r="AE400" s="17">
        <v>0</v>
      </c>
      <c r="AF400" s="17">
        <v>0</v>
      </c>
      <c r="AG400" s="17">
        <v>0</v>
      </c>
      <c r="AH400" s="17">
        <v>0</v>
      </c>
      <c r="AI400" s="17">
        <f t="shared" si="27"/>
        <v>5</v>
      </c>
      <c r="AJ400" s="17">
        <f t="shared" si="28"/>
        <v>4</v>
      </c>
      <c r="AK400" s="17">
        <f t="shared" si="29"/>
        <v>1</v>
      </c>
      <c r="AL400" s="17">
        <f t="shared" si="30"/>
        <v>1</v>
      </c>
      <c r="AM400" s="17">
        <f>VLOOKUP(AK400,Sheet1!$A$2:$B$25,2,FALSE)</f>
        <v>0</v>
      </c>
    </row>
    <row r="401" spans="1:39" s="17" customFormat="1" x14ac:dyDescent="0.25">
      <c r="A401" s="21">
        <v>44596.083333333336</v>
      </c>
      <c r="B401" s="17">
        <v>4.03</v>
      </c>
      <c r="C401" s="17">
        <v>0.2021</v>
      </c>
      <c r="D401" s="17">
        <v>3.82</v>
      </c>
      <c r="E401" s="17">
        <v>0</v>
      </c>
      <c r="F401" s="17">
        <v>0</v>
      </c>
      <c r="G401" s="17">
        <v>0</v>
      </c>
      <c r="H401" s="17">
        <v>1.61</v>
      </c>
      <c r="I401" s="17">
        <v>0</v>
      </c>
      <c r="J401" s="17">
        <v>1.92</v>
      </c>
      <c r="K401" s="17">
        <v>0</v>
      </c>
      <c r="L401" s="17">
        <v>0</v>
      </c>
      <c r="M401" s="17">
        <v>0</v>
      </c>
      <c r="N401" s="17">
        <v>0</v>
      </c>
      <c r="O401" s="17">
        <v>0</v>
      </c>
      <c r="P401" s="17">
        <v>0</v>
      </c>
      <c r="Q401" s="17">
        <v>0</v>
      </c>
      <c r="R401" s="17">
        <v>0.28970000000000001</v>
      </c>
      <c r="S401" s="17">
        <v>0</v>
      </c>
      <c r="T401" s="17">
        <v>0</v>
      </c>
      <c r="U401" s="17">
        <v>1.58</v>
      </c>
      <c r="V401" s="17">
        <v>0</v>
      </c>
      <c r="W401" s="17">
        <v>1.03</v>
      </c>
      <c r="X401" s="17">
        <v>0</v>
      </c>
      <c r="Y401" s="17">
        <v>0</v>
      </c>
      <c r="Z401" s="17">
        <v>0</v>
      </c>
      <c r="AA401" s="17">
        <v>0</v>
      </c>
      <c r="AB401" s="17">
        <v>0</v>
      </c>
      <c r="AC401" s="17">
        <v>0</v>
      </c>
      <c r="AD401" s="17">
        <v>0</v>
      </c>
      <c r="AE401" s="17">
        <v>0</v>
      </c>
      <c r="AF401" s="17">
        <v>0</v>
      </c>
      <c r="AG401" s="17">
        <v>0</v>
      </c>
      <c r="AH401" s="17">
        <v>0</v>
      </c>
      <c r="AI401" s="17">
        <f t="shared" si="27"/>
        <v>5</v>
      </c>
      <c r="AJ401" s="17">
        <f t="shared" si="28"/>
        <v>4</v>
      </c>
      <c r="AK401" s="17">
        <f t="shared" si="29"/>
        <v>2</v>
      </c>
      <c r="AL401" s="17">
        <f t="shared" si="30"/>
        <v>1</v>
      </c>
      <c r="AM401" s="17">
        <f>VLOOKUP(AK401,Sheet1!$A$2:$B$25,2,FALSE)</f>
        <v>0</v>
      </c>
    </row>
    <row r="402" spans="1:39" s="17" customFormat="1" x14ac:dyDescent="0.25">
      <c r="A402" s="21">
        <v>44596.09375</v>
      </c>
      <c r="B402" s="17">
        <v>3.83</v>
      </c>
      <c r="C402" s="17">
        <v>0</v>
      </c>
      <c r="D402" s="17">
        <v>3.83</v>
      </c>
      <c r="E402" s="17">
        <v>0</v>
      </c>
      <c r="F402" s="17">
        <v>0</v>
      </c>
      <c r="G402" s="17">
        <v>0</v>
      </c>
      <c r="H402" s="17">
        <v>1.57</v>
      </c>
      <c r="I402" s="17">
        <v>0</v>
      </c>
      <c r="J402" s="17">
        <v>1.87</v>
      </c>
      <c r="K402" s="17">
        <v>0</v>
      </c>
      <c r="L402" s="17">
        <v>0</v>
      </c>
      <c r="M402" s="17">
        <v>0</v>
      </c>
      <c r="N402" s="17">
        <v>0</v>
      </c>
      <c r="O402" s="17">
        <v>0</v>
      </c>
      <c r="P402" s="17">
        <v>0</v>
      </c>
      <c r="Q402" s="17">
        <v>0</v>
      </c>
      <c r="R402" s="17">
        <v>0.3347</v>
      </c>
      <c r="S402" s="17">
        <v>0</v>
      </c>
      <c r="T402" s="17">
        <v>0</v>
      </c>
      <c r="U402" s="17">
        <v>1.57</v>
      </c>
      <c r="V402" s="17">
        <v>0</v>
      </c>
      <c r="W402" s="17">
        <v>1.03</v>
      </c>
      <c r="X402" s="17">
        <v>0</v>
      </c>
      <c r="Y402" s="17">
        <v>0</v>
      </c>
      <c r="Z402" s="17">
        <v>0</v>
      </c>
      <c r="AA402" s="17">
        <v>0</v>
      </c>
      <c r="AB402" s="17">
        <v>0</v>
      </c>
      <c r="AC402" s="17">
        <v>0</v>
      </c>
      <c r="AD402" s="17">
        <v>0</v>
      </c>
      <c r="AE402" s="17">
        <v>0</v>
      </c>
      <c r="AF402" s="17">
        <v>0</v>
      </c>
      <c r="AG402" s="17">
        <v>0</v>
      </c>
      <c r="AH402" s="17">
        <v>0</v>
      </c>
      <c r="AI402" s="17">
        <f t="shared" si="27"/>
        <v>5</v>
      </c>
      <c r="AJ402" s="17">
        <f t="shared" si="28"/>
        <v>4</v>
      </c>
      <c r="AK402" s="17">
        <f t="shared" si="29"/>
        <v>2</v>
      </c>
      <c r="AL402" s="17">
        <f t="shared" si="30"/>
        <v>1</v>
      </c>
      <c r="AM402" s="17">
        <f>VLOOKUP(AK402,Sheet1!$A$2:$B$25,2,FALSE)</f>
        <v>0</v>
      </c>
    </row>
    <row r="403" spans="1:39" s="17" customFormat="1" x14ac:dyDescent="0.25">
      <c r="A403" s="21">
        <v>44596.104166666664</v>
      </c>
      <c r="B403" s="17">
        <v>4.01</v>
      </c>
      <c r="C403" s="17">
        <v>0</v>
      </c>
      <c r="D403" s="17">
        <v>4.01</v>
      </c>
      <c r="E403" s="17">
        <v>0</v>
      </c>
      <c r="F403" s="17">
        <v>0</v>
      </c>
      <c r="G403" s="17">
        <v>0</v>
      </c>
      <c r="H403" s="17">
        <v>1.63</v>
      </c>
      <c r="I403" s="17">
        <v>0</v>
      </c>
      <c r="J403" s="17">
        <v>1.89</v>
      </c>
      <c r="K403" s="17">
        <v>0</v>
      </c>
      <c r="L403" s="17">
        <v>0</v>
      </c>
      <c r="M403" s="17">
        <v>0</v>
      </c>
      <c r="N403" s="17">
        <v>0</v>
      </c>
      <c r="O403" s="17">
        <v>0</v>
      </c>
      <c r="P403" s="17">
        <v>0</v>
      </c>
      <c r="Q403" s="17">
        <v>0</v>
      </c>
      <c r="R403" s="17">
        <v>0.29289999999999999</v>
      </c>
      <c r="S403" s="17">
        <v>0</v>
      </c>
      <c r="T403" s="17">
        <v>0</v>
      </c>
      <c r="U403" s="17">
        <v>1.71</v>
      </c>
      <c r="V403" s="17">
        <v>0</v>
      </c>
      <c r="W403" s="17">
        <v>1.1200000000000001</v>
      </c>
      <c r="X403" s="17">
        <v>0</v>
      </c>
      <c r="Y403" s="17">
        <v>0</v>
      </c>
      <c r="Z403" s="17">
        <v>0</v>
      </c>
      <c r="AA403" s="17">
        <v>0</v>
      </c>
      <c r="AB403" s="17">
        <v>0</v>
      </c>
      <c r="AC403" s="17">
        <v>0</v>
      </c>
      <c r="AD403" s="17">
        <v>0</v>
      </c>
      <c r="AE403" s="17">
        <v>0</v>
      </c>
      <c r="AF403" s="17">
        <v>0</v>
      </c>
      <c r="AG403" s="17">
        <v>0</v>
      </c>
      <c r="AH403" s="17">
        <v>0</v>
      </c>
      <c r="AI403" s="17">
        <f t="shared" si="27"/>
        <v>5</v>
      </c>
      <c r="AJ403" s="17">
        <f t="shared" si="28"/>
        <v>4</v>
      </c>
      <c r="AK403" s="17">
        <f t="shared" si="29"/>
        <v>2</v>
      </c>
      <c r="AL403" s="17">
        <f t="shared" si="30"/>
        <v>1</v>
      </c>
      <c r="AM403" s="17">
        <f>VLOOKUP(AK403,Sheet1!$A$2:$B$25,2,FALSE)</f>
        <v>0</v>
      </c>
    </row>
    <row r="404" spans="1:39" s="17" customFormat="1" x14ac:dyDescent="0.25">
      <c r="A404" s="21">
        <v>44596.114583333336</v>
      </c>
      <c r="B404" s="17">
        <v>4.2</v>
      </c>
      <c r="C404" s="17">
        <v>0.21870000000000001</v>
      </c>
      <c r="D404" s="17">
        <v>3.98</v>
      </c>
      <c r="E404" s="17">
        <v>0</v>
      </c>
      <c r="F404" s="17">
        <v>0</v>
      </c>
      <c r="G404" s="17">
        <v>0</v>
      </c>
      <c r="H404" s="17">
        <v>1.67</v>
      </c>
      <c r="I404" s="17">
        <v>0</v>
      </c>
      <c r="J404" s="17">
        <v>1.88</v>
      </c>
      <c r="K404" s="17">
        <v>0</v>
      </c>
      <c r="L404" s="17">
        <v>0</v>
      </c>
      <c r="M404" s="17">
        <v>0</v>
      </c>
      <c r="N404" s="17">
        <v>0</v>
      </c>
      <c r="O404" s="17">
        <v>0</v>
      </c>
      <c r="P404" s="17">
        <v>0</v>
      </c>
      <c r="Q404" s="17">
        <v>0</v>
      </c>
      <c r="R404" s="17">
        <v>0.47049999999999997</v>
      </c>
      <c r="S404" s="17">
        <v>0</v>
      </c>
      <c r="T404" s="17">
        <v>0</v>
      </c>
      <c r="U404" s="17">
        <v>1.71</v>
      </c>
      <c r="V404" s="17">
        <v>0</v>
      </c>
      <c r="W404" s="17">
        <v>1.1200000000000001</v>
      </c>
      <c r="X404" s="17">
        <v>0</v>
      </c>
      <c r="Y404" s="17">
        <v>0</v>
      </c>
      <c r="Z404" s="17">
        <v>0</v>
      </c>
      <c r="AA404" s="17">
        <v>0</v>
      </c>
      <c r="AB404" s="17">
        <v>0</v>
      </c>
      <c r="AC404" s="17">
        <v>0</v>
      </c>
      <c r="AD404" s="17">
        <v>0</v>
      </c>
      <c r="AE404" s="17">
        <v>0</v>
      </c>
      <c r="AF404" s="17">
        <v>0</v>
      </c>
      <c r="AG404" s="17">
        <v>0</v>
      </c>
      <c r="AH404" s="17">
        <v>0</v>
      </c>
      <c r="AI404" s="17">
        <f t="shared" si="27"/>
        <v>5</v>
      </c>
      <c r="AJ404" s="17">
        <f t="shared" si="28"/>
        <v>4</v>
      </c>
      <c r="AK404" s="17">
        <f t="shared" si="29"/>
        <v>2</v>
      </c>
      <c r="AL404" s="17">
        <f t="shared" si="30"/>
        <v>1</v>
      </c>
      <c r="AM404" s="17">
        <f>VLOOKUP(AK404,Sheet1!$A$2:$B$25,2,FALSE)</f>
        <v>0</v>
      </c>
    </row>
    <row r="405" spans="1:39" s="17" customFormat="1" x14ac:dyDescent="0.25">
      <c r="A405" s="21">
        <v>44596.125</v>
      </c>
      <c r="B405" s="17">
        <v>4.12</v>
      </c>
      <c r="C405" s="17">
        <v>0.1855</v>
      </c>
      <c r="D405" s="17">
        <v>3.94</v>
      </c>
      <c r="E405" s="17">
        <v>0</v>
      </c>
      <c r="F405" s="17">
        <v>0</v>
      </c>
      <c r="G405" s="17">
        <v>0</v>
      </c>
      <c r="H405" s="17">
        <v>1.53</v>
      </c>
      <c r="I405" s="17">
        <v>0</v>
      </c>
      <c r="J405" s="17">
        <v>1.89</v>
      </c>
      <c r="K405" s="17">
        <v>0</v>
      </c>
      <c r="L405" s="17">
        <v>0</v>
      </c>
      <c r="M405" s="17">
        <v>0</v>
      </c>
      <c r="N405" s="17">
        <v>0</v>
      </c>
      <c r="O405" s="17">
        <v>0</v>
      </c>
      <c r="P405" s="17">
        <v>0</v>
      </c>
      <c r="Q405" s="17">
        <v>0</v>
      </c>
      <c r="R405" s="17">
        <v>0.34970000000000001</v>
      </c>
      <c r="S405" s="17">
        <v>0</v>
      </c>
      <c r="T405" s="17">
        <v>0</v>
      </c>
      <c r="U405" s="17">
        <v>1.73</v>
      </c>
      <c r="V405" s="17">
        <v>0</v>
      </c>
      <c r="W405" s="17">
        <v>1.1399999999999999</v>
      </c>
      <c r="X405" s="17">
        <v>0</v>
      </c>
      <c r="Y405" s="17">
        <v>0</v>
      </c>
      <c r="Z405" s="17">
        <v>0</v>
      </c>
      <c r="AA405" s="17">
        <v>0</v>
      </c>
      <c r="AB405" s="17">
        <v>0</v>
      </c>
      <c r="AC405" s="17">
        <v>0</v>
      </c>
      <c r="AD405" s="17">
        <v>0</v>
      </c>
      <c r="AE405" s="17">
        <v>0</v>
      </c>
      <c r="AF405" s="17">
        <v>0</v>
      </c>
      <c r="AG405" s="17">
        <v>0</v>
      </c>
      <c r="AH405" s="17">
        <v>0</v>
      </c>
      <c r="AI405" s="17">
        <f t="shared" si="27"/>
        <v>5</v>
      </c>
      <c r="AJ405" s="17">
        <f t="shared" si="28"/>
        <v>4</v>
      </c>
      <c r="AK405" s="17">
        <f t="shared" si="29"/>
        <v>3</v>
      </c>
      <c r="AL405" s="17">
        <f t="shared" si="30"/>
        <v>1</v>
      </c>
      <c r="AM405" s="17">
        <f>VLOOKUP(AK405,Sheet1!$A$2:$B$25,2,FALSE)</f>
        <v>0</v>
      </c>
    </row>
    <row r="406" spans="1:39" s="17" customFormat="1" x14ac:dyDescent="0.25">
      <c r="A406" s="21">
        <v>44596.135416666664</v>
      </c>
      <c r="B406" s="17">
        <v>4.37</v>
      </c>
      <c r="C406" s="17">
        <v>0.2021</v>
      </c>
      <c r="D406" s="17">
        <v>4.16</v>
      </c>
      <c r="E406" s="17">
        <v>0</v>
      </c>
      <c r="F406" s="17">
        <v>0</v>
      </c>
      <c r="G406" s="17">
        <v>0</v>
      </c>
      <c r="H406" s="17">
        <v>1.34</v>
      </c>
      <c r="I406" s="17">
        <v>0</v>
      </c>
      <c r="J406" s="17">
        <v>1.94</v>
      </c>
      <c r="K406" s="17">
        <v>0</v>
      </c>
      <c r="L406" s="17">
        <v>0</v>
      </c>
      <c r="M406" s="17">
        <v>0</v>
      </c>
      <c r="N406" s="17">
        <v>0</v>
      </c>
      <c r="O406" s="17">
        <v>0</v>
      </c>
      <c r="P406" s="17">
        <v>0</v>
      </c>
      <c r="Q406" s="17">
        <v>0</v>
      </c>
      <c r="R406" s="17">
        <v>0.39079999999999998</v>
      </c>
      <c r="S406" s="17">
        <v>0</v>
      </c>
      <c r="T406" s="17">
        <v>0</v>
      </c>
      <c r="U406" s="17">
        <v>1.73</v>
      </c>
      <c r="V406" s="17">
        <v>0</v>
      </c>
      <c r="W406" s="17">
        <v>1.1299999999999999</v>
      </c>
      <c r="X406" s="17">
        <v>0</v>
      </c>
      <c r="Y406" s="17">
        <v>0</v>
      </c>
      <c r="Z406" s="17">
        <v>0</v>
      </c>
      <c r="AA406" s="17">
        <v>0</v>
      </c>
      <c r="AB406" s="17">
        <v>0</v>
      </c>
      <c r="AC406" s="17">
        <v>0</v>
      </c>
      <c r="AD406" s="17">
        <v>0</v>
      </c>
      <c r="AE406" s="17">
        <v>0</v>
      </c>
      <c r="AF406" s="17">
        <v>0</v>
      </c>
      <c r="AG406" s="17">
        <v>0</v>
      </c>
      <c r="AH406" s="17">
        <v>0</v>
      </c>
      <c r="AI406" s="17">
        <f t="shared" si="27"/>
        <v>5</v>
      </c>
      <c r="AJ406" s="17">
        <f t="shared" si="28"/>
        <v>4</v>
      </c>
      <c r="AK406" s="17">
        <f t="shared" si="29"/>
        <v>3</v>
      </c>
      <c r="AL406" s="17">
        <f t="shared" si="30"/>
        <v>1</v>
      </c>
      <c r="AM406" s="17">
        <f>VLOOKUP(AK406,Sheet1!$A$2:$B$25,2,FALSE)</f>
        <v>0</v>
      </c>
    </row>
    <row r="407" spans="1:39" s="17" customFormat="1" x14ac:dyDescent="0.25">
      <c r="A407" s="21">
        <v>44596.145833333336</v>
      </c>
      <c r="B407" s="17">
        <v>3.88</v>
      </c>
      <c r="C407" s="17">
        <v>0</v>
      </c>
      <c r="D407" s="17">
        <v>3.88</v>
      </c>
      <c r="E407" s="17">
        <v>0</v>
      </c>
      <c r="F407" s="17">
        <v>0</v>
      </c>
      <c r="G407" s="17">
        <v>0</v>
      </c>
      <c r="H407" s="17">
        <v>1.71</v>
      </c>
      <c r="I407" s="17">
        <v>0</v>
      </c>
      <c r="J407" s="17">
        <v>1.95</v>
      </c>
      <c r="K407" s="17">
        <v>0</v>
      </c>
      <c r="L407" s="17">
        <v>0</v>
      </c>
      <c r="M407" s="17">
        <v>0</v>
      </c>
      <c r="N407" s="17">
        <v>0</v>
      </c>
      <c r="O407" s="17">
        <v>0</v>
      </c>
      <c r="P407" s="17">
        <v>0</v>
      </c>
      <c r="Q407" s="17">
        <v>0</v>
      </c>
      <c r="R407" s="17">
        <v>0.3387</v>
      </c>
      <c r="S407" s="17">
        <v>0</v>
      </c>
      <c r="T407" s="17">
        <v>0</v>
      </c>
      <c r="U407" s="17">
        <v>1.69</v>
      </c>
      <c r="V407" s="17">
        <v>0</v>
      </c>
      <c r="W407" s="17">
        <v>1.1000000000000001</v>
      </c>
      <c r="X407" s="17">
        <v>0</v>
      </c>
      <c r="Y407" s="17">
        <v>0</v>
      </c>
      <c r="Z407" s="17">
        <v>0</v>
      </c>
      <c r="AA407" s="17">
        <v>0</v>
      </c>
      <c r="AB407" s="17">
        <v>0</v>
      </c>
      <c r="AC407" s="17">
        <v>0</v>
      </c>
      <c r="AD407" s="17">
        <v>0</v>
      </c>
      <c r="AE407" s="17">
        <v>0</v>
      </c>
      <c r="AF407" s="17">
        <v>0</v>
      </c>
      <c r="AG407" s="17">
        <v>0</v>
      </c>
      <c r="AH407" s="17">
        <v>0</v>
      </c>
      <c r="AI407" s="17">
        <f t="shared" si="27"/>
        <v>5</v>
      </c>
      <c r="AJ407" s="17">
        <f t="shared" si="28"/>
        <v>4</v>
      </c>
      <c r="AK407" s="17">
        <f t="shared" si="29"/>
        <v>3</v>
      </c>
      <c r="AL407" s="17">
        <f t="shared" si="30"/>
        <v>1</v>
      </c>
      <c r="AM407" s="17">
        <f>VLOOKUP(AK407,Sheet1!$A$2:$B$25,2,FALSE)</f>
        <v>0</v>
      </c>
    </row>
    <row r="408" spans="1:39" s="17" customFormat="1" x14ac:dyDescent="0.25">
      <c r="A408" s="21">
        <v>44596.15625</v>
      </c>
      <c r="B408" s="17">
        <v>4.2</v>
      </c>
      <c r="C408" s="17">
        <v>0.21870000000000001</v>
      </c>
      <c r="D408" s="17">
        <v>3.98</v>
      </c>
      <c r="E408" s="17">
        <v>0</v>
      </c>
      <c r="F408" s="17">
        <v>0</v>
      </c>
      <c r="G408" s="17">
        <v>0</v>
      </c>
      <c r="H408" s="17">
        <v>1.74</v>
      </c>
      <c r="I408" s="17">
        <v>0</v>
      </c>
      <c r="J408" s="17">
        <v>2.0099999999999998</v>
      </c>
      <c r="K408" s="17">
        <v>0</v>
      </c>
      <c r="L408" s="17">
        <v>0</v>
      </c>
      <c r="M408" s="17">
        <v>0</v>
      </c>
      <c r="N408" s="17">
        <v>0</v>
      </c>
      <c r="O408" s="17">
        <v>0</v>
      </c>
      <c r="P408" s="17">
        <v>0</v>
      </c>
      <c r="Q408" s="17">
        <v>0</v>
      </c>
      <c r="R408" s="17">
        <v>0.38129999999999997</v>
      </c>
      <c r="S408" s="17">
        <v>0</v>
      </c>
      <c r="T408" s="17">
        <v>0</v>
      </c>
      <c r="U408" s="17">
        <v>1.68</v>
      </c>
      <c r="V408" s="17">
        <v>0</v>
      </c>
      <c r="W408" s="17">
        <v>1.1000000000000001</v>
      </c>
      <c r="X408" s="17">
        <v>0</v>
      </c>
      <c r="Y408" s="17">
        <v>0</v>
      </c>
      <c r="Z408" s="17">
        <v>0</v>
      </c>
      <c r="AA408" s="17">
        <v>0</v>
      </c>
      <c r="AB408" s="17">
        <v>0</v>
      </c>
      <c r="AC408" s="17">
        <v>0</v>
      </c>
      <c r="AD408" s="17">
        <v>0</v>
      </c>
      <c r="AE408" s="17">
        <v>0</v>
      </c>
      <c r="AF408" s="17">
        <v>0</v>
      </c>
      <c r="AG408" s="17">
        <v>0</v>
      </c>
      <c r="AH408" s="17">
        <v>0</v>
      </c>
      <c r="AI408" s="17">
        <f t="shared" si="27"/>
        <v>5</v>
      </c>
      <c r="AJ408" s="17">
        <f t="shared" si="28"/>
        <v>4</v>
      </c>
      <c r="AK408" s="17">
        <f t="shared" si="29"/>
        <v>3</v>
      </c>
      <c r="AL408" s="17">
        <f t="shared" si="30"/>
        <v>1</v>
      </c>
      <c r="AM408" s="17">
        <f>VLOOKUP(AK408,Sheet1!$A$2:$B$25,2,FALSE)</f>
        <v>0</v>
      </c>
    </row>
    <row r="409" spans="1:39" s="17" customFormat="1" x14ac:dyDescent="0.25">
      <c r="A409" s="21">
        <v>44596.166666666664</v>
      </c>
      <c r="B409" s="17">
        <v>341.88</v>
      </c>
      <c r="C409" s="17">
        <v>13.18</v>
      </c>
      <c r="D409" s="17">
        <v>137.02000000000001</v>
      </c>
      <c r="E409" s="17">
        <v>0</v>
      </c>
      <c r="F409" s="17">
        <v>34.090000000000003</v>
      </c>
      <c r="G409" s="17">
        <v>100.39</v>
      </c>
      <c r="H409" s="17">
        <v>87.93</v>
      </c>
      <c r="I409" s="17">
        <v>55.45</v>
      </c>
      <c r="J409" s="17">
        <v>1.84</v>
      </c>
      <c r="K409" s="17">
        <v>29.25</v>
      </c>
      <c r="L409" s="17">
        <v>0</v>
      </c>
      <c r="M409" s="17">
        <v>30.39</v>
      </c>
      <c r="N409" s="17">
        <v>11.71</v>
      </c>
      <c r="O409" s="17">
        <v>0</v>
      </c>
      <c r="P409" s="17">
        <v>9</v>
      </c>
      <c r="Q409" s="17">
        <v>0</v>
      </c>
      <c r="R409" s="17">
        <v>23.69</v>
      </c>
      <c r="S409" s="17">
        <v>11.13</v>
      </c>
      <c r="T409" s="17">
        <v>3.69</v>
      </c>
      <c r="U409" s="17">
        <v>1.59</v>
      </c>
      <c r="V409" s="17">
        <v>4.96</v>
      </c>
      <c r="W409" s="17">
        <v>1.03</v>
      </c>
      <c r="X409" s="17">
        <v>6.18</v>
      </c>
      <c r="Y409" s="17">
        <v>4.57</v>
      </c>
      <c r="Z409" s="17">
        <v>0</v>
      </c>
      <c r="AA409" s="17">
        <v>0</v>
      </c>
      <c r="AB409" s="17">
        <v>0</v>
      </c>
      <c r="AC409" s="17">
        <v>0</v>
      </c>
      <c r="AD409" s="17">
        <v>0</v>
      </c>
      <c r="AE409" s="17">
        <v>0</v>
      </c>
      <c r="AF409" s="17">
        <v>0</v>
      </c>
      <c r="AG409" s="17">
        <v>0</v>
      </c>
      <c r="AH409" s="17">
        <v>0</v>
      </c>
      <c r="AI409" s="17">
        <f t="shared" si="27"/>
        <v>5</v>
      </c>
      <c r="AJ409" s="17">
        <f t="shared" si="28"/>
        <v>4</v>
      </c>
      <c r="AK409" s="17">
        <f t="shared" si="29"/>
        <v>4</v>
      </c>
      <c r="AL409" s="17">
        <f t="shared" si="30"/>
        <v>1</v>
      </c>
      <c r="AM409" s="17">
        <f>VLOOKUP(AK409,Sheet1!$A$2:$B$25,2,FALSE)</f>
        <v>1</v>
      </c>
    </row>
    <row r="410" spans="1:39" s="17" customFormat="1" x14ac:dyDescent="0.25">
      <c r="A410" s="21">
        <v>44596.177083333336</v>
      </c>
      <c r="B410" s="17">
        <v>728.48</v>
      </c>
      <c r="C410" s="17">
        <v>271.49</v>
      </c>
      <c r="D410" s="17">
        <v>180.45</v>
      </c>
      <c r="E410" s="17">
        <v>151.19</v>
      </c>
      <c r="F410" s="17">
        <v>57.98</v>
      </c>
      <c r="G410" s="17">
        <v>179.26</v>
      </c>
      <c r="H410" s="17">
        <v>106.38</v>
      </c>
      <c r="I410" s="17">
        <v>56.53</v>
      </c>
      <c r="J410" s="17">
        <v>134.63999999999999</v>
      </c>
      <c r="K410" s="17">
        <v>63.38</v>
      </c>
      <c r="L410" s="17">
        <v>39.49</v>
      </c>
      <c r="M410" s="17">
        <v>45.44</v>
      </c>
      <c r="N410" s="17">
        <v>21.7</v>
      </c>
      <c r="O410" s="17">
        <v>55.62</v>
      </c>
      <c r="P410" s="17">
        <v>18.93</v>
      </c>
      <c r="Q410" s="17">
        <v>61.72</v>
      </c>
      <c r="R410" s="17">
        <v>45.96</v>
      </c>
      <c r="S410" s="17">
        <v>15.27</v>
      </c>
      <c r="T410" s="17">
        <v>9.02</v>
      </c>
      <c r="U410" s="17">
        <v>1.54</v>
      </c>
      <c r="V410" s="17">
        <v>4.34</v>
      </c>
      <c r="W410" s="17">
        <v>1.02</v>
      </c>
      <c r="X410" s="17">
        <v>2.21</v>
      </c>
      <c r="Y410" s="17">
        <v>0</v>
      </c>
      <c r="Z410" s="17">
        <v>0</v>
      </c>
      <c r="AA410" s="17">
        <v>0</v>
      </c>
      <c r="AB410" s="17">
        <v>0</v>
      </c>
      <c r="AC410" s="17">
        <v>0</v>
      </c>
      <c r="AD410" s="17">
        <v>0</v>
      </c>
      <c r="AE410" s="17">
        <v>0</v>
      </c>
      <c r="AF410" s="17">
        <v>0</v>
      </c>
      <c r="AG410" s="17">
        <v>0</v>
      </c>
      <c r="AH410" s="17">
        <v>0</v>
      </c>
      <c r="AI410" s="17">
        <f t="shared" si="27"/>
        <v>5</v>
      </c>
      <c r="AJ410" s="17">
        <f t="shared" si="28"/>
        <v>4</v>
      </c>
      <c r="AK410" s="17">
        <f t="shared" si="29"/>
        <v>4</v>
      </c>
      <c r="AL410" s="17">
        <f t="shared" si="30"/>
        <v>1</v>
      </c>
      <c r="AM410" s="17">
        <f>VLOOKUP(AK410,Sheet1!$A$2:$B$25,2,FALSE)</f>
        <v>1</v>
      </c>
    </row>
    <row r="411" spans="1:39" s="17" customFormat="1" x14ac:dyDescent="0.25">
      <c r="A411" s="21">
        <v>44596.1875</v>
      </c>
      <c r="B411" s="17">
        <v>728.14</v>
      </c>
      <c r="C411" s="17">
        <v>277.89</v>
      </c>
      <c r="D411" s="17">
        <v>204.84</v>
      </c>
      <c r="E411" s="17">
        <v>174.85</v>
      </c>
      <c r="F411" s="17">
        <v>32.94</v>
      </c>
      <c r="G411" s="17">
        <v>142.55000000000001</v>
      </c>
      <c r="H411" s="17">
        <v>137.19</v>
      </c>
      <c r="I411" s="17">
        <v>56.92</v>
      </c>
      <c r="J411" s="17">
        <v>106.47</v>
      </c>
      <c r="K411" s="17">
        <v>63.88</v>
      </c>
      <c r="L411" s="17">
        <v>44.75</v>
      </c>
      <c r="M411" s="17">
        <v>49.69</v>
      </c>
      <c r="N411" s="17">
        <v>23.86</v>
      </c>
      <c r="O411" s="17">
        <v>48.66</v>
      </c>
      <c r="P411" s="17">
        <v>17.149999999999999</v>
      </c>
      <c r="Q411" s="17">
        <v>50.83</v>
      </c>
      <c r="R411" s="17">
        <v>15.44</v>
      </c>
      <c r="S411" s="17">
        <v>16.36</v>
      </c>
      <c r="T411" s="17">
        <v>13.17</v>
      </c>
      <c r="U411" s="17">
        <v>1.55</v>
      </c>
      <c r="V411" s="17">
        <v>0.79810000000000003</v>
      </c>
      <c r="W411" s="17">
        <v>1.01</v>
      </c>
      <c r="X411" s="17">
        <v>8.43</v>
      </c>
      <c r="Y411" s="17">
        <v>3.2</v>
      </c>
      <c r="Z411" s="17">
        <v>0</v>
      </c>
      <c r="AA411" s="17">
        <v>0</v>
      </c>
      <c r="AB411" s="17">
        <v>0</v>
      </c>
      <c r="AC411" s="17">
        <v>0</v>
      </c>
      <c r="AD411" s="17">
        <v>0</v>
      </c>
      <c r="AE411" s="17">
        <v>0</v>
      </c>
      <c r="AF411" s="17">
        <v>0</v>
      </c>
      <c r="AG411" s="17">
        <v>0</v>
      </c>
      <c r="AH411" s="17">
        <v>0</v>
      </c>
      <c r="AI411" s="17">
        <f t="shared" si="27"/>
        <v>5</v>
      </c>
      <c r="AJ411" s="17">
        <f t="shared" si="28"/>
        <v>4</v>
      </c>
      <c r="AK411" s="17">
        <f t="shared" si="29"/>
        <v>4</v>
      </c>
      <c r="AL411" s="17">
        <f t="shared" si="30"/>
        <v>1</v>
      </c>
      <c r="AM411" s="17">
        <f>VLOOKUP(AK411,Sheet1!$A$2:$B$25,2,FALSE)</f>
        <v>1</v>
      </c>
    </row>
    <row r="412" spans="1:39" s="17" customFormat="1" x14ac:dyDescent="0.25">
      <c r="A412" s="21">
        <v>44596.197916666664</v>
      </c>
      <c r="B412" s="17">
        <v>587.79999999999995</v>
      </c>
      <c r="C412" s="17">
        <v>231.74</v>
      </c>
      <c r="D412" s="17">
        <v>123.84</v>
      </c>
      <c r="E412" s="17">
        <v>173.58</v>
      </c>
      <c r="F412" s="17">
        <v>55.85</v>
      </c>
      <c r="G412" s="17">
        <v>136.01</v>
      </c>
      <c r="H412" s="17">
        <v>61.15</v>
      </c>
      <c r="I412" s="17">
        <v>57.34</v>
      </c>
      <c r="J412" s="17">
        <v>41.38</v>
      </c>
      <c r="K412" s="17">
        <v>63.48</v>
      </c>
      <c r="L412" s="17">
        <v>44.7</v>
      </c>
      <c r="M412" s="17">
        <v>35.770000000000003</v>
      </c>
      <c r="N412" s="17">
        <v>29.18</v>
      </c>
      <c r="O412" s="17">
        <v>19.43</v>
      </c>
      <c r="P412" s="17">
        <v>24.45</v>
      </c>
      <c r="Q412" s="17">
        <v>21.41</v>
      </c>
      <c r="R412" s="17">
        <v>9.32</v>
      </c>
      <c r="S412" s="17">
        <v>12.58</v>
      </c>
      <c r="T412" s="17">
        <v>14.28</v>
      </c>
      <c r="U412" s="17">
        <v>1.54</v>
      </c>
      <c r="V412" s="17">
        <v>0.66949999999999998</v>
      </c>
      <c r="W412" s="17">
        <v>1.02</v>
      </c>
      <c r="X412" s="17">
        <v>0</v>
      </c>
      <c r="Y412" s="17">
        <v>1.1499999999999999</v>
      </c>
      <c r="Z412" s="17">
        <v>0</v>
      </c>
      <c r="AA412" s="17">
        <v>0</v>
      </c>
      <c r="AB412" s="17">
        <v>0</v>
      </c>
      <c r="AC412" s="17">
        <v>0</v>
      </c>
      <c r="AD412" s="17">
        <v>0</v>
      </c>
      <c r="AE412" s="17">
        <v>0</v>
      </c>
      <c r="AF412" s="17">
        <v>0</v>
      </c>
      <c r="AG412" s="17">
        <v>0</v>
      </c>
      <c r="AH412" s="17">
        <v>0</v>
      </c>
      <c r="AI412" s="17">
        <f t="shared" si="27"/>
        <v>5</v>
      </c>
      <c r="AJ412" s="17">
        <f t="shared" si="28"/>
        <v>4</v>
      </c>
      <c r="AK412" s="17">
        <f t="shared" si="29"/>
        <v>4</v>
      </c>
      <c r="AL412" s="17">
        <f t="shared" si="30"/>
        <v>1</v>
      </c>
      <c r="AM412" s="17">
        <f>VLOOKUP(AK412,Sheet1!$A$2:$B$25,2,FALSE)</f>
        <v>1</v>
      </c>
    </row>
    <row r="413" spans="1:39" s="17" customFormat="1" x14ac:dyDescent="0.25">
      <c r="A413" s="21">
        <v>44596.208333333336</v>
      </c>
      <c r="B413" s="17">
        <v>585.15</v>
      </c>
      <c r="C413" s="17">
        <v>225.91</v>
      </c>
      <c r="D413" s="17">
        <v>118.59</v>
      </c>
      <c r="E413" s="17">
        <v>172.31</v>
      </c>
      <c r="F413" s="17">
        <v>79.180000000000007</v>
      </c>
      <c r="G413" s="17">
        <v>133.9</v>
      </c>
      <c r="H413" s="17">
        <v>44.5</v>
      </c>
      <c r="I413" s="17">
        <v>57.74</v>
      </c>
      <c r="J413" s="17">
        <v>31.01</v>
      </c>
      <c r="K413" s="17">
        <v>62.11</v>
      </c>
      <c r="L413" s="17">
        <v>45.08</v>
      </c>
      <c r="M413" s="17">
        <v>30.62</v>
      </c>
      <c r="N413" s="17">
        <v>32.270000000000003</v>
      </c>
      <c r="O413" s="17">
        <v>10.5</v>
      </c>
      <c r="P413" s="17">
        <v>26.7</v>
      </c>
      <c r="Q413" s="17">
        <v>15.21</v>
      </c>
      <c r="R413" s="17">
        <v>8.2899999999999991</v>
      </c>
      <c r="S413" s="17">
        <v>11.4</v>
      </c>
      <c r="T413" s="17">
        <v>14.45</v>
      </c>
      <c r="U413" s="17">
        <v>1.69</v>
      </c>
      <c r="V413" s="17">
        <v>1.24</v>
      </c>
      <c r="W413" s="17">
        <v>1</v>
      </c>
      <c r="X413" s="17">
        <v>4.4400000000000004</v>
      </c>
      <c r="Y413" s="17">
        <v>2.1</v>
      </c>
      <c r="Z413" s="17">
        <v>0</v>
      </c>
      <c r="AA413" s="17">
        <v>0</v>
      </c>
      <c r="AB413" s="17">
        <v>0</v>
      </c>
      <c r="AC413" s="17">
        <v>3.13</v>
      </c>
      <c r="AD413" s="17">
        <v>0</v>
      </c>
      <c r="AE413" s="17">
        <v>0</v>
      </c>
      <c r="AF413" s="17">
        <v>0</v>
      </c>
      <c r="AG413" s="17">
        <v>0</v>
      </c>
      <c r="AH413" s="17">
        <v>0</v>
      </c>
      <c r="AI413" s="17">
        <f t="shared" si="27"/>
        <v>5</v>
      </c>
      <c r="AJ413" s="17">
        <f t="shared" si="28"/>
        <v>4</v>
      </c>
      <c r="AK413" s="17">
        <f t="shared" si="29"/>
        <v>5</v>
      </c>
      <c r="AL413" s="17">
        <f t="shared" si="30"/>
        <v>1</v>
      </c>
      <c r="AM413" s="17">
        <f>VLOOKUP(AK413,Sheet1!$A$2:$B$25,2,FALSE)</f>
        <v>1</v>
      </c>
    </row>
    <row r="414" spans="1:39" s="17" customFormat="1" x14ac:dyDescent="0.25">
      <c r="A414" s="21">
        <v>44596.21875</v>
      </c>
      <c r="B414" s="17">
        <v>583.6</v>
      </c>
      <c r="C414" s="17">
        <v>222.64</v>
      </c>
      <c r="D414" s="17">
        <v>110.04</v>
      </c>
      <c r="E414" s="17">
        <v>169.9</v>
      </c>
      <c r="F414" s="17">
        <v>74.09</v>
      </c>
      <c r="G414" s="17">
        <v>131.91999999999999</v>
      </c>
      <c r="H414" s="17">
        <v>33.85</v>
      </c>
      <c r="I414" s="17">
        <v>58.43</v>
      </c>
      <c r="J414" s="17">
        <v>27.67</v>
      </c>
      <c r="K414" s="17">
        <v>61.93</v>
      </c>
      <c r="L414" s="17">
        <v>45.41</v>
      </c>
      <c r="M414" s="17">
        <v>23.42</v>
      </c>
      <c r="N414" s="17">
        <v>31.02</v>
      </c>
      <c r="O414" s="17">
        <v>8.73</v>
      </c>
      <c r="P414" s="17">
        <v>27.7</v>
      </c>
      <c r="Q414" s="17">
        <v>14.43</v>
      </c>
      <c r="R414" s="17">
        <v>7.66</v>
      </c>
      <c r="S414" s="17">
        <v>13.64</v>
      </c>
      <c r="T414" s="17">
        <v>14.13</v>
      </c>
      <c r="U414" s="17">
        <v>1.89</v>
      </c>
      <c r="V414" s="17">
        <v>0.62919999999999998</v>
      </c>
      <c r="W414" s="17">
        <v>1</v>
      </c>
      <c r="X414" s="17">
        <v>1.45</v>
      </c>
      <c r="Y414" s="17">
        <v>0</v>
      </c>
      <c r="Z414" s="17">
        <v>3.94</v>
      </c>
      <c r="AA414" s="17">
        <v>0</v>
      </c>
      <c r="AB414" s="17">
        <v>0</v>
      </c>
      <c r="AC414" s="17">
        <v>7.56</v>
      </c>
      <c r="AD414" s="17">
        <v>5.65</v>
      </c>
      <c r="AE414" s="17">
        <v>0</v>
      </c>
      <c r="AF414" s="17">
        <v>0</v>
      </c>
      <c r="AG414" s="17">
        <v>0</v>
      </c>
      <c r="AH414" s="17">
        <v>0</v>
      </c>
      <c r="AI414" s="17">
        <f t="shared" si="27"/>
        <v>5</v>
      </c>
      <c r="AJ414" s="17">
        <f t="shared" si="28"/>
        <v>4</v>
      </c>
      <c r="AK414" s="17">
        <f t="shared" si="29"/>
        <v>5</v>
      </c>
      <c r="AL414" s="17">
        <f t="shared" si="30"/>
        <v>1</v>
      </c>
      <c r="AM414" s="17">
        <f>VLOOKUP(AK414,Sheet1!$A$2:$B$25,2,FALSE)</f>
        <v>1</v>
      </c>
    </row>
    <row r="415" spans="1:39" s="17" customFormat="1" x14ac:dyDescent="0.25">
      <c r="A415" s="21">
        <v>44596.229166666664</v>
      </c>
      <c r="B415" s="17">
        <v>560.13</v>
      </c>
      <c r="C415" s="17">
        <v>239.1</v>
      </c>
      <c r="D415" s="17">
        <v>79.17</v>
      </c>
      <c r="E415" s="17">
        <v>173.01</v>
      </c>
      <c r="F415" s="17">
        <v>39.97</v>
      </c>
      <c r="G415" s="17">
        <v>131.69999999999999</v>
      </c>
      <c r="H415" s="17">
        <v>37.65</v>
      </c>
      <c r="I415" s="17">
        <v>58.62</v>
      </c>
      <c r="J415" s="17">
        <v>43.23</v>
      </c>
      <c r="K415" s="17">
        <v>61.82</v>
      </c>
      <c r="L415" s="17">
        <v>45.33</v>
      </c>
      <c r="M415" s="17">
        <v>25.37</v>
      </c>
      <c r="N415" s="17">
        <v>32.29</v>
      </c>
      <c r="O415" s="17">
        <v>20.72</v>
      </c>
      <c r="P415" s="17">
        <v>27.49</v>
      </c>
      <c r="Q415" s="17">
        <v>13.53</v>
      </c>
      <c r="R415" s="17">
        <v>7.85</v>
      </c>
      <c r="S415" s="17">
        <v>12.77</v>
      </c>
      <c r="T415" s="17">
        <v>14.35</v>
      </c>
      <c r="U415" s="17">
        <v>1.9</v>
      </c>
      <c r="V415" s="17">
        <v>1.23</v>
      </c>
      <c r="W415" s="17">
        <v>0.98440000000000005</v>
      </c>
      <c r="X415" s="17">
        <v>5.26</v>
      </c>
      <c r="Y415" s="17">
        <v>0</v>
      </c>
      <c r="Z415" s="17">
        <v>1.07</v>
      </c>
      <c r="AA415" s="17">
        <v>2.09</v>
      </c>
      <c r="AB415" s="17">
        <v>0</v>
      </c>
      <c r="AC415" s="17">
        <v>0.77449999999999997</v>
      </c>
      <c r="AD415" s="17">
        <v>0.85660000000000003</v>
      </c>
      <c r="AE415" s="17">
        <v>0</v>
      </c>
      <c r="AF415" s="17">
        <v>0</v>
      </c>
      <c r="AG415" s="17">
        <v>0</v>
      </c>
      <c r="AH415" s="17">
        <v>0</v>
      </c>
      <c r="AI415" s="17">
        <f t="shared" si="27"/>
        <v>5</v>
      </c>
      <c r="AJ415" s="17">
        <f t="shared" si="28"/>
        <v>4</v>
      </c>
      <c r="AK415" s="17">
        <f t="shared" si="29"/>
        <v>5</v>
      </c>
      <c r="AL415" s="17">
        <f t="shared" si="30"/>
        <v>1</v>
      </c>
      <c r="AM415" s="17">
        <f>VLOOKUP(AK415,Sheet1!$A$2:$B$25,2,FALSE)</f>
        <v>1</v>
      </c>
    </row>
    <row r="416" spans="1:39" s="17" customFormat="1" x14ac:dyDescent="0.25">
      <c r="A416" s="21">
        <v>44596.239583333336</v>
      </c>
      <c r="B416" s="17">
        <v>493.63</v>
      </c>
      <c r="C416" s="17">
        <v>223.79</v>
      </c>
      <c r="D416" s="17">
        <v>34.75</v>
      </c>
      <c r="E416" s="17">
        <v>174.08</v>
      </c>
      <c r="F416" s="17">
        <v>0</v>
      </c>
      <c r="G416" s="17">
        <v>132.68</v>
      </c>
      <c r="H416" s="17">
        <v>21.36</v>
      </c>
      <c r="I416" s="17">
        <v>58.08</v>
      </c>
      <c r="J416" s="17">
        <v>22.32</v>
      </c>
      <c r="K416" s="17">
        <v>62.65</v>
      </c>
      <c r="L416" s="17">
        <v>43.25</v>
      </c>
      <c r="M416" s="17">
        <v>13.35</v>
      </c>
      <c r="N416" s="17">
        <v>28.82</v>
      </c>
      <c r="O416" s="17">
        <v>3.86</v>
      </c>
      <c r="P416" s="17">
        <v>25.79</v>
      </c>
      <c r="Q416" s="17">
        <v>9.76</v>
      </c>
      <c r="R416" s="17">
        <v>7.59</v>
      </c>
      <c r="S416" s="17">
        <v>14.13</v>
      </c>
      <c r="T416" s="17">
        <v>14.56</v>
      </c>
      <c r="U416" s="17">
        <v>2.77</v>
      </c>
      <c r="V416" s="17">
        <v>1.58</v>
      </c>
      <c r="W416" s="17">
        <v>1.24</v>
      </c>
      <c r="X416" s="17">
        <v>0</v>
      </c>
      <c r="Y416" s="17">
        <v>0</v>
      </c>
      <c r="Z416" s="17">
        <v>0</v>
      </c>
      <c r="AA416" s="17">
        <v>2.83</v>
      </c>
      <c r="AB416" s="17">
        <v>0</v>
      </c>
      <c r="AC416" s="17">
        <v>0</v>
      </c>
      <c r="AD416" s="17">
        <v>0</v>
      </c>
      <c r="AE416" s="17">
        <v>0</v>
      </c>
      <c r="AF416" s="17">
        <v>0</v>
      </c>
      <c r="AG416" s="17">
        <v>0</v>
      </c>
      <c r="AH416" s="17">
        <v>0</v>
      </c>
      <c r="AI416" s="17">
        <f t="shared" si="27"/>
        <v>5</v>
      </c>
      <c r="AJ416" s="17">
        <f t="shared" si="28"/>
        <v>4</v>
      </c>
      <c r="AK416" s="17">
        <f t="shared" si="29"/>
        <v>5</v>
      </c>
      <c r="AL416" s="17">
        <f t="shared" si="30"/>
        <v>1</v>
      </c>
      <c r="AM416" s="17">
        <f>VLOOKUP(AK416,Sheet1!$A$2:$B$25,2,FALSE)</f>
        <v>1</v>
      </c>
    </row>
    <row r="417" spans="1:39" s="17" customFormat="1" x14ac:dyDescent="0.25">
      <c r="A417" s="21">
        <v>44596.25</v>
      </c>
      <c r="B417" s="17">
        <v>542.64</v>
      </c>
      <c r="C417" s="17">
        <v>217.89</v>
      </c>
      <c r="D417" s="17">
        <v>55.4</v>
      </c>
      <c r="E417" s="17">
        <v>169.63</v>
      </c>
      <c r="F417" s="17">
        <v>0</v>
      </c>
      <c r="G417" s="17">
        <v>153.55000000000001</v>
      </c>
      <c r="H417" s="17">
        <v>27.81</v>
      </c>
      <c r="I417" s="17">
        <v>57.97</v>
      </c>
      <c r="J417" s="17">
        <v>23.41</v>
      </c>
      <c r="K417" s="17">
        <v>67.790000000000006</v>
      </c>
      <c r="L417" s="17">
        <v>43.76</v>
      </c>
      <c r="M417" s="17">
        <v>17.75</v>
      </c>
      <c r="N417" s="17">
        <v>29.28</v>
      </c>
      <c r="O417" s="17">
        <v>13.58</v>
      </c>
      <c r="P417" s="17">
        <v>26.29</v>
      </c>
      <c r="Q417" s="17">
        <v>8.24</v>
      </c>
      <c r="R417" s="17">
        <v>16</v>
      </c>
      <c r="S417" s="17">
        <v>13.76</v>
      </c>
      <c r="T417" s="17">
        <v>14.65</v>
      </c>
      <c r="U417" s="17">
        <v>2.48</v>
      </c>
      <c r="V417" s="17">
        <v>4.1500000000000004</v>
      </c>
      <c r="W417" s="17">
        <v>1.24</v>
      </c>
      <c r="X417" s="17">
        <v>5.37</v>
      </c>
      <c r="Y417" s="17">
        <v>0</v>
      </c>
      <c r="Z417" s="17">
        <v>0</v>
      </c>
      <c r="AA417" s="17">
        <v>0</v>
      </c>
      <c r="AB417" s="17">
        <v>0</v>
      </c>
      <c r="AC417" s="17">
        <v>0</v>
      </c>
      <c r="AD417" s="17">
        <v>8.26</v>
      </c>
      <c r="AE417" s="17">
        <v>1.84</v>
      </c>
      <c r="AF417" s="17">
        <v>0</v>
      </c>
      <c r="AG417" s="17">
        <v>0</v>
      </c>
      <c r="AH417" s="17">
        <v>0</v>
      </c>
      <c r="AI417" s="17">
        <f t="shared" si="27"/>
        <v>5</v>
      </c>
      <c r="AJ417" s="17">
        <f t="shared" si="28"/>
        <v>4</v>
      </c>
      <c r="AK417" s="17">
        <f t="shared" si="29"/>
        <v>6</v>
      </c>
      <c r="AL417" s="17">
        <f t="shared" si="30"/>
        <v>1</v>
      </c>
      <c r="AM417" s="17">
        <f>VLOOKUP(AK417,Sheet1!$A$2:$B$25,2,FALSE)</f>
        <v>1</v>
      </c>
    </row>
    <row r="418" spans="1:39" s="17" customFormat="1" x14ac:dyDescent="0.25">
      <c r="A418" s="21">
        <v>44596.260416666664</v>
      </c>
      <c r="B418" s="17">
        <v>681.94</v>
      </c>
      <c r="C418" s="17">
        <v>213.38</v>
      </c>
      <c r="D418" s="17">
        <v>197.94</v>
      </c>
      <c r="E418" s="17">
        <v>164.93</v>
      </c>
      <c r="F418" s="17">
        <v>167.2</v>
      </c>
      <c r="G418" s="17">
        <v>156.93</v>
      </c>
      <c r="H418" s="17">
        <v>38.520000000000003</v>
      </c>
      <c r="I418" s="17">
        <v>58.71</v>
      </c>
      <c r="J418" s="17">
        <v>23.94</v>
      </c>
      <c r="K418" s="17">
        <v>69.14</v>
      </c>
      <c r="L418" s="17">
        <v>43.31</v>
      </c>
      <c r="M418" s="17">
        <v>30.01</v>
      </c>
      <c r="N418" s="17">
        <v>29.71</v>
      </c>
      <c r="O418" s="17">
        <v>10.98</v>
      </c>
      <c r="P418" s="17">
        <v>23.72</v>
      </c>
      <c r="Q418" s="17">
        <v>10.11</v>
      </c>
      <c r="R418" s="17">
        <v>16.309999999999999</v>
      </c>
      <c r="S418" s="17">
        <v>7.6</v>
      </c>
      <c r="T418" s="17">
        <v>13.34</v>
      </c>
      <c r="U418" s="17">
        <v>2.61</v>
      </c>
      <c r="V418" s="17">
        <v>4.74</v>
      </c>
      <c r="W418" s="17">
        <v>1.22</v>
      </c>
      <c r="X418" s="17">
        <v>7.14</v>
      </c>
      <c r="Y418" s="17">
        <v>0</v>
      </c>
      <c r="Z418" s="17">
        <v>3.48</v>
      </c>
      <c r="AA418" s="17">
        <v>0</v>
      </c>
      <c r="AB418" s="17">
        <v>0</v>
      </c>
      <c r="AC418" s="17">
        <v>0</v>
      </c>
      <c r="AD418" s="17">
        <v>8.31</v>
      </c>
      <c r="AE418" s="17">
        <v>3.05</v>
      </c>
      <c r="AF418" s="17">
        <v>0</v>
      </c>
      <c r="AG418" s="17">
        <v>0</v>
      </c>
      <c r="AH418" s="17">
        <v>0</v>
      </c>
      <c r="AI418" s="17">
        <f t="shared" si="27"/>
        <v>5</v>
      </c>
      <c r="AJ418" s="17">
        <f t="shared" si="28"/>
        <v>4</v>
      </c>
      <c r="AK418" s="17">
        <f t="shared" si="29"/>
        <v>6</v>
      </c>
      <c r="AL418" s="17">
        <f t="shared" si="30"/>
        <v>1</v>
      </c>
      <c r="AM418" s="17">
        <f>VLOOKUP(AK418,Sheet1!$A$2:$B$25,2,FALSE)</f>
        <v>1</v>
      </c>
    </row>
    <row r="419" spans="1:39" s="17" customFormat="1" x14ac:dyDescent="0.25">
      <c r="A419" s="21">
        <v>44596.270833333336</v>
      </c>
      <c r="B419" s="17">
        <v>589.65</v>
      </c>
      <c r="C419" s="17">
        <v>213.78</v>
      </c>
      <c r="D419" s="17">
        <v>101.09</v>
      </c>
      <c r="E419" s="17">
        <v>166.7</v>
      </c>
      <c r="F419" s="17">
        <v>89.08</v>
      </c>
      <c r="G419" s="17">
        <v>157.62</v>
      </c>
      <c r="H419" s="17">
        <v>18.28</v>
      </c>
      <c r="I419" s="17">
        <v>58.56</v>
      </c>
      <c r="J419" s="17">
        <v>23.17</v>
      </c>
      <c r="K419" s="17">
        <v>69.540000000000006</v>
      </c>
      <c r="L419" s="17">
        <v>43.49</v>
      </c>
      <c r="M419" s="17">
        <v>10.98</v>
      </c>
      <c r="N419" s="17">
        <v>27.28</v>
      </c>
      <c r="O419" s="17">
        <v>9.3000000000000007</v>
      </c>
      <c r="P419" s="17">
        <v>26.05</v>
      </c>
      <c r="Q419" s="17">
        <v>9.2200000000000006</v>
      </c>
      <c r="R419" s="17">
        <v>15.73</v>
      </c>
      <c r="S419" s="17">
        <v>11.39</v>
      </c>
      <c r="T419" s="17">
        <v>13.25</v>
      </c>
      <c r="U419" s="17">
        <v>2.87</v>
      </c>
      <c r="V419" s="17">
        <v>3.66</v>
      </c>
      <c r="W419" s="17">
        <v>1.23</v>
      </c>
      <c r="X419" s="17">
        <v>6.3</v>
      </c>
      <c r="Y419" s="17">
        <v>3.14</v>
      </c>
      <c r="Z419" s="17">
        <v>0.82099999999999995</v>
      </c>
      <c r="AA419" s="17">
        <v>0</v>
      </c>
      <c r="AB419" s="17">
        <v>0</v>
      </c>
      <c r="AC419" s="17">
        <v>0</v>
      </c>
      <c r="AD419" s="17">
        <v>7.24</v>
      </c>
      <c r="AE419" s="17">
        <v>3.1</v>
      </c>
      <c r="AF419" s="17">
        <v>0</v>
      </c>
      <c r="AG419" s="17">
        <v>0</v>
      </c>
      <c r="AH419" s="17">
        <v>0</v>
      </c>
      <c r="AI419" s="17">
        <f t="shared" si="27"/>
        <v>5</v>
      </c>
      <c r="AJ419" s="17">
        <f t="shared" si="28"/>
        <v>4</v>
      </c>
      <c r="AK419" s="17">
        <f t="shared" si="29"/>
        <v>6</v>
      </c>
      <c r="AL419" s="17">
        <f t="shared" si="30"/>
        <v>1</v>
      </c>
      <c r="AM419" s="17">
        <f>VLOOKUP(AK419,Sheet1!$A$2:$B$25,2,FALSE)</f>
        <v>1</v>
      </c>
    </row>
    <row r="420" spans="1:39" s="17" customFormat="1" x14ac:dyDescent="0.25">
      <c r="A420" s="21">
        <v>44596.28125</v>
      </c>
      <c r="B420" s="17">
        <v>564</v>
      </c>
      <c r="C420" s="17">
        <v>241.09</v>
      </c>
      <c r="D420" s="17">
        <v>52.35</v>
      </c>
      <c r="E420" s="17">
        <v>181.51</v>
      </c>
      <c r="F420" s="17">
        <v>0</v>
      </c>
      <c r="G420" s="17">
        <v>158.94999999999999</v>
      </c>
      <c r="H420" s="17">
        <v>34.56</v>
      </c>
      <c r="I420" s="17">
        <v>58.17</v>
      </c>
      <c r="J420" s="17">
        <v>38.549999999999997</v>
      </c>
      <c r="K420" s="17">
        <v>69.66</v>
      </c>
      <c r="L420" s="17">
        <v>42.42</v>
      </c>
      <c r="M420" s="17">
        <v>17.940000000000001</v>
      </c>
      <c r="N420" s="17">
        <v>25.43</v>
      </c>
      <c r="O420" s="17">
        <v>14.52</v>
      </c>
      <c r="P420" s="17">
        <v>20.11</v>
      </c>
      <c r="Q420" s="17">
        <v>9.31</v>
      </c>
      <c r="R420" s="17">
        <v>16.690000000000001</v>
      </c>
      <c r="S420" s="17">
        <v>14.87</v>
      </c>
      <c r="T420" s="17">
        <v>13.22</v>
      </c>
      <c r="U420" s="17">
        <v>4.51</v>
      </c>
      <c r="V420" s="17">
        <v>6.83</v>
      </c>
      <c r="W420" s="17">
        <v>1.23</v>
      </c>
      <c r="X420" s="17">
        <v>0</v>
      </c>
      <c r="Y420" s="17">
        <v>0</v>
      </c>
      <c r="Z420" s="17">
        <v>3.4</v>
      </c>
      <c r="AA420" s="17">
        <v>0</v>
      </c>
      <c r="AB420" s="17">
        <v>0</v>
      </c>
      <c r="AC420" s="17">
        <v>0</v>
      </c>
      <c r="AD420" s="17">
        <v>8.23</v>
      </c>
      <c r="AE420" s="17">
        <v>2.86</v>
      </c>
      <c r="AF420" s="17">
        <v>0</v>
      </c>
      <c r="AG420" s="17">
        <v>0</v>
      </c>
      <c r="AH420" s="17">
        <v>0</v>
      </c>
      <c r="AI420" s="17">
        <f t="shared" si="27"/>
        <v>5</v>
      </c>
      <c r="AJ420" s="17">
        <f t="shared" si="28"/>
        <v>4</v>
      </c>
      <c r="AK420" s="17">
        <f t="shared" si="29"/>
        <v>6</v>
      </c>
      <c r="AL420" s="17">
        <f t="shared" si="30"/>
        <v>1</v>
      </c>
      <c r="AM420" s="17">
        <f>VLOOKUP(AK420,Sheet1!$A$2:$B$25,2,FALSE)</f>
        <v>1</v>
      </c>
    </row>
    <row r="421" spans="1:39" s="17" customFormat="1" x14ac:dyDescent="0.25">
      <c r="A421" s="21">
        <v>44596.291666666664</v>
      </c>
      <c r="B421" s="17">
        <v>736.55</v>
      </c>
      <c r="C421" s="17">
        <v>268.61</v>
      </c>
      <c r="D421" s="17">
        <v>175.96</v>
      </c>
      <c r="E421" s="17">
        <v>194.02</v>
      </c>
      <c r="F421" s="17">
        <v>140.38</v>
      </c>
      <c r="G421" s="17">
        <v>155.53</v>
      </c>
      <c r="H421" s="17">
        <v>33.29</v>
      </c>
      <c r="I421" s="17">
        <v>58.77</v>
      </c>
      <c r="J421" s="17">
        <v>53.08</v>
      </c>
      <c r="K421" s="17">
        <v>69.22</v>
      </c>
      <c r="L421" s="17">
        <v>41.05</v>
      </c>
      <c r="M421" s="17">
        <v>26.4</v>
      </c>
      <c r="N421" s="17">
        <v>26.31</v>
      </c>
      <c r="O421" s="17">
        <v>16.77</v>
      </c>
      <c r="P421" s="17">
        <v>21.72</v>
      </c>
      <c r="Q421" s="17">
        <v>10.56</v>
      </c>
      <c r="R421" s="17">
        <v>15.7</v>
      </c>
      <c r="S421" s="17">
        <v>11.58</v>
      </c>
      <c r="T421" s="17">
        <v>13.65</v>
      </c>
      <c r="U421" s="17">
        <v>7.09</v>
      </c>
      <c r="V421" s="17">
        <v>3.73</v>
      </c>
      <c r="W421" s="17">
        <v>1.27</v>
      </c>
      <c r="X421" s="17">
        <v>12.91</v>
      </c>
      <c r="Y421" s="17">
        <v>6.99</v>
      </c>
      <c r="Z421" s="17">
        <v>8.44</v>
      </c>
      <c r="AA421" s="17">
        <v>1.87</v>
      </c>
      <c r="AB421" s="17">
        <v>3.98</v>
      </c>
      <c r="AC421" s="17">
        <v>0</v>
      </c>
      <c r="AD421" s="17">
        <v>6.45</v>
      </c>
      <c r="AE421" s="17">
        <v>3.1</v>
      </c>
      <c r="AF421" s="17">
        <v>0</v>
      </c>
      <c r="AG421" s="17">
        <v>0</v>
      </c>
      <c r="AH421" s="17">
        <v>0</v>
      </c>
      <c r="AI421" s="17">
        <f t="shared" si="27"/>
        <v>5</v>
      </c>
      <c r="AJ421" s="17">
        <f t="shared" si="28"/>
        <v>4</v>
      </c>
      <c r="AK421" s="17">
        <f t="shared" si="29"/>
        <v>7</v>
      </c>
      <c r="AL421" s="17">
        <f t="shared" si="30"/>
        <v>1</v>
      </c>
      <c r="AM421" s="17">
        <f>VLOOKUP(AK421,Sheet1!$A$2:$B$25,2,FALSE)</f>
        <v>1</v>
      </c>
    </row>
    <row r="422" spans="1:39" s="17" customFormat="1" x14ac:dyDescent="0.25">
      <c r="A422" s="21">
        <v>44596.302083333336</v>
      </c>
      <c r="B422" s="17">
        <v>778.85</v>
      </c>
      <c r="C422" s="17">
        <v>265.85000000000002</v>
      </c>
      <c r="D422" s="17">
        <v>205</v>
      </c>
      <c r="E422" s="17">
        <v>192.4</v>
      </c>
      <c r="F422" s="17">
        <v>167.72</v>
      </c>
      <c r="G422" s="17">
        <v>154.16</v>
      </c>
      <c r="H422" s="17">
        <v>48.24</v>
      </c>
      <c r="I422" s="17">
        <v>58.41</v>
      </c>
      <c r="J422" s="17">
        <v>56.97</v>
      </c>
      <c r="K422" s="17">
        <v>68.22</v>
      </c>
      <c r="L422" s="17">
        <v>40.74</v>
      </c>
      <c r="M422" s="17">
        <v>20.92</v>
      </c>
      <c r="N422" s="17">
        <v>22.34</v>
      </c>
      <c r="O422" s="17">
        <v>21.1</v>
      </c>
      <c r="P422" s="17">
        <v>19.079999999999998</v>
      </c>
      <c r="Q422" s="17">
        <v>13.19</v>
      </c>
      <c r="R422" s="17">
        <v>16.04</v>
      </c>
      <c r="S422" s="17">
        <v>16.95</v>
      </c>
      <c r="T422" s="17">
        <v>12.49</v>
      </c>
      <c r="U422" s="17">
        <v>7.19</v>
      </c>
      <c r="V422" s="17">
        <v>12.42</v>
      </c>
      <c r="W422" s="17">
        <v>1.3</v>
      </c>
      <c r="X422" s="17">
        <v>11.28</v>
      </c>
      <c r="Y422" s="17">
        <v>7.95</v>
      </c>
      <c r="Z422" s="17">
        <v>8.42</v>
      </c>
      <c r="AA422" s="17">
        <v>7.4</v>
      </c>
      <c r="AB422" s="17">
        <v>7.18</v>
      </c>
      <c r="AC422" s="17">
        <v>0</v>
      </c>
      <c r="AD422" s="17">
        <v>4.75</v>
      </c>
      <c r="AE422" s="17">
        <v>2.96</v>
      </c>
      <c r="AF422" s="17">
        <v>0</v>
      </c>
      <c r="AG422" s="17">
        <v>0</v>
      </c>
      <c r="AH422" s="17">
        <v>0</v>
      </c>
      <c r="AI422" s="17">
        <f t="shared" si="27"/>
        <v>5</v>
      </c>
      <c r="AJ422" s="17">
        <f t="shared" si="28"/>
        <v>4</v>
      </c>
      <c r="AK422" s="17">
        <f t="shared" si="29"/>
        <v>7</v>
      </c>
      <c r="AL422" s="17">
        <f t="shared" si="30"/>
        <v>1</v>
      </c>
      <c r="AM422" s="17">
        <f>VLOOKUP(AK422,Sheet1!$A$2:$B$25,2,FALSE)</f>
        <v>1</v>
      </c>
    </row>
    <row r="423" spans="1:39" s="17" customFormat="1" x14ac:dyDescent="0.25">
      <c r="A423" s="21">
        <v>44596.3125</v>
      </c>
      <c r="B423" s="17">
        <v>757.2</v>
      </c>
      <c r="C423" s="17">
        <v>266.67</v>
      </c>
      <c r="D423" s="17">
        <v>192.78</v>
      </c>
      <c r="E423" s="17">
        <v>192.27</v>
      </c>
      <c r="F423" s="17">
        <v>165.57</v>
      </c>
      <c r="G423" s="17">
        <v>154.6</v>
      </c>
      <c r="H423" s="17">
        <v>32.630000000000003</v>
      </c>
      <c r="I423" s="17">
        <v>66.81</v>
      </c>
      <c r="J423" s="17">
        <v>58.95</v>
      </c>
      <c r="K423" s="17">
        <v>68.27</v>
      </c>
      <c r="L423" s="17">
        <v>40.39</v>
      </c>
      <c r="M423" s="17">
        <v>20.309999999999999</v>
      </c>
      <c r="N423" s="17">
        <v>23.1</v>
      </c>
      <c r="O423" s="17">
        <v>21.27</v>
      </c>
      <c r="P423" s="17">
        <v>20.34</v>
      </c>
      <c r="Q423" s="17">
        <v>12.77</v>
      </c>
      <c r="R423" s="17">
        <v>15.66</v>
      </c>
      <c r="S423" s="17">
        <v>3.2</v>
      </c>
      <c r="T423" s="17">
        <v>13.41</v>
      </c>
      <c r="U423" s="17">
        <v>6.93</v>
      </c>
      <c r="V423" s="17">
        <v>13.26</v>
      </c>
      <c r="W423" s="17">
        <v>1.47</v>
      </c>
      <c r="X423" s="17">
        <v>13.19</v>
      </c>
      <c r="Y423" s="17">
        <v>7.27</v>
      </c>
      <c r="Z423" s="17">
        <v>8.32</v>
      </c>
      <c r="AA423" s="17">
        <v>7.49</v>
      </c>
      <c r="AB423" s="17">
        <v>0</v>
      </c>
      <c r="AC423" s="17">
        <v>0</v>
      </c>
      <c r="AD423" s="17">
        <v>3.25</v>
      </c>
      <c r="AE423" s="17">
        <v>2.91</v>
      </c>
      <c r="AF423" s="17">
        <v>0</v>
      </c>
      <c r="AG423" s="17">
        <v>0</v>
      </c>
      <c r="AH423" s="17">
        <v>0</v>
      </c>
      <c r="AI423" s="17">
        <f t="shared" si="27"/>
        <v>5</v>
      </c>
      <c r="AJ423" s="17">
        <f t="shared" si="28"/>
        <v>4</v>
      </c>
      <c r="AK423" s="17">
        <f t="shared" si="29"/>
        <v>7</v>
      </c>
      <c r="AL423" s="17">
        <f t="shared" si="30"/>
        <v>1</v>
      </c>
      <c r="AM423" s="17">
        <f>VLOOKUP(AK423,Sheet1!$A$2:$B$25,2,FALSE)</f>
        <v>1</v>
      </c>
    </row>
    <row r="424" spans="1:39" s="17" customFormat="1" x14ac:dyDescent="0.25">
      <c r="A424" s="21">
        <v>44596.322916666664</v>
      </c>
      <c r="B424" s="17">
        <v>761.2</v>
      </c>
      <c r="C424" s="17">
        <v>267.13</v>
      </c>
      <c r="D424" s="17">
        <v>200.14</v>
      </c>
      <c r="E424" s="17">
        <v>195.41</v>
      </c>
      <c r="F424" s="17">
        <v>168.43</v>
      </c>
      <c r="G424" s="17">
        <v>155.81</v>
      </c>
      <c r="H424" s="17">
        <v>33.08</v>
      </c>
      <c r="I424" s="17">
        <v>59.31</v>
      </c>
      <c r="J424" s="17">
        <v>56.22</v>
      </c>
      <c r="K424" s="17">
        <v>67.64</v>
      </c>
      <c r="L424" s="17">
        <v>40.44</v>
      </c>
      <c r="M424" s="17">
        <v>28.23</v>
      </c>
      <c r="N424" s="17">
        <v>21.55</v>
      </c>
      <c r="O424" s="17">
        <v>24.52</v>
      </c>
      <c r="P424" s="17">
        <v>16.68</v>
      </c>
      <c r="Q424" s="17">
        <v>11.48</v>
      </c>
      <c r="R424" s="17">
        <v>15.94</v>
      </c>
      <c r="S424" s="17">
        <v>8.65</v>
      </c>
      <c r="T424" s="17">
        <v>13.47</v>
      </c>
      <c r="U424" s="17">
        <v>6.57</v>
      </c>
      <c r="V424" s="17">
        <v>9.8699999999999992</v>
      </c>
      <c r="W424" s="17">
        <v>1.41</v>
      </c>
      <c r="X424" s="17">
        <v>15.42</v>
      </c>
      <c r="Y424" s="17">
        <v>8.02</v>
      </c>
      <c r="Z424" s="17">
        <v>8.49</v>
      </c>
      <c r="AA424" s="17">
        <v>7.02</v>
      </c>
      <c r="AB424" s="17">
        <v>0</v>
      </c>
      <c r="AC424" s="17">
        <v>0</v>
      </c>
      <c r="AD424" s="17">
        <v>4.67</v>
      </c>
      <c r="AE424" s="17">
        <v>2.96</v>
      </c>
      <c r="AF424" s="17">
        <v>0</v>
      </c>
      <c r="AG424" s="17">
        <v>0</v>
      </c>
      <c r="AH424" s="17">
        <v>0</v>
      </c>
      <c r="AI424" s="17">
        <f t="shared" si="27"/>
        <v>5</v>
      </c>
      <c r="AJ424" s="17">
        <f t="shared" si="28"/>
        <v>4</v>
      </c>
      <c r="AK424" s="17">
        <f t="shared" si="29"/>
        <v>7</v>
      </c>
      <c r="AL424" s="17">
        <f t="shared" si="30"/>
        <v>1</v>
      </c>
      <c r="AM424" s="17">
        <f>VLOOKUP(AK424,Sheet1!$A$2:$B$25,2,FALSE)</f>
        <v>1</v>
      </c>
    </row>
    <row r="425" spans="1:39" s="17" customFormat="1" x14ac:dyDescent="0.25">
      <c r="A425" s="21">
        <v>44596.333333333336</v>
      </c>
      <c r="B425" s="17">
        <v>824.99</v>
      </c>
      <c r="C425" s="17">
        <v>269.51</v>
      </c>
      <c r="D425" s="17">
        <v>257.52</v>
      </c>
      <c r="E425" s="17">
        <v>193.04</v>
      </c>
      <c r="F425" s="17">
        <v>191.3</v>
      </c>
      <c r="G425" s="17">
        <v>156.94</v>
      </c>
      <c r="H425" s="17">
        <v>75.27</v>
      </c>
      <c r="I425" s="17">
        <v>58.3</v>
      </c>
      <c r="J425" s="17">
        <v>58.99</v>
      </c>
      <c r="K425" s="17">
        <v>68.02</v>
      </c>
      <c r="L425" s="17">
        <v>40.65</v>
      </c>
      <c r="M425" s="17">
        <v>27.4</v>
      </c>
      <c r="N425" s="17">
        <v>20.49</v>
      </c>
      <c r="O425" s="17">
        <v>21.98</v>
      </c>
      <c r="P425" s="17">
        <v>22.34</v>
      </c>
      <c r="Q425" s="17">
        <v>12.67</v>
      </c>
      <c r="R425" s="17">
        <v>15.83</v>
      </c>
      <c r="S425" s="17">
        <v>7.57</v>
      </c>
      <c r="T425" s="17">
        <v>12.24</v>
      </c>
      <c r="U425" s="17">
        <v>6.65</v>
      </c>
      <c r="V425" s="17">
        <v>6.29</v>
      </c>
      <c r="W425" s="17">
        <v>5.1100000000000003</v>
      </c>
      <c r="X425" s="17">
        <v>6.88</v>
      </c>
      <c r="Y425" s="17">
        <v>7.81</v>
      </c>
      <c r="Z425" s="17">
        <v>8.34</v>
      </c>
      <c r="AA425" s="17">
        <v>7.01</v>
      </c>
      <c r="AB425" s="17">
        <v>11.22</v>
      </c>
      <c r="AC425" s="17">
        <v>0</v>
      </c>
      <c r="AD425" s="17">
        <v>5.26</v>
      </c>
      <c r="AE425" s="17">
        <v>2.76</v>
      </c>
      <c r="AF425" s="17">
        <v>1.1499999999999999</v>
      </c>
      <c r="AG425" s="17">
        <v>0</v>
      </c>
      <c r="AH425" s="17">
        <v>0</v>
      </c>
      <c r="AI425" s="17">
        <f t="shared" si="27"/>
        <v>5</v>
      </c>
      <c r="AJ425" s="17">
        <f t="shared" si="28"/>
        <v>4</v>
      </c>
      <c r="AK425" s="17">
        <f t="shared" si="29"/>
        <v>8</v>
      </c>
      <c r="AL425" s="17">
        <f t="shared" si="30"/>
        <v>1</v>
      </c>
      <c r="AM425" s="17">
        <f>VLOOKUP(AK425,Sheet1!$A$2:$B$25,2,FALSE)</f>
        <v>1</v>
      </c>
    </row>
    <row r="426" spans="1:39" s="17" customFormat="1" x14ac:dyDescent="0.25">
      <c r="A426" s="21">
        <v>44596.34375</v>
      </c>
      <c r="B426" s="17">
        <v>813.64</v>
      </c>
      <c r="C426" s="17">
        <v>265.18</v>
      </c>
      <c r="D426" s="17">
        <v>257.39999999999998</v>
      </c>
      <c r="E426" s="17">
        <v>192.27</v>
      </c>
      <c r="F426" s="17">
        <v>189.42</v>
      </c>
      <c r="G426" s="17">
        <v>153.27000000000001</v>
      </c>
      <c r="H426" s="17">
        <v>78.180000000000007</v>
      </c>
      <c r="I426" s="17">
        <v>61.96</v>
      </c>
      <c r="J426" s="17">
        <v>55.59</v>
      </c>
      <c r="K426" s="17">
        <v>67.48</v>
      </c>
      <c r="L426" s="17">
        <v>39.979999999999997</v>
      </c>
      <c r="M426" s="17">
        <v>30.93</v>
      </c>
      <c r="N426" s="17">
        <v>21.38</v>
      </c>
      <c r="O426" s="17">
        <v>22.21</v>
      </c>
      <c r="P426" s="17">
        <v>19.03</v>
      </c>
      <c r="Q426" s="17">
        <v>12.06</v>
      </c>
      <c r="R426" s="17">
        <v>16</v>
      </c>
      <c r="S426" s="17">
        <v>3.15</v>
      </c>
      <c r="T426" s="17">
        <v>10.11</v>
      </c>
      <c r="U426" s="17">
        <v>6.65</v>
      </c>
      <c r="V426" s="17">
        <v>11.47</v>
      </c>
      <c r="W426" s="17">
        <v>4.95</v>
      </c>
      <c r="X426" s="17">
        <v>8.08</v>
      </c>
      <c r="Y426" s="17">
        <v>7.79</v>
      </c>
      <c r="Z426" s="17">
        <v>7.58</v>
      </c>
      <c r="AA426" s="17">
        <v>7.41</v>
      </c>
      <c r="AB426" s="17">
        <v>11.32</v>
      </c>
      <c r="AC426" s="17">
        <v>0</v>
      </c>
      <c r="AD426" s="17">
        <v>0</v>
      </c>
      <c r="AE426" s="17">
        <v>2.74</v>
      </c>
      <c r="AF426" s="17">
        <v>1.62</v>
      </c>
      <c r="AG426" s="17">
        <v>0</v>
      </c>
      <c r="AH426" s="17">
        <v>0</v>
      </c>
      <c r="AI426" s="17">
        <f t="shared" si="27"/>
        <v>5</v>
      </c>
      <c r="AJ426" s="17">
        <f t="shared" si="28"/>
        <v>4</v>
      </c>
      <c r="AK426" s="17">
        <f t="shared" si="29"/>
        <v>8</v>
      </c>
      <c r="AL426" s="17">
        <f t="shared" si="30"/>
        <v>1</v>
      </c>
      <c r="AM426" s="17">
        <f>VLOOKUP(AK426,Sheet1!$A$2:$B$25,2,FALSE)</f>
        <v>1</v>
      </c>
    </row>
    <row r="427" spans="1:39" s="17" customFormat="1" x14ac:dyDescent="0.25">
      <c r="A427" s="21">
        <v>44596.354166666664</v>
      </c>
      <c r="B427" s="17">
        <v>822.29</v>
      </c>
      <c r="C427" s="17">
        <v>265.54000000000002</v>
      </c>
      <c r="D427" s="17">
        <v>258.8</v>
      </c>
      <c r="E427" s="17">
        <v>190.08</v>
      </c>
      <c r="F427" s="17">
        <v>190.4</v>
      </c>
      <c r="G427" s="17">
        <v>153.96</v>
      </c>
      <c r="H427" s="17">
        <v>80.66</v>
      </c>
      <c r="I427" s="17">
        <v>58.77</v>
      </c>
      <c r="J427" s="17">
        <v>58.95</v>
      </c>
      <c r="K427" s="17">
        <v>67.08</v>
      </c>
      <c r="L427" s="17">
        <v>40.369999999999997</v>
      </c>
      <c r="M427" s="17">
        <v>30.78</v>
      </c>
      <c r="N427" s="17">
        <v>20.149999999999999</v>
      </c>
      <c r="O427" s="17">
        <v>24.24</v>
      </c>
      <c r="P427" s="17">
        <v>10.18</v>
      </c>
      <c r="Q427" s="17">
        <v>13.1</v>
      </c>
      <c r="R427" s="17">
        <v>15.98</v>
      </c>
      <c r="S427" s="17">
        <v>14.35</v>
      </c>
      <c r="T427" s="17">
        <v>9.93</v>
      </c>
      <c r="U427" s="17">
        <v>6.44</v>
      </c>
      <c r="V427" s="17">
        <v>11.14</v>
      </c>
      <c r="W427" s="17">
        <v>4.8499999999999996</v>
      </c>
      <c r="X427" s="17">
        <v>13.14</v>
      </c>
      <c r="Y427" s="17">
        <v>7.88</v>
      </c>
      <c r="Z427" s="17">
        <v>7.82</v>
      </c>
      <c r="AA427" s="17">
        <v>6.96</v>
      </c>
      <c r="AB427" s="17">
        <v>11.53</v>
      </c>
      <c r="AC427" s="17">
        <v>0</v>
      </c>
      <c r="AD427" s="17">
        <v>2.23</v>
      </c>
      <c r="AE427" s="17">
        <v>2.86</v>
      </c>
      <c r="AF427" s="17">
        <v>1.37</v>
      </c>
      <c r="AG427" s="17">
        <v>0</v>
      </c>
      <c r="AH427" s="17">
        <v>0</v>
      </c>
      <c r="AI427" s="17">
        <f t="shared" si="27"/>
        <v>5</v>
      </c>
      <c r="AJ427" s="17">
        <f t="shared" si="28"/>
        <v>4</v>
      </c>
      <c r="AK427" s="17">
        <f t="shared" si="29"/>
        <v>8</v>
      </c>
      <c r="AL427" s="17">
        <f t="shared" si="30"/>
        <v>1</v>
      </c>
      <c r="AM427" s="17">
        <f>VLOOKUP(AK427,Sheet1!$A$2:$B$25,2,FALSE)</f>
        <v>1</v>
      </c>
    </row>
    <row r="428" spans="1:39" s="17" customFormat="1" x14ac:dyDescent="0.25">
      <c r="A428" s="21">
        <v>44596.364583333336</v>
      </c>
      <c r="B428" s="17">
        <v>806.25</v>
      </c>
      <c r="C428" s="17">
        <v>262.20999999999998</v>
      </c>
      <c r="D428" s="17">
        <v>256.29000000000002</v>
      </c>
      <c r="E428" s="17">
        <v>191.53</v>
      </c>
      <c r="F428" s="17">
        <v>189.96</v>
      </c>
      <c r="G428" s="17">
        <v>152.96</v>
      </c>
      <c r="H428" s="17">
        <v>79.14</v>
      </c>
      <c r="I428" s="17">
        <v>55.68</v>
      </c>
      <c r="J428" s="17">
        <v>58.66</v>
      </c>
      <c r="K428" s="17">
        <v>67.64</v>
      </c>
      <c r="L428" s="17">
        <v>40.369999999999997</v>
      </c>
      <c r="M428" s="17">
        <v>28.05</v>
      </c>
      <c r="N428" s="17">
        <v>19.87</v>
      </c>
      <c r="O428" s="17">
        <v>24.75</v>
      </c>
      <c r="P428" s="17">
        <v>14.35</v>
      </c>
      <c r="Q428" s="17">
        <v>12.75</v>
      </c>
      <c r="R428" s="17">
        <v>15.97</v>
      </c>
      <c r="S428" s="17">
        <v>8.9</v>
      </c>
      <c r="T428" s="17">
        <v>10.48</v>
      </c>
      <c r="U428" s="17">
        <v>6.66</v>
      </c>
      <c r="V428" s="17">
        <v>9.59</v>
      </c>
      <c r="W428" s="17">
        <v>4.75</v>
      </c>
      <c r="X428" s="17">
        <v>8.16</v>
      </c>
      <c r="Y428" s="17">
        <v>7.83</v>
      </c>
      <c r="Z428" s="17">
        <v>8.2200000000000006</v>
      </c>
      <c r="AA428" s="17">
        <v>7.13</v>
      </c>
      <c r="AB428" s="17">
        <v>10.97</v>
      </c>
      <c r="AC428" s="17">
        <v>0</v>
      </c>
      <c r="AD428" s="17">
        <v>3.97</v>
      </c>
      <c r="AE428" s="17">
        <v>2.72</v>
      </c>
      <c r="AF428" s="17">
        <v>0.1066</v>
      </c>
      <c r="AG428" s="17">
        <v>0</v>
      </c>
      <c r="AH428" s="17">
        <v>0</v>
      </c>
      <c r="AI428" s="17">
        <f t="shared" si="27"/>
        <v>5</v>
      </c>
      <c r="AJ428" s="17">
        <f t="shared" si="28"/>
        <v>4</v>
      </c>
      <c r="AK428" s="17">
        <f t="shared" si="29"/>
        <v>8</v>
      </c>
      <c r="AL428" s="17">
        <f t="shared" si="30"/>
        <v>1</v>
      </c>
      <c r="AM428" s="17">
        <f>VLOOKUP(AK428,Sheet1!$A$2:$B$25,2,FALSE)</f>
        <v>1</v>
      </c>
    </row>
    <row r="429" spans="1:39" s="17" customFormat="1" x14ac:dyDescent="0.25">
      <c r="A429" s="21">
        <v>44596.375</v>
      </c>
      <c r="B429" s="17">
        <v>816.19</v>
      </c>
      <c r="C429" s="17">
        <v>264.89999999999998</v>
      </c>
      <c r="D429" s="17">
        <v>260.39999999999998</v>
      </c>
      <c r="E429" s="17">
        <v>193.9</v>
      </c>
      <c r="F429" s="17">
        <v>190.5</v>
      </c>
      <c r="G429" s="17">
        <v>153.84</v>
      </c>
      <c r="H429" s="17">
        <v>79.349999999999994</v>
      </c>
      <c r="I429" s="17">
        <v>55.25</v>
      </c>
      <c r="J429" s="17">
        <v>55.71</v>
      </c>
      <c r="K429" s="17">
        <v>67.7</v>
      </c>
      <c r="L429" s="17">
        <v>40.51</v>
      </c>
      <c r="M429" s="17">
        <v>32.090000000000003</v>
      </c>
      <c r="N429" s="17">
        <v>21.55</v>
      </c>
      <c r="O429" s="17">
        <v>20.75</v>
      </c>
      <c r="P429" s="17">
        <v>21.18</v>
      </c>
      <c r="Q429" s="17">
        <v>12.46</v>
      </c>
      <c r="R429" s="17">
        <v>15.82</v>
      </c>
      <c r="S429" s="17">
        <v>12.15</v>
      </c>
      <c r="T429" s="17">
        <v>10.19</v>
      </c>
      <c r="U429" s="17">
        <v>6.5</v>
      </c>
      <c r="V429" s="17">
        <v>12.1</v>
      </c>
      <c r="W429" s="17">
        <v>4.87</v>
      </c>
      <c r="X429" s="17">
        <v>8.64</v>
      </c>
      <c r="Y429" s="17">
        <v>7.74</v>
      </c>
      <c r="Z429" s="17">
        <v>7.68</v>
      </c>
      <c r="AA429" s="17">
        <v>7.26</v>
      </c>
      <c r="AB429" s="17">
        <v>0</v>
      </c>
      <c r="AC429" s="17">
        <v>0</v>
      </c>
      <c r="AD429" s="17">
        <v>5.04</v>
      </c>
      <c r="AE429" s="17">
        <v>2.56</v>
      </c>
      <c r="AF429" s="17">
        <v>0</v>
      </c>
      <c r="AG429" s="17">
        <v>0</v>
      </c>
      <c r="AH429" s="17">
        <v>0</v>
      </c>
      <c r="AI429" s="17">
        <f t="shared" si="27"/>
        <v>5</v>
      </c>
      <c r="AJ429" s="17">
        <f t="shared" si="28"/>
        <v>4</v>
      </c>
      <c r="AK429" s="17">
        <f t="shared" si="29"/>
        <v>9</v>
      </c>
      <c r="AL429" s="17">
        <f t="shared" si="30"/>
        <v>1</v>
      </c>
      <c r="AM429" s="17">
        <f>VLOOKUP(AK429,Sheet1!$A$2:$B$25,2,FALSE)</f>
        <v>1</v>
      </c>
    </row>
    <row r="430" spans="1:39" s="17" customFormat="1" x14ac:dyDescent="0.25">
      <c r="A430" s="21">
        <v>44596.385416666664</v>
      </c>
      <c r="B430" s="17">
        <v>820.36</v>
      </c>
      <c r="C430" s="17">
        <v>266.3</v>
      </c>
      <c r="D430" s="17">
        <v>260.48</v>
      </c>
      <c r="E430" s="17">
        <v>192.31</v>
      </c>
      <c r="F430" s="17">
        <v>189</v>
      </c>
      <c r="G430" s="17">
        <v>152.88999999999999</v>
      </c>
      <c r="H430" s="17">
        <v>79.510000000000005</v>
      </c>
      <c r="I430" s="17">
        <v>57.42</v>
      </c>
      <c r="J430" s="17">
        <v>58.18</v>
      </c>
      <c r="K430" s="17">
        <v>67.22</v>
      </c>
      <c r="L430" s="17">
        <v>40.729999999999997</v>
      </c>
      <c r="M430" s="17">
        <v>35.58</v>
      </c>
      <c r="N430" s="17">
        <v>22.48</v>
      </c>
      <c r="O430" s="17">
        <v>24.16</v>
      </c>
      <c r="P430" s="17">
        <v>21.27</v>
      </c>
      <c r="Q430" s="17">
        <v>11.32</v>
      </c>
      <c r="R430" s="17">
        <v>15.41</v>
      </c>
      <c r="S430" s="17">
        <v>13.79</v>
      </c>
      <c r="T430" s="17">
        <v>11.35</v>
      </c>
      <c r="U430" s="17">
        <v>6.62</v>
      </c>
      <c r="V430" s="17">
        <v>7.98</v>
      </c>
      <c r="W430" s="17">
        <v>4.71</v>
      </c>
      <c r="X430" s="17">
        <v>12.85</v>
      </c>
      <c r="Y430" s="17">
        <v>7.94</v>
      </c>
      <c r="Z430" s="17">
        <v>9.27</v>
      </c>
      <c r="AA430" s="17">
        <v>6.84</v>
      </c>
      <c r="AB430" s="17">
        <v>0</v>
      </c>
      <c r="AC430" s="17">
        <v>0</v>
      </c>
      <c r="AD430" s="17">
        <v>3.34</v>
      </c>
      <c r="AE430" s="17">
        <v>2.79</v>
      </c>
      <c r="AF430" s="17">
        <v>0</v>
      </c>
      <c r="AG430" s="17">
        <v>0</v>
      </c>
      <c r="AH430" s="17">
        <v>0</v>
      </c>
      <c r="AI430" s="17">
        <f t="shared" si="27"/>
        <v>5</v>
      </c>
      <c r="AJ430" s="17">
        <f t="shared" si="28"/>
        <v>4</v>
      </c>
      <c r="AK430" s="17">
        <f t="shared" si="29"/>
        <v>9</v>
      </c>
      <c r="AL430" s="17">
        <f t="shared" si="30"/>
        <v>1</v>
      </c>
      <c r="AM430" s="17">
        <f>VLOOKUP(AK430,Sheet1!$A$2:$B$25,2,FALSE)</f>
        <v>1</v>
      </c>
    </row>
    <row r="431" spans="1:39" s="17" customFormat="1" x14ac:dyDescent="0.25">
      <c r="A431" s="21">
        <v>44596.395833333336</v>
      </c>
      <c r="B431" s="17">
        <v>787.61</v>
      </c>
      <c r="C431" s="17">
        <v>265.27</v>
      </c>
      <c r="D431" s="17">
        <v>262</v>
      </c>
      <c r="E431" s="17">
        <v>192.9</v>
      </c>
      <c r="F431" s="17">
        <v>190.07</v>
      </c>
      <c r="G431" s="17">
        <v>127.77</v>
      </c>
      <c r="H431" s="17">
        <v>78.069999999999993</v>
      </c>
      <c r="I431" s="17">
        <v>58.94</v>
      </c>
      <c r="J431" s="17">
        <v>58.05</v>
      </c>
      <c r="K431" s="17">
        <v>56.08</v>
      </c>
      <c r="L431" s="17">
        <v>40.200000000000003</v>
      </c>
      <c r="M431" s="17">
        <v>36.32</v>
      </c>
      <c r="N431" s="17">
        <v>22.37</v>
      </c>
      <c r="O431" s="17">
        <v>22.98</v>
      </c>
      <c r="P431" s="17">
        <v>19.09</v>
      </c>
      <c r="Q431" s="17">
        <v>10.93</v>
      </c>
      <c r="R431" s="17">
        <v>12.45</v>
      </c>
      <c r="S431" s="17">
        <v>8.94</v>
      </c>
      <c r="T431" s="17">
        <v>12.06</v>
      </c>
      <c r="U431" s="17">
        <v>6.52</v>
      </c>
      <c r="V431" s="17">
        <v>6.93</v>
      </c>
      <c r="W431" s="17">
        <v>4.5599999999999996</v>
      </c>
      <c r="X431" s="17">
        <v>11.81</v>
      </c>
      <c r="Y431" s="17">
        <v>7.84</v>
      </c>
      <c r="Z431" s="17">
        <v>8.35</v>
      </c>
      <c r="AA431" s="17">
        <v>7.49</v>
      </c>
      <c r="AB431" s="17">
        <v>0</v>
      </c>
      <c r="AC431" s="17">
        <v>0</v>
      </c>
      <c r="AD431" s="17">
        <v>3.18</v>
      </c>
      <c r="AE431" s="17">
        <v>2.2200000000000002</v>
      </c>
      <c r="AF431" s="17">
        <v>1.81</v>
      </c>
      <c r="AG431" s="17">
        <v>0</v>
      </c>
      <c r="AH431" s="17">
        <v>0</v>
      </c>
      <c r="AI431" s="17">
        <f t="shared" si="27"/>
        <v>5</v>
      </c>
      <c r="AJ431" s="17">
        <f t="shared" si="28"/>
        <v>4</v>
      </c>
      <c r="AK431" s="17">
        <f t="shared" si="29"/>
        <v>9</v>
      </c>
      <c r="AL431" s="17">
        <f t="shared" si="30"/>
        <v>1</v>
      </c>
      <c r="AM431" s="17">
        <f>VLOOKUP(AK431,Sheet1!$A$2:$B$25,2,FALSE)</f>
        <v>1</v>
      </c>
    </row>
    <row r="432" spans="1:39" s="17" customFormat="1" x14ac:dyDescent="0.25">
      <c r="A432" s="21">
        <v>44596.40625</v>
      </c>
      <c r="B432" s="17">
        <v>792.82</v>
      </c>
      <c r="C432" s="17">
        <v>265.60000000000002</v>
      </c>
      <c r="D432" s="17">
        <v>257.73</v>
      </c>
      <c r="E432" s="17">
        <v>192.73</v>
      </c>
      <c r="F432" s="17">
        <v>190.03</v>
      </c>
      <c r="G432" s="17">
        <v>156.47</v>
      </c>
      <c r="H432" s="17">
        <v>79.13</v>
      </c>
      <c r="I432" s="17">
        <v>56.6</v>
      </c>
      <c r="J432" s="17">
        <v>56.14</v>
      </c>
      <c r="K432" s="17">
        <v>67.19</v>
      </c>
      <c r="L432" s="17">
        <v>40.46</v>
      </c>
      <c r="M432" s="17">
        <v>31.25</v>
      </c>
      <c r="N432" s="17">
        <v>21.12</v>
      </c>
      <c r="O432" s="17">
        <v>22.85</v>
      </c>
      <c r="P432" s="17">
        <v>9.56</v>
      </c>
      <c r="Q432" s="17">
        <v>11.52</v>
      </c>
      <c r="R432" s="17">
        <v>16</v>
      </c>
      <c r="S432" s="17">
        <v>6.16</v>
      </c>
      <c r="T432" s="17">
        <v>12.53</v>
      </c>
      <c r="U432" s="17">
        <v>6.54</v>
      </c>
      <c r="V432" s="17">
        <v>8.31</v>
      </c>
      <c r="W432" s="17">
        <v>4.62</v>
      </c>
      <c r="X432" s="17">
        <v>8.5299999999999994</v>
      </c>
      <c r="Y432" s="17">
        <v>7.74</v>
      </c>
      <c r="Z432" s="17">
        <v>6.11</v>
      </c>
      <c r="AA432" s="17">
        <v>7.12</v>
      </c>
      <c r="AB432" s="17">
        <v>0</v>
      </c>
      <c r="AC432" s="17">
        <v>1.24</v>
      </c>
      <c r="AD432" s="17">
        <v>1.64</v>
      </c>
      <c r="AE432" s="17">
        <v>3.06</v>
      </c>
      <c r="AF432" s="17">
        <v>1.65</v>
      </c>
      <c r="AG432" s="17">
        <v>0</v>
      </c>
      <c r="AH432" s="17">
        <v>0</v>
      </c>
      <c r="AI432" s="17">
        <f t="shared" si="27"/>
        <v>5</v>
      </c>
      <c r="AJ432" s="17">
        <f t="shared" si="28"/>
        <v>4</v>
      </c>
      <c r="AK432" s="17">
        <f t="shared" si="29"/>
        <v>9</v>
      </c>
      <c r="AL432" s="17">
        <f t="shared" si="30"/>
        <v>1</v>
      </c>
      <c r="AM432" s="17">
        <f>VLOOKUP(AK432,Sheet1!$A$2:$B$25,2,FALSE)</f>
        <v>1</v>
      </c>
    </row>
    <row r="433" spans="1:39" s="17" customFormat="1" x14ac:dyDescent="0.25">
      <c r="A433" s="21">
        <v>44596.416666666664</v>
      </c>
      <c r="B433" s="17">
        <v>807.94</v>
      </c>
      <c r="C433" s="17">
        <v>267.44</v>
      </c>
      <c r="D433" s="17">
        <v>258.27999999999997</v>
      </c>
      <c r="E433" s="17">
        <v>194.39</v>
      </c>
      <c r="F433" s="17">
        <v>195.03</v>
      </c>
      <c r="G433" s="17">
        <v>158.08000000000001</v>
      </c>
      <c r="H433" s="17">
        <v>78.569999999999993</v>
      </c>
      <c r="I433" s="17">
        <v>57.56</v>
      </c>
      <c r="J433" s="17">
        <v>62.85</v>
      </c>
      <c r="K433" s="17">
        <v>68.16</v>
      </c>
      <c r="L433" s="17">
        <v>40.64</v>
      </c>
      <c r="M433" s="17">
        <v>27.37</v>
      </c>
      <c r="N433" s="17">
        <v>21.55</v>
      </c>
      <c r="O433" s="17">
        <v>22.46</v>
      </c>
      <c r="P433" s="17">
        <v>19.559999999999999</v>
      </c>
      <c r="Q433" s="17">
        <v>11.75</v>
      </c>
      <c r="R433" s="17">
        <v>16.03</v>
      </c>
      <c r="S433" s="17">
        <v>11.33</v>
      </c>
      <c r="T433" s="17">
        <v>13.22</v>
      </c>
      <c r="U433" s="17">
        <v>6.89</v>
      </c>
      <c r="V433" s="17">
        <v>9.76</v>
      </c>
      <c r="W433" s="17">
        <v>4.91</v>
      </c>
      <c r="X433" s="17">
        <v>2.78</v>
      </c>
      <c r="Y433" s="17">
        <v>7.79</v>
      </c>
      <c r="Z433" s="17">
        <v>8.11</v>
      </c>
      <c r="AA433" s="17">
        <v>7.26</v>
      </c>
      <c r="AB433" s="17">
        <v>0</v>
      </c>
      <c r="AC433" s="17">
        <v>0</v>
      </c>
      <c r="AD433" s="17">
        <v>0</v>
      </c>
      <c r="AE433" s="17">
        <v>2.93</v>
      </c>
      <c r="AF433" s="17">
        <v>1.65</v>
      </c>
      <c r="AG433" s="17">
        <v>0</v>
      </c>
      <c r="AH433" s="17">
        <v>0</v>
      </c>
      <c r="AI433" s="17">
        <f t="shared" si="27"/>
        <v>5</v>
      </c>
      <c r="AJ433" s="17">
        <f t="shared" si="28"/>
        <v>4</v>
      </c>
      <c r="AK433" s="17">
        <f t="shared" si="29"/>
        <v>10</v>
      </c>
      <c r="AL433" s="17">
        <f t="shared" si="30"/>
        <v>1</v>
      </c>
      <c r="AM433" s="17">
        <f>VLOOKUP(AK433,Sheet1!$A$2:$B$25,2,FALSE)</f>
        <v>1</v>
      </c>
    </row>
    <row r="434" spans="1:39" s="17" customFormat="1" x14ac:dyDescent="0.25">
      <c r="A434" s="21">
        <v>44596.427083333336</v>
      </c>
      <c r="B434" s="17">
        <v>786.02</v>
      </c>
      <c r="C434" s="17">
        <v>265.77999999999997</v>
      </c>
      <c r="D434" s="17">
        <v>250.89</v>
      </c>
      <c r="E434" s="17">
        <v>195.41</v>
      </c>
      <c r="F434" s="17">
        <v>193.03</v>
      </c>
      <c r="G434" s="17">
        <v>141.77000000000001</v>
      </c>
      <c r="H434" s="17">
        <v>77.78</v>
      </c>
      <c r="I434" s="17">
        <v>57.6</v>
      </c>
      <c r="J434" s="17">
        <v>58.68</v>
      </c>
      <c r="K434" s="17">
        <v>65.17</v>
      </c>
      <c r="L434" s="17">
        <v>40.44</v>
      </c>
      <c r="M434" s="17">
        <v>20.68</v>
      </c>
      <c r="N434" s="17">
        <v>20.88</v>
      </c>
      <c r="O434" s="17">
        <v>22.38</v>
      </c>
      <c r="P434" s="17">
        <v>19.89</v>
      </c>
      <c r="Q434" s="17">
        <v>11.46</v>
      </c>
      <c r="R434" s="17">
        <v>10.210000000000001</v>
      </c>
      <c r="S434" s="17">
        <v>13.87</v>
      </c>
      <c r="T434" s="17">
        <v>8.83</v>
      </c>
      <c r="U434" s="17">
        <v>6.58</v>
      </c>
      <c r="V434" s="17">
        <v>11</v>
      </c>
      <c r="W434" s="17">
        <v>4.91</v>
      </c>
      <c r="X434" s="17">
        <v>1.31</v>
      </c>
      <c r="Y434" s="17">
        <v>7.98</v>
      </c>
      <c r="Z434" s="17">
        <v>7.69</v>
      </c>
      <c r="AA434" s="17">
        <v>7.57</v>
      </c>
      <c r="AB434" s="17">
        <v>0</v>
      </c>
      <c r="AC434" s="17">
        <v>0.66949999999999998</v>
      </c>
      <c r="AD434" s="17">
        <v>0</v>
      </c>
      <c r="AE434" s="17">
        <v>1.81</v>
      </c>
      <c r="AF434" s="17">
        <v>1.6</v>
      </c>
      <c r="AG434" s="17">
        <v>0</v>
      </c>
      <c r="AH434" s="17">
        <v>0</v>
      </c>
      <c r="AI434" s="17">
        <f t="shared" si="27"/>
        <v>5</v>
      </c>
      <c r="AJ434" s="17">
        <f t="shared" si="28"/>
        <v>4</v>
      </c>
      <c r="AK434" s="17">
        <f t="shared" si="29"/>
        <v>10</v>
      </c>
      <c r="AL434" s="17">
        <f t="shared" si="30"/>
        <v>1</v>
      </c>
      <c r="AM434" s="17">
        <f>VLOOKUP(AK434,Sheet1!$A$2:$B$25,2,FALSE)</f>
        <v>1</v>
      </c>
    </row>
    <row r="435" spans="1:39" s="17" customFormat="1" x14ac:dyDescent="0.25">
      <c r="A435" s="21">
        <v>44596.4375</v>
      </c>
      <c r="B435" s="17">
        <v>776.84</v>
      </c>
      <c r="C435" s="17">
        <v>267.2</v>
      </c>
      <c r="D435" s="17">
        <v>256.31</v>
      </c>
      <c r="E435" s="17">
        <v>196.41</v>
      </c>
      <c r="F435" s="17">
        <v>192.9</v>
      </c>
      <c r="G435" s="17">
        <v>133.94999999999999</v>
      </c>
      <c r="H435" s="17">
        <v>78.31</v>
      </c>
      <c r="I435" s="17">
        <v>53.71</v>
      </c>
      <c r="J435" s="17">
        <v>56.9</v>
      </c>
      <c r="K435" s="17">
        <v>61.3</v>
      </c>
      <c r="L435" s="17">
        <v>40.799999999999997</v>
      </c>
      <c r="M435" s="17">
        <v>25.94</v>
      </c>
      <c r="N435" s="17">
        <v>21.73</v>
      </c>
      <c r="O435" s="17">
        <v>19.89</v>
      </c>
      <c r="P435" s="17">
        <v>20.53</v>
      </c>
      <c r="Q435" s="17">
        <v>11.62</v>
      </c>
      <c r="R435" s="17">
        <v>15.76</v>
      </c>
      <c r="S435" s="17">
        <v>5.08</v>
      </c>
      <c r="T435" s="17">
        <v>0</v>
      </c>
      <c r="U435" s="17">
        <v>6.64</v>
      </c>
      <c r="V435" s="17">
        <v>9.14</v>
      </c>
      <c r="W435" s="17">
        <v>4.75</v>
      </c>
      <c r="X435" s="17">
        <v>3.98</v>
      </c>
      <c r="Y435" s="17">
        <v>7.97</v>
      </c>
      <c r="Z435" s="17">
        <v>8.14</v>
      </c>
      <c r="AA435" s="17">
        <v>7.45</v>
      </c>
      <c r="AB435" s="17">
        <v>0</v>
      </c>
      <c r="AC435" s="17">
        <v>3.4</v>
      </c>
      <c r="AD435" s="17">
        <v>0</v>
      </c>
      <c r="AE435" s="17">
        <v>0</v>
      </c>
      <c r="AF435" s="17">
        <v>1.57</v>
      </c>
      <c r="AG435" s="17">
        <v>0</v>
      </c>
      <c r="AH435" s="17">
        <v>0</v>
      </c>
      <c r="AI435" s="17">
        <f t="shared" si="27"/>
        <v>5</v>
      </c>
      <c r="AJ435" s="17">
        <f t="shared" si="28"/>
        <v>4</v>
      </c>
      <c r="AK435" s="17">
        <f t="shared" si="29"/>
        <v>10</v>
      </c>
      <c r="AL435" s="17">
        <f t="shared" si="30"/>
        <v>1</v>
      </c>
      <c r="AM435" s="17">
        <f>VLOOKUP(AK435,Sheet1!$A$2:$B$25,2,FALSE)</f>
        <v>1</v>
      </c>
    </row>
    <row r="436" spans="1:39" s="17" customFormat="1" x14ac:dyDescent="0.25">
      <c r="A436" s="21">
        <v>44596.447916666664</v>
      </c>
      <c r="B436" s="17">
        <v>780.5</v>
      </c>
      <c r="C436" s="17">
        <v>268.99</v>
      </c>
      <c r="D436" s="17">
        <v>259.01</v>
      </c>
      <c r="E436" s="17">
        <v>197.07</v>
      </c>
      <c r="F436" s="17">
        <v>194.73</v>
      </c>
      <c r="G436" s="17">
        <v>129.97</v>
      </c>
      <c r="H436" s="17">
        <v>78.39</v>
      </c>
      <c r="I436" s="17">
        <v>55.15</v>
      </c>
      <c r="J436" s="17">
        <v>58.57</v>
      </c>
      <c r="K436" s="17">
        <v>61.61</v>
      </c>
      <c r="L436" s="17">
        <v>40.39</v>
      </c>
      <c r="M436" s="17">
        <v>24.51</v>
      </c>
      <c r="N436" s="17">
        <v>21.23</v>
      </c>
      <c r="O436" s="17">
        <v>21.97</v>
      </c>
      <c r="P436" s="17">
        <v>21.24</v>
      </c>
      <c r="Q436" s="17">
        <v>11.68</v>
      </c>
      <c r="R436" s="17">
        <v>12.15</v>
      </c>
      <c r="S436" s="17">
        <v>11.74</v>
      </c>
      <c r="T436" s="17">
        <v>0</v>
      </c>
      <c r="U436" s="17">
        <v>6.93</v>
      </c>
      <c r="V436" s="17">
        <v>8.26</v>
      </c>
      <c r="W436" s="17">
        <v>4.82</v>
      </c>
      <c r="X436" s="17">
        <v>2.04</v>
      </c>
      <c r="Y436" s="17">
        <v>7.93</v>
      </c>
      <c r="Z436" s="17">
        <v>8.26</v>
      </c>
      <c r="AA436" s="17">
        <v>7.4</v>
      </c>
      <c r="AB436" s="17">
        <v>0</v>
      </c>
      <c r="AC436" s="17">
        <v>0.51390000000000002</v>
      </c>
      <c r="AD436" s="17">
        <v>0</v>
      </c>
      <c r="AE436" s="17">
        <v>8.2100000000000006E-2</v>
      </c>
      <c r="AF436" s="17">
        <v>1.58</v>
      </c>
      <c r="AG436" s="17">
        <v>0</v>
      </c>
      <c r="AH436" s="17">
        <v>0</v>
      </c>
      <c r="AI436" s="17">
        <f t="shared" si="27"/>
        <v>5</v>
      </c>
      <c r="AJ436" s="17">
        <f t="shared" si="28"/>
        <v>4</v>
      </c>
      <c r="AK436" s="17">
        <f t="shared" si="29"/>
        <v>10</v>
      </c>
      <c r="AL436" s="17">
        <f t="shared" si="30"/>
        <v>1</v>
      </c>
      <c r="AM436" s="17">
        <f>VLOOKUP(AK436,Sheet1!$A$2:$B$25,2,FALSE)</f>
        <v>1</v>
      </c>
    </row>
    <row r="437" spans="1:39" s="17" customFormat="1" x14ac:dyDescent="0.25">
      <c r="A437" s="21">
        <v>44596.458333333336</v>
      </c>
      <c r="B437" s="17">
        <v>769.91</v>
      </c>
      <c r="C437" s="17">
        <v>267.07</v>
      </c>
      <c r="D437" s="17">
        <v>255.79</v>
      </c>
      <c r="E437" s="17">
        <v>197.07</v>
      </c>
      <c r="F437" s="17">
        <v>193.48</v>
      </c>
      <c r="G437" s="17">
        <v>126.69</v>
      </c>
      <c r="H437" s="17">
        <v>78.010000000000005</v>
      </c>
      <c r="I437" s="17">
        <v>53.53</v>
      </c>
      <c r="J437" s="17">
        <v>59.18</v>
      </c>
      <c r="K437" s="17">
        <v>60.42</v>
      </c>
      <c r="L437" s="17">
        <v>40.79</v>
      </c>
      <c r="M437" s="17">
        <v>25.95</v>
      </c>
      <c r="N437" s="17">
        <v>19.93</v>
      </c>
      <c r="O437" s="17">
        <v>21.78</v>
      </c>
      <c r="P437" s="17">
        <v>18.25</v>
      </c>
      <c r="Q437" s="17">
        <v>11.29</v>
      </c>
      <c r="R437" s="17">
        <v>8.67</v>
      </c>
      <c r="S437" s="17">
        <v>12.24</v>
      </c>
      <c r="T437" s="17">
        <v>0</v>
      </c>
      <c r="U437" s="17">
        <v>7.01</v>
      </c>
      <c r="V437" s="17">
        <v>8.89</v>
      </c>
      <c r="W437" s="17">
        <v>4.99</v>
      </c>
      <c r="X437" s="17">
        <v>4.37</v>
      </c>
      <c r="Y437" s="17">
        <v>8.11</v>
      </c>
      <c r="Z437" s="17">
        <v>7.58</v>
      </c>
      <c r="AA437" s="17">
        <v>7.39</v>
      </c>
      <c r="AB437" s="17">
        <v>0</v>
      </c>
      <c r="AC437" s="17">
        <v>0</v>
      </c>
      <c r="AD437" s="17">
        <v>0</v>
      </c>
      <c r="AE437" s="17">
        <v>0</v>
      </c>
      <c r="AF437" s="17">
        <v>1.56</v>
      </c>
      <c r="AG437" s="17">
        <v>0</v>
      </c>
      <c r="AH437" s="17">
        <v>0</v>
      </c>
      <c r="AI437" s="17">
        <f t="shared" si="27"/>
        <v>5</v>
      </c>
      <c r="AJ437" s="17">
        <f t="shared" si="28"/>
        <v>4</v>
      </c>
      <c r="AK437" s="17">
        <f t="shared" si="29"/>
        <v>11</v>
      </c>
      <c r="AL437" s="17">
        <f t="shared" si="30"/>
        <v>1</v>
      </c>
      <c r="AM437" s="17">
        <f>VLOOKUP(AK437,Sheet1!$A$2:$B$25,2,FALSE)</f>
        <v>1</v>
      </c>
    </row>
    <row r="438" spans="1:39" s="17" customFormat="1" x14ac:dyDescent="0.25">
      <c r="A438" s="21">
        <v>44596.46875</v>
      </c>
      <c r="B438" s="17">
        <v>774.62</v>
      </c>
      <c r="C438" s="17">
        <v>268.81</v>
      </c>
      <c r="D438" s="17">
        <v>256.73</v>
      </c>
      <c r="E438" s="17">
        <v>194.75</v>
      </c>
      <c r="F438" s="17">
        <v>192.3</v>
      </c>
      <c r="G438" s="17">
        <v>125.85</v>
      </c>
      <c r="H438" s="17">
        <v>80.44</v>
      </c>
      <c r="I438" s="17">
        <v>52.65</v>
      </c>
      <c r="J438" s="17">
        <v>59.73</v>
      </c>
      <c r="K438" s="17">
        <v>60.08</v>
      </c>
      <c r="L438" s="17">
        <v>40.03</v>
      </c>
      <c r="M438" s="17">
        <v>26.89</v>
      </c>
      <c r="N438" s="17">
        <v>22.02</v>
      </c>
      <c r="O438" s="17">
        <v>23.33</v>
      </c>
      <c r="P438" s="17">
        <v>18.41</v>
      </c>
      <c r="Q438" s="17">
        <v>11.29</v>
      </c>
      <c r="R438" s="17">
        <v>8.8000000000000007</v>
      </c>
      <c r="S438" s="17">
        <v>13.95</v>
      </c>
      <c r="T438" s="17">
        <v>0</v>
      </c>
      <c r="U438" s="17">
        <v>6.78</v>
      </c>
      <c r="V438" s="17">
        <v>11.29</v>
      </c>
      <c r="W438" s="17">
        <v>4.83</v>
      </c>
      <c r="X438" s="17">
        <v>3.3</v>
      </c>
      <c r="Y438" s="17">
        <v>8.0299999999999994</v>
      </c>
      <c r="Z438" s="17">
        <v>8.2100000000000009</v>
      </c>
      <c r="AA438" s="17">
        <v>7.38</v>
      </c>
      <c r="AB438" s="17">
        <v>0</v>
      </c>
      <c r="AC438" s="17">
        <v>0</v>
      </c>
      <c r="AD438" s="17">
        <v>0</v>
      </c>
      <c r="AE438" s="17">
        <v>0</v>
      </c>
      <c r="AF438" s="17">
        <v>1.79</v>
      </c>
      <c r="AG438" s="17">
        <v>0</v>
      </c>
      <c r="AH438" s="17">
        <v>0</v>
      </c>
      <c r="AI438" s="17">
        <f t="shared" si="27"/>
        <v>5</v>
      </c>
      <c r="AJ438" s="17">
        <f t="shared" si="28"/>
        <v>4</v>
      </c>
      <c r="AK438" s="17">
        <f t="shared" si="29"/>
        <v>11</v>
      </c>
      <c r="AL438" s="17">
        <f t="shared" si="30"/>
        <v>1</v>
      </c>
      <c r="AM438" s="17">
        <f>VLOOKUP(AK438,Sheet1!$A$2:$B$25,2,FALSE)</f>
        <v>1</v>
      </c>
    </row>
    <row r="439" spans="1:39" s="17" customFormat="1" x14ac:dyDescent="0.25">
      <c r="A439" s="21">
        <v>44596.479166666664</v>
      </c>
      <c r="B439" s="17">
        <v>771.28</v>
      </c>
      <c r="C439" s="17">
        <v>266.20999999999998</v>
      </c>
      <c r="D439" s="17">
        <v>259.82</v>
      </c>
      <c r="E439" s="17">
        <v>193.61</v>
      </c>
      <c r="F439" s="17">
        <v>193.54</v>
      </c>
      <c r="G439" s="17">
        <v>125.39</v>
      </c>
      <c r="H439" s="17">
        <v>79.06</v>
      </c>
      <c r="I439" s="17">
        <v>53.32</v>
      </c>
      <c r="J439" s="17">
        <v>58.92</v>
      </c>
      <c r="K439" s="17">
        <v>60.19</v>
      </c>
      <c r="L439" s="17">
        <v>40.14</v>
      </c>
      <c r="M439" s="17">
        <v>30.12</v>
      </c>
      <c r="N439" s="17">
        <v>21.4</v>
      </c>
      <c r="O439" s="17">
        <v>16.77</v>
      </c>
      <c r="P439" s="17">
        <v>19.5</v>
      </c>
      <c r="Q439" s="17">
        <v>10.02</v>
      </c>
      <c r="R439" s="17">
        <v>8.68</v>
      </c>
      <c r="S439" s="17">
        <v>11.5</v>
      </c>
      <c r="T439" s="17">
        <v>0</v>
      </c>
      <c r="U439" s="17">
        <v>6.7</v>
      </c>
      <c r="V439" s="17">
        <v>4.83</v>
      </c>
      <c r="W439" s="17">
        <v>4.8</v>
      </c>
      <c r="X439" s="17">
        <v>6.27</v>
      </c>
      <c r="Y439" s="17">
        <v>7.77</v>
      </c>
      <c r="Z439" s="17">
        <v>8.15</v>
      </c>
      <c r="AA439" s="17">
        <v>7.6</v>
      </c>
      <c r="AB439" s="17">
        <v>0</v>
      </c>
      <c r="AC439" s="17">
        <v>0.91810000000000003</v>
      </c>
      <c r="AD439" s="17">
        <v>0</v>
      </c>
      <c r="AE439" s="17">
        <v>0</v>
      </c>
      <c r="AF439" s="17">
        <v>1.67</v>
      </c>
      <c r="AG439" s="17">
        <v>0</v>
      </c>
      <c r="AH439" s="17">
        <v>0</v>
      </c>
      <c r="AI439" s="17">
        <f t="shared" si="27"/>
        <v>5</v>
      </c>
      <c r="AJ439" s="17">
        <f t="shared" si="28"/>
        <v>4</v>
      </c>
      <c r="AK439" s="17">
        <f t="shared" si="29"/>
        <v>11</v>
      </c>
      <c r="AL439" s="17">
        <f t="shared" si="30"/>
        <v>1</v>
      </c>
      <c r="AM439" s="17">
        <f>VLOOKUP(AK439,Sheet1!$A$2:$B$25,2,FALSE)</f>
        <v>1</v>
      </c>
    </row>
    <row r="440" spans="1:39" s="17" customFormat="1" x14ac:dyDescent="0.25">
      <c r="A440" s="21">
        <v>44596.489583333336</v>
      </c>
      <c r="B440" s="17">
        <v>765.64</v>
      </c>
      <c r="C440" s="17">
        <v>268.83</v>
      </c>
      <c r="D440" s="17">
        <v>259.3</v>
      </c>
      <c r="E440" s="17">
        <v>195.71</v>
      </c>
      <c r="F440" s="17">
        <v>192.78</v>
      </c>
      <c r="G440" s="17">
        <v>125.66</v>
      </c>
      <c r="H440" s="17">
        <v>80.5</v>
      </c>
      <c r="I440" s="17">
        <v>54.13</v>
      </c>
      <c r="J440" s="17">
        <v>60.61</v>
      </c>
      <c r="K440" s="17">
        <v>60.84</v>
      </c>
      <c r="L440" s="17">
        <v>39.81</v>
      </c>
      <c r="M440" s="17">
        <v>26.81</v>
      </c>
      <c r="N440" s="17">
        <v>20.399999999999999</v>
      </c>
      <c r="O440" s="17">
        <v>24.92</v>
      </c>
      <c r="P440" s="17">
        <v>17.36</v>
      </c>
      <c r="Q440" s="17">
        <v>12.61</v>
      </c>
      <c r="R440" s="17">
        <v>8.4</v>
      </c>
      <c r="S440" s="17">
        <v>9.59</v>
      </c>
      <c r="T440" s="17">
        <v>0</v>
      </c>
      <c r="U440" s="17">
        <v>6.84</v>
      </c>
      <c r="V440" s="17">
        <v>3.26</v>
      </c>
      <c r="W440" s="17">
        <v>4.6900000000000004</v>
      </c>
      <c r="X440" s="17">
        <v>3.4</v>
      </c>
      <c r="Y440" s="17">
        <v>7.92</v>
      </c>
      <c r="Z440" s="17">
        <v>6.64</v>
      </c>
      <c r="AA440" s="17">
        <v>4.74</v>
      </c>
      <c r="AB440" s="17">
        <v>0</v>
      </c>
      <c r="AC440" s="17">
        <v>4.8099999999999996</v>
      </c>
      <c r="AD440" s="17">
        <v>0</v>
      </c>
      <c r="AE440" s="17">
        <v>0</v>
      </c>
      <c r="AF440" s="17">
        <v>1.64</v>
      </c>
      <c r="AG440" s="17">
        <v>0</v>
      </c>
      <c r="AH440" s="17">
        <v>0</v>
      </c>
      <c r="AI440" s="17">
        <f t="shared" si="27"/>
        <v>5</v>
      </c>
      <c r="AJ440" s="17">
        <f t="shared" si="28"/>
        <v>4</v>
      </c>
      <c r="AK440" s="17">
        <f t="shared" si="29"/>
        <v>11</v>
      </c>
      <c r="AL440" s="17">
        <f t="shared" si="30"/>
        <v>1</v>
      </c>
      <c r="AM440" s="17">
        <f>VLOOKUP(AK440,Sheet1!$A$2:$B$25,2,FALSE)</f>
        <v>1</v>
      </c>
    </row>
    <row r="441" spans="1:39" s="17" customFormat="1" x14ac:dyDescent="0.25">
      <c r="A441" s="21">
        <v>44596.5</v>
      </c>
      <c r="B441" s="17">
        <v>762.07</v>
      </c>
      <c r="C441" s="17">
        <v>266.52999999999997</v>
      </c>
      <c r="D441" s="17">
        <v>256.98</v>
      </c>
      <c r="E441" s="17">
        <v>194.54</v>
      </c>
      <c r="F441" s="17">
        <v>192.07</v>
      </c>
      <c r="G441" s="17">
        <v>125.03</v>
      </c>
      <c r="H441" s="17">
        <v>76.790000000000006</v>
      </c>
      <c r="I441" s="17">
        <v>52.64</v>
      </c>
      <c r="J441" s="17">
        <v>60.39</v>
      </c>
      <c r="K441" s="17">
        <v>60.65</v>
      </c>
      <c r="L441" s="17">
        <v>41.23</v>
      </c>
      <c r="M441" s="17">
        <v>28.38</v>
      </c>
      <c r="N441" s="17">
        <v>20.96</v>
      </c>
      <c r="O441" s="17">
        <v>23.76</v>
      </c>
      <c r="P441" s="17">
        <v>18.82</v>
      </c>
      <c r="Q441" s="17">
        <v>11.33</v>
      </c>
      <c r="R441" s="17">
        <v>7.63</v>
      </c>
      <c r="S441" s="17">
        <v>9</v>
      </c>
      <c r="T441" s="17">
        <v>0</v>
      </c>
      <c r="U441" s="17">
        <v>6.82</v>
      </c>
      <c r="V441" s="17">
        <v>9.17</v>
      </c>
      <c r="W441" s="17">
        <v>4.78</v>
      </c>
      <c r="X441" s="17">
        <v>0</v>
      </c>
      <c r="Y441" s="17">
        <v>8.0299999999999994</v>
      </c>
      <c r="Z441" s="17">
        <v>8.33</v>
      </c>
      <c r="AA441" s="17">
        <v>6.71</v>
      </c>
      <c r="AB441" s="17">
        <v>0</v>
      </c>
      <c r="AC441" s="17">
        <v>0.84</v>
      </c>
      <c r="AD441" s="17">
        <v>0</v>
      </c>
      <c r="AE441" s="17">
        <v>0</v>
      </c>
      <c r="AF441" s="17">
        <v>1.61</v>
      </c>
      <c r="AG441" s="17">
        <v>0</v>
      </c>
      <c r="AH441" s="17">
        <v>0</v>
      </c>
      <c r="AI441" s="17">
        <f t="shared" si="27"/>
        <v>5</v>
      </c>
      <c r="AJ441" s="17">
        <f t="shared" si="28"/>
        <v>4</v>
      </c>
      <c r="AK441" s="17">
        <f t="shared" si="29"/>
        <v>12</v>
      </c>
      <c r="AL441" s="17">
        <f t="shared" si="30"/>
        <v>1</v>
      </c>
      <c r="AM441" s="17">
        <f>VLOOKUP(AK441,Sheet1!$A$2:$B$25,2,FALSE)</f>
        <v>1</v>
      </c>
    </row>
    <row r="442" spans="1:39" s="17" customFormat="1" x14ac:dyDescent="0.25">
      <c r="A442" s="21">
        <v>44596.510416666664</v>
      </c>
      <c r="B442" s="17">
        <v>768.82</v>
      </c>
      <c r="C442" s="17">
        <v>269.5</v>
      </c>
      <c r="D442" s="17">
        <v>257.12</v>
      </c>
      <c r="E442" s="17">
        <v>196.09</v>
      </c>
      <c r="F442" s="17">
        <v>193.5</v>
      </c>
      <c r="G442" s="17">
        <v>125.53</v>
      </c>
      <c r="H442" s="17">
        <v>78.39</v>
      </c>
      <c r="I442" s="17">
        <v>53.4</v>
      </c>
      <c r="J442" s="17">
        <v>57.1</v>
      </c>
      <c r="K442" s="17">
        <v>61.06</v>
      </c>
      <c r="L442" s="17">
        <v>46.6</v>
      </c>
      <c r="M442" s="17">
        <v>29.58</v>
      </c>
      <c r="N442" s="17">
        <v>22.03</v>
      </c>
      <c r="O442" s="17">
        <v>19.59</v>
      </c>
      <c r="P442" s="17">
        <v>18.760000000000002</v>
      </c>
      <c r="Q442" s="17">
        <v>10.43</v>
      </c>
      <c r="R442" s="17">
        <v>7.95</v>
      </c>
      <c r="S442" s="17">
        <v>9.74</v>
      </c>
      <c r="T442" s="17">
        <v>0</v>
      </c>
      <c r="U442" s="17">
        <v>6.76</v>
      </c>
      <c r="V442" s="17">
        <v>10.36</v>
      </c>
      <c r="W442" s="17">
        <v>4.78</v>
      </c>
      <c r="X442" s="17">
        <v>1.02</v>
      </c>
      <c r="Y442" s="17">
        <v>7.89</v>
      </c>
      <c r="Z442" s="17">
        <v>7.93</v>
      </c>
      <c r="AA442" s="17">
        <v>7.57</v>
      </c>
      <c r="AB442" s="17">
        <v>0</v>
      </c>
      <c r="AC442" s="17">
        <v>0</v>
      </c>
      <c r="AD442" s="17">
        <v>0</v>
      </c>
      <c r="AE442" s="17">
        <v>0</v>
      </c>
      <c r="AF442" s="17">
        <v>1.56</v>
      </c>
      <c r="AG442" s="17">
        <v>0</v>
      </c>
      <c r="AH442" s="17">
        <v>0</v>
      </c>
      <c r="AI442" s="17">
        <f t="shared" si="27"/>
        <v>5</v>
      </c>
      <c r="AJ442" s="17">
        <f t="shared" si="28"/>
        <v>4</v>
      </c>
      <c r="AK442" s="17">
        <f t="shared" si="29"/>
        <v>12</v>
      </c>
      <c r="AL442" s="17">
        <f t="shared" si="30"/>
        <v>1</v>
      </c>
      <c r="AM442" s="17">
        <f>VLOOKUP(AK442,Sheet1!$A$2:$B$25,2,FALSE)</f>
        <v>1</v>
      </c>
    </row>
    <row r="443" spans="1:39" s="17" customFormat="1" x14ac:dyDescent="0.25">
      <c r="A443" s="21">
        <v>44596.520833333336</v>
      </c>
      <c r="B443" s="17">
        <v>780.55</v>
      </c>
      <c r="C443" s="17">
        <v>272.85000000000002</v>
      </c>
      <c r="D443" s="17">
        <v>260.56</v>
      </c>
      <c r="E443" s="17">
        <v>196.58</v>
      </c>
      <c r="F443" s="17">
        <v>191.85</v>
      </c>
      <c r="G443" s="17">
        <v>126.55</v>
      </c>
      <c r="H443" s="17">
        <v>79.040000000000006</v>
      </c>
      <c r="I443" s="17">
        <v>53.22</v>
      </c>
      <c r="J443" s="17">
        <v>61.57</v>
      </c>
      <c r="K443" s="17">
        <v>61.58</v>
      </c>
      <c r="L443" s="17">
        <v>47.29</v>
      </c>
      <c r="M443" s="17">
        <v>30.83</v>
      </c>
      <c r="N443" s="17">
        <v>21.79</v>
      </c>
      <c r="O443" s="17">
        <v>23.67</v>
      </c>
      <c r="P443" s="17">
        <v>19.329999999999998</v>
      </c>
      <c r="Q443" s="17">
        <v>11.72</v>
      </c>
      <c r="R443" s="17">
        <v>8.31</v>
      </c>
      <c r="S443" s="17">
        <v>16.36</v>
      </c>
      <c r="T443" s="17">
        <v>0</v>
      </c>
      <c r="U443" s="17">
        <v>6.9</v>
      </c>
      <c r="V443" s="17">
        <v>6.28</v>
      </c>
      <c r="W443" s="17">
        <v>4.54</v>
      </c>
      <c r="X443" s="17">
        <v>4.0599999999999996</v>
      </c>
      <c r="Y443" s="17">
        <v>7.99</v>
      </c>
      <c r="Z443" s="17">
        <v>7.93</v>
      </c>
      <c r="AA443" s="17">
        <v>4.3499999999999996</v>
      </c>
      <c r="AB443" s="17">
        <v>0</v>
      </c>
      <c r="AC443" s="17">
        <v>1.07</v>
      </c>
      <c r="AD443" s="17">
        <v>0</v>
      </c>
      <c r="AE443" s="17">
        <v>0</v>
      </c>
      <c r="AF443" s="17">
        <v>1.57</v>
      </c>
      <c r="AG443" s="17">
        <v>0</v>
      </c>
      <c r="AH443" s="17">
        <v>0</v>
      </c>
      <c r="AI443" s="17">
        <f t="shared" si="27"/>
        <v>5</v>
      </c>
      <c r="AJ443" s="17">
        <f t="shared" si="28"/>
        <v>4</v>
      </c>
      <c r="AK443" s="17">
        <f t="shared" si="29"/>
        <v>12</v>
      </c>
      <c r="AL443" s="17">
        <f t="shared" si="30"/>
        <v>1</v>
      </c>
      <c r="AM443" s="17">
        <f>VLOOKUP(AK443,Sheet1!$A$2:$B$25,2,FALSE)</f>
        <v>1</v>
      </c>
    </row>
    <row r="444" spans="1:39" s="17" customFormat="1" x14ac:dyDescent="0.25">
      <c r="A444" s="21">
        <v>44596.53125</v>
      </c>
      <c r="B444" s="17">
        <v>774.19</v>
      </c>
      <c r="C444" s="17">
        <v>272.43</v>
      </c>
      <c r="D444" s="17">
        <v>260.86</v>
      </c>
      <c r="E444" s="17">
        <v>195.19</v>
      </c>
      <c r="F444" s="17">
        <v>193.99</v>
      </c>
      <c r="G444" s="17">
        <v>125.74</v>
      </c>
      <c r="H444" s="17">
        <v>79.989999999999995</v>
      </c>
      <c r="I444" s="17">
        <v>53.52</v>
      </c>
      <c r="J444" s="17">
        <v>57.95</v>
      </c>
      <c r="K444" s="17">
        <v>61.04</v>
      </c>
      <c r="L444" s="17">
        <v>48.08</v>
      </c>
      <c r="M444" s="17">
        <v>32.1</v>
      </c>
      <c r="N444" s="17">
        <v>21.33</v>
      </c>
      <c r="O444" s="17">
        <v>20.71</v>
      </c>
      <c r="P444" s="17">
        <v>16.5</v>
      </c>
      <c r="Q444" s="17">
        <v>12.83</v>
      </c>
      <c r="R444" s="17">
        <v>8.19</v>
      </c>
      <c r="S444" s="17">
        <v>17.100000000000001</v>
      </c>
      <c r="T444" s="17">
        <v>0</v>
      </c>
      <c r="U444" s="17">
        <v>6.84</v>
      </c>
      <c r="V444" s="17">
        <v>4.8899999999999997</v>
      </c>
      <c r="W444" s="17">
        <v>4.8600000000000003</v>
      </c>
      <c r="X444" s="17">
        <v>2.25</v>
      </c>
      <c r="Y444" s="17">
        <v>7.95</v>
      </c>
      <c r="Z444" s="17">
        <v>7.79</v>
      </c>
      <c r="AA444" s="17">
        <v>5.18</v>
      </c>
      <c r="AB444" s="17">
        <v>0</v>
      </c>
      <c r="AC444" s="17">
        <v>0</v>
      </c>
      <c r="AD444" s="17">
        <v>0</v>
      </c>
      <c r="AE444" s="17">
        <v>0</v>
      </c>
      <c r="AF444" s="17">
        <v>1.56</v>
      </c>
      <c r="AG444" s="17">
        <v>0</v>
      </c>
      <c r="AH444" s="17">
        <v>0</v>
      </c>
      <c r="AI444" s="17">
        <f t="shared" si="27"/>
        <v>5</v>
      </c>
      <c r="AJ444" s="17">
        <f t="shared" si="28"/>
        <v>4</v>
      </c>
      <c r="AK444" s="17">
        <f t="shared" si="29"/>
        <v>12</v>
      </c>
      <c r="AL444" s="17">
        <f t="shared" si="30"/>
        <v>1</v>
      </c>
      <c r="AM444" s="17">
        <f>VLOOKUP(AK444,Sheet1!$A$2:$B$25,2,FALSE)</f>
        <v>1</v>
      </c>
    </row>
    <row r="445" spans="1:39" s="17" customFormat="1" x14ac:dyDescent="0.25">
      <c r="A445" s="21">
        <v>44596.541666666664</v>
      </c>
      <c r="B445" s="17">
        <v>785.37</v>
      </c>
      <c r="C445" s="17">
        <v>274.43</v>
      </c>
      <c r="D445" s="17">
        <v>256.52999999999997</v>
      </c>
      <c r="E445" s="17">
        <v>195.3</v>
      </c>
      <c r="F445" s="17">
        <v>191.1</v>
      </c>
      <c r="G445" s="17">
        <v>125.74</v>
      </c>
      <c r="H445" s="17">
        <v>83.49</v>
      </c>
      <c r="I445" s="17">
        <v>53.08</v>
      </c>
      <c r="J445" s="17">
        <v>58.68</v>
      </c>
      <c r="K445" s="17">
        <v>60.57</v>
      </c>
      <c r="L445" s="17">
        <v>47.71</v>
      </c>
      <c r="M445" s="17">
        <v>27.38</v>
      </c>
      <c r="N445" s="17">
        <v>21.26</v>
      </c>
      <c r="O445" s="17">
        <v>20.420000000000002</v>
      </c>
      <c r="P445" s="17">
        <v>19.27</v>
      </c>
      <c r="Q445" s="17">
        <v>12.36</v>
      </c>
      <c r="R445" s="17">
        <v>8.58</v>
      </c>
      <c r="S445" s="17">
        <v>19.22</v>
      </c>
      <c r="T445" s="17">
        <v>0</v>
      </c>
      <c r="U445" s="17">
        <v>6.82</v>
      </c>
      <c r="V445" s="17">
        <v>7.43</v>
      </c>
      <c r="W445" s="17">
        <v>4.75</v>
      </c>
      <c r="X445" s="17">
        <v>7.28</v>
      </c>
      <c r="Y445" s="17">
        <v>7.98</v>
      </c>
      <c r="Z445" s="17">
        <v>8.3000000000000007</v>
      </c>
      <c r="AA445" s="17">
        <v>4.87</v>
      </c>
      <c r="AB445" s="17">
        <v>0</v>
      </c>
      <c r="AC445" s="17">
        <v>1.23</v>
      </c>
      <c r="AD445" s="17">
        <v>0</v>
      </c>
      <c r="AE445" s="17">
        <v>0</v>
      </c>
      <c r="AF445" s="17">
        <v>1.59</v>
      </c>
      <c r="AG445" s="17">
        <v>0</v>
      </c>
      <c r="AH445" s="17">
        <v>0</v>
      </c>
      <c r="AI445" s="17">
        <f t="shared" si="27"/>
        <v>5</v>
      </c>
      <c r="AJ445" s="17">
        <f t="shared" si="28"/>
        <v>4</v>
      </c>
      <c r="AK445" s="17">
        <f t="shared" si="29"/>
        <v>13</v>
      </c>
      <c r="AL445" s="17">
        <f t="shared" si="30"/>
        <v>1</v>
      </c>
      <c r="AM445" s="17">
        <f>VLOOKUP(AK445,Sheet1!$A$2:$B$25,2,FALSE)</f>
        <v>1</v>
      </c>
    </row>
    <row r="446" spans="1:39" s="17" customFormat="1" x14ac:dyDescent="0.25">
      <c r="A446" s="21">
        <v>44596.552083333336</v>
      </c>
      <c r="B446" s="17">
        <v>774.91</v>
      </c>
      <c r="C446" s="17">
        <v>270.02</v>
      </c>
      <c r="D446" s="17">
        <v>259.14999999999998</v>
      </c>
      <c r="E446" s="17">
        <v>194.42</v>
      </c>
      <c r="F446" s="17">
        <v>189.38</v>
      </c>
      <c r="G446" s="17">
        <v>124.84</v>
      </c>
      <c r="H446" s="17">
        <v>81.430000000000007</v>
      </c>
      <c r="I446" s="17">
        <v>52.58</v>
      </c>
      <c r="J446" s="17">
        <v>58.49</v>
      </c>
      <c r="K446" s="17">
        <v>61.1</v>
      </c>
      <c r="L446" s="17">
        <v>47.22</v>
      </c>
      <c r="M446" s="17">
        <v>29.43</v>
      </c>
      <c r="N446" s="17">
        <v>21.6</v>
      </c>
      <c r="O446" s="17">
        <v>20.55</v>
      </c>
      <c r="P446" s="17">
        <v>17.14</v>
      </c>
      <c r="Q446" s="17">
        <v>12.69</v>
      </c>
      <c r="R446" s="17">
        <v>8.32</v>
      </c>
      <c r="S446" s="17">
        <v>9.51</v>
      </c>
      <c r="T446" s="17">
        <v>0</v>
      </c>
      <c r="U446" s="17">
        <v>6.8</v>
      </c>
      <c r="V446" s="17">
        <v>12.53</v>
      </c>
      <c r="W446" s="17">
        <v>4.67</v>
      </c>
      <c r="X446" s="17">
        <v>4.03</v>
      </c>
      <c r="Y446" s="17">
        <v>8.02</v>
      </c>
      <c r="Z446" s="17">
        <v>8.17</v>
      </c>
      <c r="AA446" s="17">
        <v>3.24</v>
      </c>
      <c r="AB446" s="17">
        <v>0</v>
      </c>
      <c r="AC446" s="17">
        <v>5.67</v>
      </c>
      <c r="AD446" s="17">
        <v>0</v>
      </c>
      <c r="AE446" s="17">
        <v>0</v>
      </c>
      <c r="AF446" s="17">
        <v>1.55</v>
      </c>
      <c r="AG446" s="17">
        <v>0</v>
      </c>
      <c r="AH446" s="17">
        <v>0</v>
      </c>
      <c r="AI446" s="17">
        <f t="shared" si="27"/>
        <v>5</v>
      </c>
      <c r="AJ446" s="17">
        <f t="shared" si="28"/>
        <v>4</v>
      </c>
      <c r="AK446" s="17">
        <f t="shared" si="29"/>
        <v>13</v>
      </c>
      <c r="AL446" s="17">
        <f t="shared" si="30"/>
        <v>1</v>
      </c>
      <c r="AM446" s="17">
        <f>VLOOKUP(AK446,Sheet1!$A$2:$B$25,2,FALSE)</f>
        <v>1</v>
      </c>
    </row>
    <row r="447" spans="1:39" s="17" customFormat="1" x14ac:dyDescent="0.25">
      <c r="A447" s="21">
        <v>44596.5625</v>
      </c>
      <c r="B447" s="17">
        <v>751.51</v>
      </c>
      <c r="C447" s="17">
        <v>269.69</v>
      </c>
      <c r="D447" s="17">
        <v>254.51</v>
      </c>
      <c r="E447" s="17">
        <v>194.28</v>
      </c>
      <c r="F447" s="17">
        <v>192.96</v>
      </c>
      <c r="G447" s="17">
        <v>125.27</v>
      </c>
      <c r="H447" s="17">
        <v>78.010000000000005</v>
      </c>
      <c r="I447" s="17">
        <v>53.19</v>
      </c>
      <c r="J447" s="17">
        <v>58.87</v>
      </c>
      <c r="K447" s="17">
        <v>61.26</v>
      </c>
      <c r="L447" s="17">
        <v>47.49</v>
      </c>
      <c r="M447" s="17">
        <v>26.11</v>
      </c>
      <c r="N447" s="17">
        <v>22.14</v>
      </c>
      <c r="O447" s="17">
        <v>26.44</v>
      </c>
      <c r="P447" s="17">
        <v>18.22</v>
      </c>
      <c r="Q447" s="17">
        <v>12.12</v>
      </c>
      <c r="R447" s="17">
        <v>8</v>
      </c>
      <c r="S447" s="17">
        <v>1.38</v>
      </c>
      <c r="T447" s="17">
        <v>0</v>
      </c>
      <c r="U447" s="17">
        <v>6.57</v>
      </c>
      <c r="V447" s="17">
        <v>6.98</v>
      </c>
      <c r="W447" s="17">
        <v>4.6100000000000003</v>
      </c>
      <c r="X447" s="17">
        <v>6.9</v>
      </c>
      <c r="Y447" s="17">
        <v>7.94</v>
      </c>
      <c r="Z447" s="17">
        <v>5.14</v>
      </c>
      <c r="AA447" s="17">
        <v>2.2999999999999998</v>
      </c>
      <c r="AB447" s="17">
        <v>0</v>
      </c>
      <c r="AC447" s="17">
        <v>0</v>
      </c>
      <c r="AD447" s="17">
        <v>0</v>
      </c>
      <c r="AE447" s="17">
        <v>0</v>
      </c>
      <c r="AF447" s="17">
        <v>1.61</v>
      </c>
      <c r="AG447" s="17">
        <v>0</v>
      </c>
      <c r="AH447" s="17">
        <v>0</v>
      </c>
      <c r="AI447" s="17">
        <f t="shared" si="27"/>
        <v>5</v>
      </c>
      <c r="AJ447" s="17">
        <f t="shared" si="28"/>
        <v>4</v>
      </c>
      <c r="AK447" s="17">
        <f t="shared" si="29"/>
        <v>13</v>
      </c>
      <c r="AL447" s="17">
        <f t="shared" si="30"/>
        <v>1</v>
      </c>
      <c r="AM447" s="17">
        <f>VLOOKUP(AK447,Sheet1!$A$2:$B$25,2,FALSE)</f>
        <v>1</v>
      </c>
    </row>
    <row r="448" spans="1:39" s="17" customFormat="1" x14ac:dyDescent="0.25">
      <c r="A448" s="21">
        <v>44596.572916666664</v>
      </c>
      <c r="B448" s="17">
        <v>492.39</v>
      </c>
      <c r="C448" s="17">
        <v>175.61</v>
      </c>
      <c r="D448" s="17">
        <v>138.6</v>
      </c>
      <c r="E448" s="17">
        <v>135.18</v>
      </c>
      <c r="F448" s="17">
        <v>113.75</v>
      </c>
      <c r="G448" s="17">
        <v>111.99</v>
      </c>
      <c r="H448" s="17">
        <v>38.130000000000003</v>
      </c>
      <c r="I448" s="17">
        <v>53.43</v>
      </c>
      <c r="J448" s="17">
        <v>31.65</v>
      </c>
      <c r="K448" s="17">
        <v>54.91</v>
      </c>
      <c r="L448" s="17">
        <v>35.83</v>
      </c>
      <c r="M448" s="17">
        <v>14.4</v>
      </c>
      <c r="N448" s="17">
        <v>6.78</v>
      </c>
      <c r="O448" s="17">
        <v>4.99</v>
      </c>
      <c r="P448" s="17">
        <v>4.34</v>
      </c>
      <c r="Q448" s="17">
        <v>7.24</v>
      </c>
      <c r="R448" s="17">
        <v>7.13</v>
      </c>
      <c r="S448" s="17">
        <v>0.95209999999999995</v>
      </c>
      <c r="T448" s="17">
        <v>0</v>
      </c>
      <c r="U448" s="17">
        <v>4.2300000000000004</v>
      </c>
      <c r="V448" s="17">
        <v>1.69</v>
      </c>
      <c r="W448" s="17">
        <v>3.11</v>
      </c>
      <c r="X448" s="17">
        <v>0</v>
      </c>
      <c r="Y448" s="17">
        <v>3.12</v>
      </c>
      <c r="Z448" s="17">
        <v>2.66</v>
      </c>
      <c r="AA448" s="17">
        <v>0</v>
      </c>
      <c r="AB448" s="17">
        <v>0</v>
      </c>
      <c r="AC448" s="17">
        <v>0</v>
      </c>
      <c r="AD448" s="17">
        <v>0</v>
      </c>
      <c r="AE448" s="17">
        <v>0</v>
      </c>
      <c r="AF448" s="17">
        <v>1.46</v>
      </c>
      <c r="AG448" s="17">
        <v>0</v>
      </c>
      <c r="AH448" s="17">
        <v>0</v>
      </c>
      <c r="AI448" s="17">
        <f t="shared" si="27"/>
        <v>5</v>
      </c>
      <c r="AJ448" s="17">
        <f t="shared" si="28"/>
        <v>4</v>
      </c>
      <c r="AK448" s="17">
        <f t="shared" si="29"/>
        <v>13</v>
      </c>
      <c r="AL448" s="17">
        <f t="shared" si="30"/>
        <v>1</v>
      </c>
      <c r="AM448" s="17">
        <f>VLOOKUP(AK448,Sheet1!$A$2:$B$25,2,FALSE)</f>
        <v>1</v>
      </c>
    </row>
    <row r="449" spans="1:39" s="17" customFormat="1" x14ac:dyDescent="0.25">
      <c r="A449" s="21">
        <v>44596.583333333336</v>
      </c>
      <c r="B449" s="17">
        <v>8.6199999999999992</v>
      </c>
      <c r="C449" s="17">
        <v>1.89</v>
      </c>
      <c r="D449" s="17">
        <v>4.3</v>
      </c>
      <c r="E449" s="17">
        <v>0</v>
      </c>
      <c r="F449" s="17">
        <v>0</v>
      </c>
      <c r="G449" s="17">
        <v>0</v>
      </c>
      <c r="H449" s="17">
        <v>2.52</v>
      </c>
      <c r="I449" s="17">
        <v>2.42</v>
      </c>
      <c r="J449" s="17">
        <v>2.4</v>
      </c>
      <c r="K449" s="17">
        <v>0</v>
      </c>
      <c r="L449" s="17">
        <v>0</v>
      </c>
      <c r="M449" s="17">
        <v>0</v>
      </c>
      <c r="N449" s="17">
        <v>0</v>
      </c>
      <c r="O449" s="17">
        <v>0</v>
      </c>
      <c r="P449" s="17">
        <v>0</v>
      </c>
      <c r="Q449" s="17">
        <v>0</v>
      </c>
      <c r="R449" s="17">
        <v>0.54630000000000001</v>
      </c>
      <c r="S449" s="17">
        <v>0</v>
      </c>
      <c r="T449" s="17">
        <v>0</v>
      </c>
      <c r="U449" s="17">
        <v>2.12</v>
      </c>
      <c r="V449" s="17">
        <v>0</v>
      </c>
      <c r="W449" s="17">
        <v>1.1499999999999999</v>
      </c>
      <c r="X449" s="17">
        <v>0</v>
      </c>
      <c r="Y449" s="17">
        <v>0</v>
      </c>
      <c r="Z449" s="17">
        <v>0</v>
      </c>
      <c r="AA449" s="17">
        <v>0</v>
      </c>
      <c r="AB449" s="17">
        <v>0</v>
      </c>
      <c r="AC449" s="17">
        <v>0</v>
      </c>
      <c r="AD449" s="17">
        <v>0</v>
      </c>
      <c r="AE449" s="17">
        <v>0</v>
      </c>
      <c r="AF449" s="17">
        <v>0</v>
      </c>
      <c r="AG449" s="17">
        <v>0</v>
      </c>
      <c r="AH449" s="17">
        <v>0</v>
      </c>
      <c r="AI449" s="17">
        <f t="shared" si="27"/>
        <v>5</v>
      </c>
      <c r="AJ449" s="17">
        <f t="shared" si="28"/>
        <v>4</v>
      </c>
      <c r="AK449" s="17">
        <f t="shared" si="29"/>
        <v>14</v>
      </c>
      <c r="AL449" s="17">
        <f t="shared" si="30"/>
        <v>1</v>
      </c>
      <c r="AM449" s="17">
        <f>VLOOKUP(AK449,Sheet1!$A$2:$B$25,2,FALSE)</f>
        <v>1</v>
      </c>
    </row>
    <row r="450" spans="1:39" s="17" customFormat="1" x14ac:dyDescent="0.25">
      <c r="A450" s="21">
        <v>44596.59375</v>
      </c>
      <c r="B450" s="17">
        <v>8.44</v>
      </c>
      <c r="C450" s="17">
        <v>4.1100000000000003</v>
      </c>
      <c r="D450" s="17">
        <v>4.33</v>
      </c>
      <c r="E450" s="17">
        <v>0</v>
      </c>
      <c r="F450" s="17">
        <v>0</v>
      </c>
      <c r="G450" s="17">
        <v>0</v>
      </c>
      <c r="H450" s="17">
        <v>2.4500000000000002</v>
      </c>
      <c r="I450" s="17">
        <v>0</v>
      </c>
      <c r="J450" s="17">
        <v>2.41</v>
      </c>
      <c r="K450" s="17">
        <v>0</v>
      </c>
      <c r="L450" s="17">
        <v>0</v>
      </c>
      <c r="M450" s="17">
        <v>0</v>
      </c>
      <c r="N450" s="17">
        <v>0</v>
      </c>
      <c r="O450" s="17">
        <v>0</v>
      </c>
      <c r="P450" s="17">
        <v>0</v>
      </c>
      <c r="Q450" s="17">
        <v>0</v>
      </c>
      <c r="R450" s="17">
        <v>0.41289999999999999</v>
      </c>
      <c r="S450" s="17">
        <v>0</v>
      </c>
      <c r="T450" s="17">
        <v>0</v>
      </c>
      <c r="U450" s="17">
        <v>2.14</v>
      </c>
      <c r="V450" s="17">
        <v>0</v>
      </c>
      <c r="W450" s="17">
        <v>1.1499999999999999</v>
      </c>
      <c r="X450" s="17">
        <v>0</v>
      </c>
      <c r="Y450" s="17">
        <v>0</v>
      </c>
      <c r="Z450" s="17">
        <v>0</v>
      </c>
      <c r="AA450" s="17">
        <v>0</v>
      </c>
      <c r="AB450" s="17">
        <v>0</v>
      </c>
      <c r="AC450" s="17">
        <v>0</v>
      </c>
      <c r="AD450" s="17">
        <v>0</v>
      </c>
      <c r="AE450" s="17">
        <v>0</v>
      </c>
      <c r="AF450" s="17">
        <v>0</v>
      </c>
      <c r="AG450" s="17">
        <v>0</v>
      </c>
      <c r="AH450" s="17">
        <v>0</v>
      </c>
      <c r="AI450" s="17">
        <f t="shared" si="27"/>
        <v>5</v>
      </c>
      <c r="AJ450" s="17">
        <f t="shared" si="28"/>
        <v>4</v>
      </c>
      <c r="AK450" s="17">
        <f t="shared" si="29"/>
        <v>14</v>
      </c>
      <c r="AL450" s="17">
        <f t="shared" si="30"/>
        <v>1</v>
      </c>
      <c r="AM450" s="17">
        <f>VLOOKUP(AK450,Sheet1!$A$2:$B$25,2,FALSE)</f>
        <v>1</v>
      </c>
    </row>
    <row r="451" spans="1:39" s="17" customFormat="1" x14ac:dyDescent="0.25">
      <c r="A451" s="21">
        <v>44596.604166666664</v>
      </c>
      <c r="B451" s="17">
        <v>5.53</v>
      </c>
      <c r="C451" s="17">
        <v>1.3</v>
      </c>
      <c r="D451" s="17">
        <v>4.24</v>
      </c>
      <c r="E451" s="17">
        <v>0</v>
      </c>
      <c r="F451" s="17">
        <v>0</v>
      </c>
      <c r="G451" s="17">
        <v>0</v>
      </c>
      <c r="H451" s="17">
        <v>2.38</v>
      </c>
      <c r="I451" s="17">
        <v>0</v>
      </c>
      <c r="J451" s="17">
        <v>2.35</v>
      </c>
      <c r="K451" s="17">
        <v>0</v>
      </c>
      <c r="L451" s="17">
        <v>0</v>
      </c>
      <c r="M451" s="17">
        <v>0</v>
      </c>
      <c r="N451" s="17">
        <v>0</v>
      </c>
      <c r="O451" s="17">
        <v>0</v>
      </c>
      <c r="P451" s="17">
        <v>0</v>
      </c>
      <c r="Q451" s="17">
        <v>0</v>
      </c>
      <c r="R451" s="17">
        <v>0.3</v>
      </c>
      <c r="S451" s="17">
        <v>0</v>
      </c>
      <c r="T451" s="17">
        <v>0</v>
      </c>
      <c r="U451" s="17">
        <v>2.16</v>
      </c>
      <c r="V451" s="17">
        <v>0</v>
      </c>
      <c r="W451" s="17">
        <v>1.17</v>
      </c>
      <c r="X451" s="17">
        <v>0</v>
      </c>
      <c r="Y451" s="17">
        <v>0</v>
      </c>
      <c r="Z451" s="17">
        <v>0</v>
      </c>
      <c r="AA451" s="17">
        <v>0</v>
      </c>
      <c r="AB451" s="17">
        <v>0</v>
      </c>
      <c r="AC451" s="17">
        <v>0</v>
      </c>
      <c r="AD451" s="17">
        <v>0</v>
      </c>
      <c r="AE451" s="17">
        <v>0</v>
      </c>
      <c r="AF451" s="17">
        <v>0</v>
      </c>
      <c r="AG451" s="17">
        <v>0</v>
      </c>
      <c r="AH451" s="17">
        <v>0</v>
      </c>
      <c r="AI451" s="17">
        <f t="shared" si="27"/>
        <v>5</v>
      </c>
      <c r="AJ451" s="17">
        <f t="shared" si="28"/>
        <v>4</v>
      </c>
      <c r="AK451" s="17">
        <f t="shared" si="29"/>
        <v>14</v>
      </c>
      <c r="AL451" s="17">
        <f t="shared" si="30"/>
        <v>1</v>
      </c>
      <c r="AM451" s="17">
        <f>VLOOKUP(AK451,Sheet1!$A$2:$B$25,2,FALSE)</f>
        <v>1</v>
      </c>
    </row>
    <row r="452" spans="1:39" s="17" customFormat="1" x14ac:dyDescent="0.25">
      <c r="A452" s="21">
        <v>44596.614583333336</v>
      </c>
      <c r="B452" s="17">
        <v>7.01</v>
      </c>
      <c r="C452" s="17">
        <v>2.41</v>
      </c>
      <c r="D452" s="17">
        <v>4.6100000000000003</v>
      </c>
      <c r="E452" s="17">
        <v>0</v>
      </c>
      <c r="F452" s="17">
        <v>0</v>
      </c>
      <c r="G452" s="17">
        <v>0</v>
      </c>
      <c r="H452" s="17">
        <v>2.4700000000000002</v>
      </c>
      <c r="I452" s="17">
        <v>0</v>
      </c>
      <c r="J452" s="17">
        <v>2.4500000000000002</v>
      </c>
      <c r="K452" s="17">
        <v>0</v>
      </c>
      <c r="L452" s="17">
        <v>0</v>
      </c>
      <c r="M452" s="17">
        <v>0</v>
      </c>
      <c r="N452" s="17">
        <v>0</v>
      </c>
      <c r="O452" s="17">
        <v>0</v>
      </c>
      <c r="P452" s="17">
        <v>0</v>
      </c>
      <c r="Q452" s="17">
        <v>0</v>
      </c>
      <c r="R452" s="17">
        <v>0.14530000000000001</v>
      </c>
      <c r="S452" s="17">
        <v>0</v>
      </c>
      <c r="T452" s="17">
        <v>0</v>
      </c>
      <c r="U452" s="17">
        <v>2.12</v>
      </c>
      <c r="V452" s="17">
        <v>0</v>
      </c>
      <c r="W452" s="17">
        <v>1.1499999999999999</v>
      </c>
      <c r="X452" s="17">
        <v>0</v>
      </c>
      <c r="Y452" s="17">
        <v>0</v>
      </c>
      <c r="Z452" s="17">
        <v>0</v>
      </c>
      <c r="AA452" s="17">
        <v>0</v>
      </c>
      <c r="AB452" s="17">
        <v>0</v>
      </c>
      <c r="AC452" s="17">
        <v>0</v>
      </c>
      <c r="AD452" s="17">
        <v>0</v>
      </c>
      <c r="AE452" s="17">
        <v>0</v>
      </c>
      <c r="AF452" s="17">
        <v>0</v>
      </c>
      <c r="AG452" s="17">
        <v>0</v>
      </c>
      <c r="AH452" s="17">
        <v>0</v>
      </c>
      <c r="AI452" s="17">
        <f t="shared" si="27"/>
        <v>5</v>
      </c>
      <c r="AJ452" s="17">
        <f t="shared" si="28"/>
        <v>4</v>
      </c>
      <c r="AK452" s="17">
        <f t="shared" si="29"/>
        <v>14</v>
      </c>
      <c r="AL452" s="17">
        <f t="shared" si="30"/>
        <v>1</v>
      </c>
      <c r="AM452" s="17">
        <f>VLOOKUP(AK452,Sheet1!$A$2:$B$25,2,FALSE)</f>
        <v>1</v>
      </c>
    </row>
    <row r="453" spans="1:39" s="17" customFormat="1" x14ac:dyDescent="0.25">
      <c r="A453" s="21">
        <v>44596.625</v>
      </c>
      <c r="B453" s="17">
        <v>5.6</v>
      </c>
      <c r="C453" s="17">
        <v>1.35</v>
      </c>
      <c r="D453" s="17">
        <v>4.25</v>
      </c>
      <c r="E453" s="17">
        <v>0</v>
      </c>
      <c r="F453" s="17">
        <v>0</v>
      </c>
      <c r="G453" s="17">
        <v>0</v>
      </c>
      <c r="H453" s="17">
        <v>2.48</v>
      </c>
      <c r="I453" s="17">
        <v>0</v>
      </c>
      <c r="J453" s="17">
        <v>2.4300000000000002</v>
      </c>
      <c r="K453" s="17">
        <v>0</v>
      </c>
      <c r="L453" s="17">
        <v>0</v>
      </c>
      <c r="M453" s="17">
        <v>0</v>
      </c>
      <c r="N453" s="17">
        <v>0</v>
      </c>
      <c r="O453" s="17">
        <v>0</v>
      </c>
      <c r="P453" s="17">
        <v>0</v>
      </c>
      <c r="Q453" s="17">
        <v>0</v>
      </c>
      <c r="R453" s="17">
        <v>0.2913</v>
      </c>
      <c r="S453" s="17">
        <v>0</v>
      </c>
      <c r="T453" s="17">
        <v>0</v>
      </c>
      <c r="U453" s="17">
        <v>2.14</v>
      </c>
      <c r="V453" s="17">
        <v>0</v>
      </c>
      <c r="W453" s="17">
        <v>1.17</v>
      </c>
      <c r="X453" s="17">
        <v>0</v>
      </c>
      <c r="Y453" s="17">
        <v>0</v>
      </c>
      <c r="Z453" s="17">
        <v>0</v>
      </c>
      <c r="AA453" s="17">
        <v>0</v>
      </c>
      <c r="AB453" s="17">
        <v>0</v>
      </c>
      <c r="AC453" s="17">
        <v>0</v>
      </c>
      <c r="AD453" s="17">
        <v>0</v>
      </c>
      <c r="AE453" s="17">
        <v>0</v>
      </c>
      <c r="AF453" s="17">
        <v>0</v>
      </c>
      <c r="AG453" s="17">
        <v>0</v>
      </c>
      <c r="AH453" s="17">
        <v>0</v>
      </c>
      <c r="AI453" s="17">
        <f t="shared" si="27"/>
        <v>5</v>
      </c>
      <c r="AJ453" s="17">
        <f t="shared" si="28"/>
        <v>4</v>
      </c>
      <c r="AK453" s="17">
        <f t="shared" si="29"/>
        <v>15</v>
      </c>
      <c r="AL453" s="17">
        <f t="shared" si="30"/>
        <v>1</v>
      </c>
      <c r="AM453" s="17">
        <f>VLOOKUP(AK453,Sheet1!$A$2:$B$25,2,FALSE)</f>
        <v>1</v>
      </c>
    </row>
    <row r="454" spans="1:39" s="17" customFormat="1" x14ac:dyDescent="0.25">
      <c r="A454" s="21">
        <v>44596.635416666664</v>
      </c>
      <c r="B454" s="17">
        <v>5.91</v>
      </c>
      <c r="C454" s="17">
        <v>1.69</v>
      </c>
      <c r="D454" s="17">
        <v>4.21</v>
      </c>
      <c r="E454" s="17">
        <v>0</v>
      </c>
      <c r="F454" s="17">
        <v>0</v>
      </c>
      <c r="G454" s="17">
        <v>0</v>
      </c>
      <c r="H454" s="17">
        <v>2.34</v>
      </c>
      <c r="I454" s="17">
        <v>0</v>
      </c>
      <c r="J454" s="17">
        <v>2.35</v>
      </c>
      <c r="K454" s="17">
        <v>0</v>
      </c>
      <c r="L454" s="17">
        <v>0</v>
      </c>
      <c r="M454" s="17">
        <v>0</v>
      </c>
      <c r="N454" s="17">
        <v>0</v>
      </c>
      <c r="O454" s="17">
        <v>0</v>
      </c>
      <c r="P454" s="17">
        <v>0</v>
      </c>
      <c r="Q454" s="17">
        <v>0</v>
      </c>
      <c r="R454" s="17">
        <v>0.29049999999999998</v>
      </c>
      <c r="S454" s="17">
        <v>0</v>
      </c>
      <c r="T454" s="17">
        <v>0</v>
      </c>
      <c r="U454" s="17">
        <v>2.16</v>
      </c>
      <c r="V454" s="17">
        <v>0</v>
      </c>
      <c r="W454" s="17">
        <v>1.18</v>
      </c>
      <c r="X454" s="17">
        <v>0</v>
      </c>
      <c r="Y454" s="17">
        <v>0</v>
      </c>
      <c r="Z454" s="17">
        <v>0</v>
      </c>
      <c r="AA454" s="17">
        <v>0</v>
      </c>
      <c r="AB454" s="17">
        <v>0</v>
      </c>
      <c r="AC454" s="17">
        <v>0</v>
      </c>
      <c r="AD454" s="17">
        <v>0</v>
      </c>
      <c r="AE454" s="17">
        <v>0</v>
      </c>
      <c r="AF454" s="17">
        <v>0</v>
      </c>
      <c r="AG454" s="17">
        <v>0</v>
      </c>
      <c r="AH454" s="17">
        <v>0</v>
      </c>
      <c r="AI454" s="17">
        <f t="shared" si="27"/>
        <v>5</v>
      </c>
      <c r="AJ454" s="17">
        <f t="shared" si="28"/>
        <v>4</v>
      </c>
      <c r="AK454" s="17">
        <f t="shared" si="29"/>
        <v>15</v>
      </c>
      <c r="AL454" s="17">
        <f t="shared" si="30"/>
        <v>1</v>
      </c>
      <c r="AM454" s="17">
        <f>VLOOKUP(AK454,Sheet1!$A$2:$B$25,2,FALSE)</f>
        <v>1</v>
      </c>
    </row>
    <row r="455" spans="1:39" s="17" customFormat="1" x14ac:dyDescent="0.25">
      <c r="A455" s="21">
        <v>44596.645833333336</v>
      </c>
      <c r="B455" s="17">
        <v>5.88</v>
      </c>
      <c r="C455" s="17">
        <v>1.62</v>
      </c>
      <c r="D455" s="17">
        <v>4.26</v>
      </c>
      <c r="E455" s="17">
        <v>0</v>
      </c>
      <c r="F455" s="17">
        <v>0</v>
      </c>
      <c r="G455" s="17">
        <v>0</v>
      </c>
      <c r="H455" s="17">
        <v>2.4300000000000002</v>
      </c>
      <c r="I455" s="17">
        <v>0</v>
      </c>
      <c r="J455" s="17">
        <v>2.4</v>
      </c>
      <c r="K455" s="17">
        <v>0</v>
      </c>
      <c r="L455" s="17">
        <v>0</v>
      </c>
      <c r="M455" s="17">
        <v>0</v>
      </c>
      <c r="N455" s="17">
        <v>0</v>
      </c>
      <c r="O455" s="17">
        <v>0</v>
      </c>
      <c r="P455" s="17">
        <v>0</v>
      </c>
      <c r="Q455" s="17">
        <v>0</v>
      </c>
      <c r="R455" s="17">
        <v>0.33950000000000002</v>
      </c>
      <c r="S455" s="17">
        <v>0</v>
      </c>
      <c r="T455" s="17">
        <v>0</v>
      </c>
      <c r="U455" s="17">
        <v>2.16</v>
      </c>
      <c r="V455" s="17">
        <v>0</v>
      </c>
      <c r="W455" s="17">
        <v>1.19</v>
      </c>
      <c r="X455" s="17">
        <v>0</v>
      </c>
      <c r="Y455" s="17">
        <v>0</v>
      </c>
      <c r="Z455" s="17">
        <v>0</v>
      </c>
      <c r="AA455" s="17">
        <v>0</v>
      </c>
      <c r="AB455" s="17">
        <v>0</v>
      </c>
      <c r="AC455" s="17">
        <v>0</v>
      </c>
      <c r="AD455" s="17">
        <v>0</v>
      </c>
      <c r="AE455" s="17">
        <v>0</v>
      </c>
      <c r="AF455" s="17">
        <v>0</v>
      </c>
      <c r="AG455" s="17">
        <v>0</v>
      </c>
      <c r="AH455" s="17">
        <v>0</v>
      </c>
      <c r="AI455" s="17">
        <f t="shared" si="27"/>
        <v>5</v>
      </c>
      <c r="AJ455" s="17">
        <f t="shared" si="28"/>
        <v>4</v>
      </c>
      <c r="AK455" s="17">
        <f t="shared" si="29"/>
        <v>15</v>
      </c>
      <c r="AL455" s="17">
        <f t="shared" si="30"/>
        <v>1</v>
      </c>
      <c r="AM455" s="17">
        <f>VLOOKUP(AK455,Sheet1!$A$2:$B$25,2,FALSE)</f>
        <v>1</v>
      </c>
    </row>
    <row r="456" spans="1:39" s="17" customFormat="1" x14ac:dyDescent="0.25">
      <c r="A456" s="21">
        <v>44596.65625</v>
      </c>
      <c r="B456" s="17">
        <v>8.0399999999999991</v>
      </c>
      <c r="C456" s="17">
        <v>1.62</v>
      </c>
      <c r="D456" s="17">
        <v>4.51</v>
      </c>
      <c r="E456" s="17">
        <v>0</v>
      </c>
      <c r="F456" s="17">
        <v>0</v>
      </c>
      <c r="G456" s="17">
        <v>0</v>
      </c>
      <c r="H456" s="17">
        <v>2.33</v>
      </c>
      <c r="I456" s="17">
        <v>0</v>
      </c>
      <c r="J456" s="17">
        <v>2.4</v>
      </c>
      <c r="K456" s="17">
        <v>0</v>
      </c>
      <c r="L456" s="17">
        <v>0</v>
      </c>
      <c r="M456" s="17">
        <v>0</v>
      </c>
      <c r="N456" s="17">
        <v>0</v>
      </c>
      <c r="O456" s="17">
        <v>0</v>
      </c>
      <c r="P456" s="17">
        <v>0</v>
      </c>
      <c r="Q456" s="17">
        <v>0</v>
      </c>
      <c r="R456" s="17">
        <v>0.43890000000000001</v>
      </c>
      <c r="S456" s="17">
        <v>0</v>
      </c>
      <c r="T456" s="17">
        <v>0</v>
      </c>
      <c r="U456" s="17">
        <v>2.15</v>
      </c>
      <c r="V456" s="17">
        <v>0</v>
      </c>
      <c r="W456" s="17">
        <v>1.18</v>
      </c>
      <c r="X456" s="17">
        <v>0</v>
      </c>
      <c r="Y456" s="17">
        <v>0</v>
      </c>
      <c r="Z456" s="17">
        <v>0</v>
      </c>
      <c r="AA456" s="17">
        <v>0</v>
      </c>
      <c r="AB456" s="17">
        <v>0</v>
      </c>
      <c r="AC456" s="17">
        <v>1.91</v>
      </c>
      <c r="AD456" s="17">
        <v>0</v>
      </c>
      <c r="AE456" s="17">
        <v>0</v>
      </c>
      <c r="AF456" s="17">
        <v>0</v>
      </c>
      <c r="AG456" s="17">
        <v>0</v>
      </c>
      <c r="AH456" s="17">
        <v>0</v>
      </c>
      <c r="AI456" s="17">
        <f t="shared" si="27"/>
        <v>5</v>
      </c>
      <c r="AJ456" s="17">
        <f t="shared" si="28"/>
        <v>4</v>
      </c>
      <c r="AK456" s="17">
        <f t="shared" si="29"/>
        <v>15</v>
      </c>
      <c r="AL456" s="17">
        <f t="shared" si="30"/>
        <v>1</v>
      </c>
      <c r="AM456" s="17">
        <f>VLOOKUP(AK456,Sheet1!$A$2:$B$25,2,FALSE)</f>
        <v>1</v>
      </c>
    </row>
    <row r="457" spans="1:39" s="17" customFormat="1" x14ac:dyDescent="0.25">
      <c r="A457" s="21">
        <v>44596.666666666664</v>
      </c>
      <c r="B457" s="17">
        <v>8.8800000000000008</v>
      </c>
      <c r="C457" s="17">
        <v>1.06</v>
      </c>
      <c r="D457" s="17">
        <v>4.3600000000000003</v>
      </c>
      <c r="E457" s="17">
        <v>0</v>
      </c>
      <c r="F457" s="17">
        <v>0</v>
      </c>
      <c r="G457" s="17">
        <v>0</v>
      </c>
      <c r="H457" s="17">
        <v>2.2999999999999998</v>
      </c>
      <c r="I457" s="17">
        <v>0</v>
      </c>
      <c r="J457" s="17">
        <v>2.3199999999999998</v>
      </c>
      <c r="K457" s="17">
        <v>0</v>
      </c>
      <c r="L457" s="17">
        <v>0</v>
      </c>
      <c r="M457" s="17">
        <v>0</v>
      </c>
      <c r="N457" s="17">
        <v>0</v>
      </c>
      <c r="O457" s="17">
        <v>0</v>
      </c>
      <c r="P457" s="17">
        <v>0</v>
      </c>
      <c r="Q457" s="17">
        <v>0</v>
      </c>
      <c r="R457" s="17">
        <v>0.23369999999999999</v>
      </c>
      <c r="S457" s="17">
        <v>0</v>
      </c>
      <c r="T457" s="17">
        <v>0</v>
      </c>
      <c r="U457" s="17">
        <v>2.12</v>
      </c>
      <c r="V457" s="17">
        <v>0</v>
      </c>
      <c r="W457" s="17">
        <v>1.1499999999999999</v>
      </c>
      <c r="X457" s="17">
        <v>0</v>
      </c>
      <c r="Y457" s="17">
        <v>0</v>
      </c>
      <c r="Z457" s="17">
        <v>0</v>
      </c>
      <c r="AA457" s="17">
        <v>0</v>
      </c>
      <c r="AB457" s="17">
        <v>0</v>
      </c>
      <c r="AC457" s="17">
        <v>3.46</v>
      </c>
      <c r="AD457" s="17">
        <v>0</v>
      </c>
      <c r="AE457" s="17">
        <v>0</v>
      </c>
      <c r="AF457" s="17">
        <v>0</v>
      </c>
      <c r="AG457" s="17">
        <v>0</v>
      </c>
      <c r="AH457" s="17">
        <v>0</v>
      </c>
      <c r="AI457" s="17">
        <f t="shared" ref="AI457:AI521" si="31">WEEKDAY(A457,2)</f>
        <v>5</v>
      </c>
      <c r="AJ457" s="17">
        <f t="shared" ref="AJ457:AJ521" si="32">DAY(A457)</f>
        <v>4</v>
      </c>
      <c r="AK457" s="17">
        <f t="shared" ref="AK457:AK521" si="33">HOUR(A457)</f>
        <v>16</v>
      </c>
      <c r="AL457" s="17">
        <f t="shared" ref="AL457:AL521" si="34">IF(AI457&gt;=6,0,1)</f>
        <v>1</v>
      </c>
      <c r="AM457" s="17">
        <f>VLOOKUP(AK457,Sheet1!$A$2:$B$25,2,FALSE)</f>
        <v>0</v>
      </c>
    </row>
    <row r="458" spans="1:39" s="17" customFormat="1" x14ac:dyDescent="0.25">
      <c r="A458" s="21">
        <v>44596.677083333336</v>
      </c>
      <c r="B458" s="17">
        <v>6.6</v>
      </c>
      <c r="C458" s="17">
        <v>1.55</v>
      </c>
      <c r="D458" s="17">
        <v>4.2</v>
      </c>
      <c r="E458" s="17">
        <v>0</v>
      </c>
      <c r="F458" s="17">
        <v>0</v>
      </c>
      <c r="G458" s="17">
        <v>0</v>
      </c>
      <c r="H458" s="17">
        <v>2.19</v>
      </c>
      <c r="I458" s="17">
        <v>0</v>
      </c>
      <c r="J458" s="17">
        <v>2.19</v>
      </c>
      <c r="K458" s="17">
        <v>0</v>
      </c>
      <c r="L458" s="17">
        <v>0</v>
      </c>
      <c r="M458" s="17">
        <v>0</v>
      </c>
      <c r="N458" s="17">
        <v>0</v>
      </c>
      <c r="O458" s="17">
        <v>0</v>
      </c>
      <c r="P458" s="17">
        <v>0</v>
      </c>
      <c r="Q458" s="17">
        <v>0</v>
      </c>
      <c r="R458" s="17">
        <v>0.14530000000000001</v>
      </c>
      <c r="S458" s="17">
        <v>0</v>
      </c>
      <c r="T458" s="17">
        <v>0</v>
      </c>
      <c r="U458" s="17">
        <v>2.12</v>
      </c>
      <c r="V458" s="17">
        <v>0</v>
      </c>
      <c r="W458" s="17">
        <v>1.1399999999999999</v>
      </c>
      <c r="X458" s="17">
        <v>0</v>
      </c>
      <c r="Y458" s="17">
        <v>0</v>
      </c>
      <c r="Z458" s="17">
        <v>0</v>
      </c>
      <c r="AA458" s="17">
        <v>0</v>
      </c>
      <c r="AB458" s="17">
        <v>0</v>
      </c>
      <c r="AC458" s="17">
        <v>0.85019999999999996</v>
      </c>
      <c r="AD458" s="17">
        <v>0</v>
      </c>
      <c r="AE458" s="17">
        <v>0</v>
      </c>
      <c r="AF458" s="17">
        <v>0</v>
      </c>
      <c r="AG458" s="17">
        <v>0</v>
      </c>
      <c r="AH458" s="17">
        <v>0</v>
      </c>
      <c r="AI458" s="17">
        <f t="shared" si="31"/>
        <v>5</v>
      </c>
      <c r="AJ458" s="17">
        <f t="shared" si="32"/>
        <v>4</v>
      </c>
      <c r="AK458" s="17">
        <f t="shared" si="33"/>
        <v>16</v>
      </c>
      <c r="AL458" s="17">
        <f t="shared" si="34"/>
        <v>1</v>
      </c>
      <c r="AM458" s="17">
        <f>VLOOKUP(AK458,Sheet1!$A$2:$B$25,2,FALSE)</f>
        <v>0</v>
      </c>
    </row>
    <row r="459" spans="1:39" s="17" customFormat="1" x14ac:dyDescent="0.25">
      <c r="A459" s="21">
        <v>44596.6875</v>
      </c>
      <c r="B459" s="17">
        <v>6.94</v>
      </c>
      <c r="C459" s="17">
        <v>2.64</v>
      </c>
      <c r="D459" s="17">
        <v>4.3</v>
      </c>
      <c r="E459" s="17">
        <v>0</v>
      </c>
      <c r="F459" s="17">
        <v>0</v>
      </c>
      <c r="G459" s="17">
        <v>0</v>
      </c>
      <c r="H459" s="17">
        <v>2.2200000000000002</v>
      </c>
      <c r="I459" s="17">
        <v>0</v>
      </c>
      <c r="J459" s="17">
        <v>2.27</v>
      </c>
      <c r="K459" s="17">
        <v>0</v>
      </c>
      <c r="L459" s="17">
        <v>0</v>
      </c>
      <c r="M459" s="17">
        <v>0</v>
      </c>
      <c r="N459" s="17">
        <v>0</v>
      </c>
      <c r="O459" s="17">
        <v>0</v>
      </c>
      <c r="P459" s="17">
        <v>0</v>
      </c>
      <c r="Q459" s="17">
        <v>0</v>
      </c>
      <c r="R459" s="17">
        <v>0.30080000000000001</v>
      </c>
      <c r="S459" s="17">
        <v>0</v>
      </c>
      <c r="T459" s="17">
        <v>0</v>
      </c>
      <c r="U459" s="17">
        <v>2.14</v>
      </c>
      <c r="V459" s="17">
        <v>0</v>
      </c>
      <c r="W459" s="17">
        <v>1.1599999999999999</v>
      </c>
      <c r="X459" s="17">
        <v>0</v>
      </c>
      <c r="Y459" s="17">
        <v>0</v>
      </c>
      <c r="Z459" s="17">
        <v>0</v>
      </c>
      <c r="AA459" s="17">
        <v>0</v>
      </c>
      <c r="AB459" s="17">
        <v>0</v>
      </c>
      <c r="AC459" s="17">
        <v>0</v>
      </c>
      <c r="AD459" s="17">
        <v>0</v>
      </c>
      <c r="AE459" s="17">
        <v>0</v>
      </c>
      <c r="AF459" s="17">
        <v>0</v>
      </c>
      <c r="AG459" s="17">
        <v>0</v>
      </c>
      <c r="AH459" s="17">
        <v>0</v>
      </c>
      <c r="AI459" s="17">
        <f t="shared" si="31"/>
        <v>5</v>
      </c>
      <c r="AJ459" s="17">
        <f t="shared" si="32"/>
        <v>4</v>
      </c>
      <c r="AK459" s="17">
        <f t="shared" si="33"/>
        <v>16</v>
      </c>
      <c r="AL459" s="17">
        <f t="shared" si="34"/>
        <v>1</v>
      </c>
      <c r="AM459" s="17">
        <f>VLOOKUP(AK459,Sheet1!$A$2:$B$25,2,FALSE)</f>
        <v>0</v>
      </c>
    </row>
    <row r="460" spans="1:39" s="17" customFormat="1" x14ac:dyDescent="0.25">
      <c r="A460" s="21">
        <v>44596.697916666664</v>
      </c>
      <c r="B460" s="17">
        <v>5.33</v>
      </c>
      <c r="C460" s="17">
        <v>1.05</v>
      </c>
      <c r="D460" s="17">
        <v>4.28</v>
      </c>
      <c r="E460" s="17">
        <v>0</v>
      </c>
      <c r="F460" s="17">
        <v>0</v>
      </c>
      <c r="G460" s="17">
        <v>0</v>
      </c>
      <c r="H460" s="17">
        <v>2.29</v>
      </c>
      <c r="I460" s="17">
        <v>0</v>
      </c>
      <c r="J460" s="17">
        <v>2.25</v>
      </c>
      <c r="K460" s="17">
        <v>0</v>
      </c>
      <c r="L460" s="17">
        <v>0</v>
      </c>
      <c r="M460" s="17">
        <v>0</v>
      </c>
      <c r="N460" s="17">
        <v>0</v>
      </c>
      <c r="O460" s="17">
        <v>0</v>
      </c>
      <c r="P460" s="17">
        <v>0</v>
      </c>
      <c r="Q460" s="17">
        <v>0</v>
      </c>
      <c r="R460" s="17">
        <v>0.2495</v>
      </c>
      <c r="S460" s="17">
        <v>0</v>
      </c>
      <c r="T460" s="17">
        <v>0</v>
      </c>
      <c r="U460" s="17">
        <v>2.16</v>
      </c>
      <c r="V460" s="17">
        <v>0</v>
      </c>
      <c r="W460" s="17">
        <v>1.18</v>
      </c>
      <c r="X460" s="17">
        <v>0</v>
      </c>
      <c r="Y460" s="17">
        <v>0</v>
      </c>
      <c r="Z460" s="17">
        <v>0</v>
      </c>
      <c r="AA460" s="17">
        <v>0</v>
      </c>
      <c r="AB460" s="17">
        <v>0</v>
      </c>
      <c r="AC460" s="17">
        <v>0</v>
      </c>
      <c r="AD460" s="17">
        <v>0</v>
      </c>
      <c r="AE460" s="17">
        <v>0</v>
      </c>
      <c r="AF460" s="17">
        <v>0</v>
      </c>
      <c r="AG460" s="17">
        <v>0</v>
      </c>
      <c r="AH460" s="17">
        <v>0</v>
      </c>
      <c r="AI460" s="17">
        <f t="shared" si="31"/>
        <v>5</v>
      </c>
      <c r="AJ460" s="17">
        <f t="shared" si="32"/>
        <v>4</v>
      </c>
      <c r="AK460" s="17">
        <f t="shared" si="33"/>
        <v>16</v>
      </c>
      <c r="AL460" s="17">
        <f t="shared" si="34"/>
        <v>1</v>
      </c>
      <c r="AM460" s="17">
        <f>VLOOKUP(AK460,Sheet1!$A$2:$B$25,2,FALSE)</f>
        <v>0</v>
      </c>
    </row>
    <row r="461" spans="1:39" s="17" customFormat="1" x14ac:dyDescent="0.25">
      <c r="A461" s="21">
        <v>44596.708333333336</v>
      </c>
      <c r="B461" s="17">
        <v>6.72</v>
      </c>
      <c r="C461" s="17">
        <v>2.39</v>
      </c>
      <c r="D461" s="17">
        <v>4.33</v>
      </c>
      <c r="E461" s="17">
        <v>0</v>
      </c>
      <c r="F461" s="17">
        <v>0</v>
      </c>
      <c r="G461" s="17">
        <v>0</v>
      </c>
      <c r="H461" s="17">
        <v>2.2799999999999998</v>
      </c>
      <c r="I461" s="17">
        <v>0</v>
      </c>
      <c r="J461" s="17">
        <v>2.34</v>
      </c>
      <c r="K461" s="17">
        <v>0</v>
      </c>
      <c r="L461" s="17">
        <v>0</v>
      </c>
      <c r="M461" s="17">
        <v>0</v>
      </c>
      <c r="N461" s="17">
        <v>0</v>
      </c>
      <c r="O461" s="17">
        <v>0</v>
      </c>
      <c r="P461" s="17">
        <v>0</v>
      </c>
      <c r="Q461" s="17">
        <v>0</v>
      </c>
      <c r="R461" s="17">
        <v>0.25819999999999999</v>
      </c>
      <c r="S461" s="17">
        <v>0</v>
      </c>
      <c r="T461" s="17">
        <v>0</v>
      </c>
      <c r="U461" s="17">
        <v>2.17</v>
      </c>
      <c r="V461" s="17">
        <v>0</v>
      </c>
      <c r="W461" s="17">
        <v>1.18</v>
      </c>
      <c r="X461" s="17">
        <v>0</v>
      </c>
      <c r="Y461" s="17">
        <v>0</v>
      </c>
      <c r="Z461" s="17">
        <v>0</v>
      </c>
      <c r="AA461" s="17">
        <v>0</v>
      </c>
      <c r="AB461" s="17">
        <v>0</v>
      </c>
      <c r="AC461" s="17">
        <v>0</v>
      </c>
      <c r="AD461" s="17">
        <v>0</v>
      </c>
      <c r="AE461" s="17">
        <v>0</v>
      </c>
      <c r="AF461" s="17">
        <v>0</v>
      </c>
      <c r="AG461" s="17">
        <v>0</v>
      </c>
      <c r="AH461" s="17">
        <v>0</v>
      </c>
      <c r="AI461" s="17">
        <f t="shared" si="31"/>
        <v>5</v>
      </c>
      <c r="AJ461" s="17">
        <f t="shared" si="32"/>
        <v>4</v>
      </c>
      <c r="AK461" s="17">
        <f t="shared" si="33"/>
        <v>17</v>
      </c>
      <c r="AL461" s="17">
        <f t="shared" si="34"/>
        <v>1</v>
      </c>
      <c r="AM461" s="17">
        <f>VLOOKUP(AK461,Sheet1!$A$2:$B$25,2,FALSE)</f>
        <v>0</v>
      </c>
    </row>
    <row r="462" spans="1:39" s="17" customFormat="1" x14ac:dyDescent="0.25">
      <c r="A462" s="21">
        <v>44596.71875</v>
      </c>
      <c r="B462" s="17">
        <v>6.95</v>
      </c>
      <c r="C462" s="17">
        <v>2.4700000000000002</v>
      </c>
      <c r="D462" s="17">
        <v>4.4800000000000004</v>
      </c>
      <c r="E462" s="17">
        <v>0</v>
      </c>
      <c r="F462" s="17">
        <v>0</v>
      </c>
      <c r="G462" s="17">
        <v>0</v>
      </c>
      <c r="H462" s="17">
        <v>2.44</v>
      </c>
      <c r="I462" s="17">
        <v>0</v>
      </c>
      <c r="J462" s="17">
        <v>2.4500000000000002</v>
      </c>
      <c r="K462" s="17">
        <v>0</v>
      </c>
      <c r="L462" s="17">
        <v>0</v>
      </c>
      <c r="M462" s="17">
        <v>0</v>
      </c>
      <c r="N462" s="17">
        <v>0</v>
      </c>
      <c r="O462" s="17">
        <v>0</v>
      </c>
      <c r="P462" s="17">
        <v>0</v>
      </c>
      <c r="Q462" s="17">
        <v>0</v>
      </c>
      <c r="R462" s="17">
        <v>0.40029999999999999</v>
      </c>
      <c r="S462" s="17">
        <v>0</v>
      </c>
      <c r="T462" s="17">
        <v>0</v>
      </c>
      <c r="U462" s="17">
        <v>2.17</v>
      </c>
      <c r="V462" s="17">
        <v>0</v>
      </c>
      <c r="W462" s="17">
        <v>1.19</v>
      </c>
      <c r="X462" s="17">
        <v>0</v>
      </c>
      <c r="Y462" s="17">
        <v>0</v>
      </c>
      <c r="Z462" s="17">
        <v>0</v>
      </c>
      <c r="AA462" s="17">
        <v>0</v>
      </c>
      <c r="AB462" s="17">
        <v>0</v>
      </c>
      <c r="AC462" s="17">
        <v>0</v>
      </c>
      <c r="AD462" s="17">
        <v>0</v>
      </c>
      <c r="AE462" s="17">
        <v>0</v>
      </c>
      <c r="AF462" s="17">
        <v>0</v>
      </c>
      <c r="AG462" s="17">
        <v>0.14599999999999999</v>
      </c>
      <c r="AH462" s="17">
        <v>0</v>
      </c>
      <c r="AI462" s="17">
        <f t="shared" si="31"/>
        <v>5</v>
      </c>
      <c r="AJ462" s="17">
        <f t="shared" si="32"/>
        <v>4</v>
      </c>
      <c r="AK462" s="17">
        <f t="shared" si="33"/>
        <v>17</v>
      </c>
      <c r="AL462" s="17">
        <f t="shared" si="34"/>
        <v>1</v>
      </c>
      <c r="AM462" s="17">
        <f>VLOOKUP(AK462,Sheet1!$A$2:$B$25,2,FALSE)</f>
        <v>0</v>
      </c>
    </row>
    <row r="463" spans="1:39" s="17" customFormat="1" x14ac:dyDescent="0.25">
      <c r="A463" s="21">
        <v>44596.729166666664</v>
      </c>
      <c r="B463" s="17">
        <v>6.21</v>
      </c>
      <c r="C463" s="17">
        <v>1.91</v>
      </c>
      <c r="D463" s="17">
        <v>4.3</v>
      </c>
      <c r="E463" s="17">
        <v>0</v>
      </c>
      <c r="F463" s="17">
        <v>0</v>
      </c>
      <c r="G463" s="17">
        <v>0</v>
      </c>
      <c r="H463" s="17">
        <v>2.46</v>
      </c>
      <c r="I463" s="17">
        <v>0</v>
      </c>
      <c r="J463" s="17">
        <v>2.37</v>
      </c>
      <c r="K463" s="17">
        <v>0</v>
      </c>
      <c r="L463" s="17">
        <v>0</v>
      </c>
      <c r="M463" s="17">
        <v>0</v>
      </c>
      <c r="N463" s="17">
        <v>0</v>
      </c>
      <c r="O463" s="17">
        <v>0</v>
      </c>
      <c r="P463" s="17">
        <v>0</v>
      </c>
      <c r="Q463" s="17">
        <v>0</v>
      </c>
      <c r="R463" s="17">
        <v>0.57550000000000001</v>
      </c>
      <c r="S463" s="17">
        <v>0</v>
      </c>
      <c r="T463" s="17">
        <v>0</v>
      </c>
      <c r="U463" s="17">
        <v>2.16</v>
      </c>
      <c r="V463" s="17">
        <v>0</v>
      </c>
      <c r="W463" s="17">
        <v>1.18</v>
      </c>
      <c r="X463" s="17">
        <v>0</v>
      </c>
      <c r="Y463" s="17">
        <v>0</v>
      </c>
      <c r="Z463" s="17">
        <v>0</v>
      </c>
      <c r="AA463" s="17">
        <v>0</v>
      </c>
      <c r="AB463" s="17">
        <v>0</v>
      </c>
      <c r="AC463" s="17">
        <v>0</v>
      </c>
      <c r="AD463" s="17">
        <v>0</v>
      </c>
      <c r="AE463" s="17">
        <v>0</v>
      </c>
      <c r="AF463" s="17">
        <v>0</v>
      </c>
      <c r="AG463" s="17">
        <v>0</v>
      </c>
      <c r="AH463" s="17">
        <v>0</v>
      </c>
      <c r="AI463" s="17">
        <f t="shared" si="31"/>
        <v>5</v>
      </c>
      <c r="AJ463" s="17">
        <f t="shared" si="32"/>
        <v>4</v>
      </c>
      <c r="AK463" s="17">
        <f t="shared" si="33"/>
        <v>17</v>
      </c>
      <c r="AL463" s="17">
        <f t="shared" si="34"/>
        <v>1</v>
      </c>
      <c r="AM463" s="17">
        <f>VLOOKUP(AK463,Sheet1!$A$2:$B$25,2,FALSE)</f>
        <v>0</v>
      </c>
    </row>
    <row r="464" spans="1:39" s="17" customFormat="1" x14ac:dyDescent="0.25">
      <c r="A464" s="21">
        <v>44596.739583333336</v>
      </c>
      <c r="B464" s="17">
        <v>4.9800000000000004</v>
      </c>
      <c r="C464" s="17">
        <v>0.55579999999999996</v>
      </c>
      <c r="D464" s="17">
        <v>4.42</v>
      </c>
      <c r="E464" s="17">
        <v>0</v>
      </c>
      <c r="F464" s="17">
        <v>0</v>
      </c>
      <c r="G464" s="17">
        <v>0</v>
      </c>
      <c r="H464" s="17">
        <v>2.5499999999999998</v>
      </c>
      <c r="I464" s="17">
        <v>0</v>
      </c>
      <c r="J464" s="17">
        <v>2.48</v>
      </c>
      <c r="K464" s="17">
        <v>0</v>
      </c>
      <c r="L464" s="17">
        <v>0</v>
      </c>
      <c r="M464" s="17">
        <v>0</v>
      </c>
      <c r="N464" s="17">
        <v>0</v>
      </c>
      <c r="O464" s="17">
        <v>0</v>
      </c>
      <c r="P464" s="17">
        <v>0</v>
      </c>
      <c r="Q464" s="17">
        <v>0</v>
      </c>
      <c r="R464" s="17">
        <v>0.29370000000000002</v>
      </c>
      <c r="S464" s="17">
        <v>0</v>
      </c>
      <c r="T464" s="17">
        <v>0</v>
      </c>
      <c r="U464" s="17">
        <v>2.19</v>
      </c>
      <c r="V464" s="17">
        <v>0</v>
      </c>
      <c r="W464" s="17">
        <v>1.22</v>
      </c>
      <c r="X464" s="17">
        <v>0</v>
      </c>
      <c r="Y464" s="17">
        <v>0</v>
      </c>
      <c r="Z464" s="17">
        <v>0</v>
      </c>
      <c r="AA464" s="17">
        <v>0</v>
      </c>
      <c r="AB464" s="17">
        <v>0</v>
      </c>
      <c r="AC464" s="17">
        <v>0</v>
      </c>
      <c r="AD464" s="17">
        <v>0</v>
      </c>
      <c r="AE464" s="17">
        <v>0</v>
      </c>
      <c r="AF464" s="17">
        <v>0</v>
      </c>
      <c r="AG464" s="17">
        <v>0</v>
      </c>
      <c r="AH464" s="17">
        <v>0</v>
      </c>
      <c r="AI464" s="17">
        <f t="shared" si="31"/>
        <v>5</v>
      </c>
      <c r="AJ464" s="17">
        <f t="shared" si="32"/>
        <v>4</v>
      </c>
      <c r="AK464" s="17">
        <f t="shared" si="33"/>
        <v>17</v>
      </c>
      <c r="AL464" s="17">
        <f t="shared" si="34"/>
        <v>1</v>
      </c>
      <c r="AM464" s="17">
        <f>VLOOKUP(AK464,Sheet1!$A$2:$B$25,2,FALSE)</f>
        <v>0</v>
      </c>
    </row>
    <row r="465" spans="1:39" s="17" customFormat="1" x14ac:dyDescent="0.25">
      <c r="A465" s="21">
        <v>44596.75</v>
      </c>
      <c r="B465" s="17">
        <v>6.25</v>
      </c>
      <c r="C465" s="17">
        <v>1.73</v>
      </c>
      <c r="D465" s="17">
        <v>4.51</v>
      </c>
      <c r="E465" s="17">
        <v>0</v>
      </c>
      <c r="F465" s="17">
        <v>0</v>
      </c>
      <c r="G465" s="17">
        <v>0</v>
      </c>
      <c r="H465" s="17">
        <v>2.5299999999999998</v>
      </c>
      <c r="I465" s="17">
        <v>0</v>
      </c>
      <c r="J465" s="17">
        <v>2.46</v>
      </c>
      <c r="K465" s="17">
        <v>0</v>
      </c>
      <c r="L465" s="17">
        <v>0</v>
      </c>
      <c r="M465" s="17">
        <v>0</v>
      </c>
      <c r="N465" s="17">
        <v>0</v>
      </c>
      <c r="O465" s="17">
        <v>0</v>
      </c>
      <c r="P465" s="17">
        <v>0</v>
      </c>
      <c r="Q465" s="17">
        <v>0</v>
      </c>
      <c r="R465" s="17">
        <v>0.3387</v>
      </c>
      <c r="S465" s="17">
        <v>0</v>
      </c>
      <c r="T465" s="17">
        <v>0</v>
      </c>
      <c r="U465" s="17">
        <v>2.21</v>
      </c>
      <c r="V465" s="17">
        <v>0</v>
      </c>
      <c r="W465" s="17">
        <v>1.23</v>
      </c>
      <c r="X465" s="17">
        <v>0</v>
      </c>
      <c r="Y465" s="17">
        <v>0</v>
      </c>
      <c r="Z465" s="17">
        <v>0</v>
      </c>
      <c r="AA465" s="17">
        <v>0</v>
      </c>
      <c r="AB465" s="17">
        <v>0</v>
      </c>
      <c r="AC465" s="17">
        <v>0</v>
      </c>
      <c r="AD465" s="17">
        <v>0</v>
      </c>
      <c r="AE465" s="17">
        <v>0</v>
      </c>
      <c r="AF465" s="17">
        <v>0</v>
      </c>
      <c r="AG465" s="17">
        <v>0</v>
      </c>
      <c r="AH465" s="17">
        <v>0</v>
      </c>
      <c r="AI465" s="17">
        <f t="shared" si="31"/>
        <v>5</v>
      </c>
      <c r="AJ465" s="17">
        <f t="shared" si="32"/>
        <v>4</v>
      </c>
      <c r="AK465" s="17">
        <f t="shared" si="33"/>
        <v>18</v>
      </c>
      <c r="AL465" s="17">
        <f t="shared" si="34"/>
        <v>1</v>
      </c>
      <c r="AM465" s="17">
        <f>VLOOKUP(AK465,Sheet1!$A$2:$B$25,2,FALSE)</f>
        <v>0</v>
      </c>
    </row>
    <row r="466" spans="1:39" s="17" customFormat="1" x14ac:dyDescent="0.25">
      <c r="A466" s="21">
        <v>44596.760416666664</v>
      </c>
      <c r="B466" s="17">
        <v>7.75</v>
      </c>
      <c r="C466" s="17">
        <v>3.31</v>
      </c>
      <c r="D466" s="17">
        <v>4.4400000000000004</v>
      </c>
      <c r="E466" s="17">
        <v>0</v>
      </c>
      <c r="F466" s="17">
        <v>0</v>
      </c>
      <c r="G466" s="17">
        <v>0</v>
      </c>
      <c r="H466" s="17">
        <v>2.54</v>
      </c>
      <c r="I466" s="17">
        <v>0</v>
      </c>
      <c r="J466" s="17">
        <v>2.5</v>
      </c>
      <c r="K466" s="17">
        <v>0</v>
      </c>
      <c r="L466" s="17">
        <v>0</v>
      </c>
      <c r="M466" s="17">
        <v>0</v>
      </c>
      <c r="N466" s="17">
        <v>0</v>
      </c>
      <c r="O466" s="17">
        <v>0</v>
      </c>
      <c r="P466" s="17">
        <v>0</v>
      </c>
      <c r="Q466" s="17">
        <v>0</v>
      </c>
      <c r="R466" s="17">
        <v>0.43890000000000001</v>
      </c>
      <c r="S466" s="17">
        <v>0</v>
      </c>
      <c r="T466" s="17">
        <v>0</v>
      </c>
      <c r="U466" s="17">
        <v>2.21</v>
      </c>
      <c r="V466" s="17">
        <v>0</v>
      </c>
      <c r="W466" s="17">
        <v>1.23</v>
      </c>
      <c r="X466" s="17">
        <v>0</v>
      </c>
      <c r="Y466" s="17">
        <v>0</v>
      </c>
      <c r="Z466" s="17">
        <v>0</v>
      </c>
      <c r="AA466" s="17">
        <v>0</v>
      </c>
      <c r="AB466" s="17">
        <v>0</v>
      </c>
      <c r="AC466" s="17">
        <v>0</v>
      </c>
      <c r="AD466" s="17">
        <v>0</v>
      </c>
      <c r="AE466" s="17">
        <v>0</v>
      </c>
      <c r="AF466" s="17">
        <v>0</v>
      </c>
      <c r="AG466" s="17">
        <v>0</v>
      </c>
      <c r="AH466" s="17">
        <v>0</v>
      </c>
      <c r="AI466" s="17">
        <f t="shared" si="31"/>
        <v>5</v>
      </c>
      <c r="AJ466" s="17">
        <f t="shared" si="32"/>
        <v>4</v>
      </c>
      <c r="AK466" s="17">
        <f t="shared" si="33"/>
        <v>18</v>
      </c>
      <c r="AL466" s="17">
        <f t="shared" si="34"/>
        <v>1</v>
      </c>
      <c r="AM466" s="17">
        <f>VLOOKUP(AK466,Sheet1!$A$2:$B$25,2,FALSE)</f>
        <v>0</v>
      </c>
    </row>
    <row r="467" spans="1:39" s="17" customFormat="1" x14ac:dyDescent="0.25">
      <c r="A467" s="21">
        <v>44596.770833333336</v>
      </c>
      <c r="B467" s="17">
        <v>8.02</v>
      </c>
      <c r="C467" s="17">
        <v>3.57</v>
      </c>
      <c r="D467" s="17">
        <v>4.45</v>
      </c>
      <c r="E467" s="17">
        <v>0</v>
      </c>
      <c r="F467" s="17">
        <v>0</v>
      </c>
      <c r="G467" s="17">
        <v>0</v>
      </c>
      <c r="H467" s="17">
        <v>2.4300000000000002</v>
      </c>
      <c r="I467" s="17">
        <v>0</v>
      </c>
      <c r="J467" s="17">
        <v>2.46</v>
      </c>
      <c r="K467" s="17">
        <v>0</v>
      </c>
      <c r="L467" s="17">
        <v>0</v>
      </c>
      <c r="M467" s="17">
        <v>0</v>
      </c>
      <c r="N467" s="17">
        <v>0</v>
      </c>
      <c r="O467" s="17">
        <v>0</v>
      </c>
      <c r="P467" s="17">
        <v>0</v>
      </c>
      <c r="Q467" s="17">
        <v>0</v>
      </c>
      <c r="R467" s="17">
        <v>0.50290000000000001</v>
      </c>
      <c r="S467" s="17">
        <v>0</v>
      </c>
      <c r="T467" s="17">
        <v>0</v>
      </c>
      <c r="U467" s="17">
        <v>2.21</v>
      </c>
      <c r="V467" s="17">
        <v>0</v>
      </c>
      <c r="W467" s="17">
        <v>1.24</v>
      </c>
      <c r="X467" s="17">
        <v>0</v>
      </c>
      <c r="Y467" s="17">
        <v>0</v>
      </c>
      <c r="Z467" s="17">
        <v>0</v>
      </c>
      <c r="AA467" s="17">
        <v>0</v>
      </c>
      <c r="AB467" s="17">
        <v>0</v>
      </c>
      <c r="AC467" s="17">
        <v>0</v>
      </c>
      <c r="AD467" s="17">
        <v>0</v>
      </c>
      <c r="AE467" s="17">
        <v>0</v>
      </c>
      <c r="AF467" s="17">
        <v>0</v>
      </c>
      <c r="AG467" s="17">
        <v>0</v>
      </c>
      <c r="AH467" s="17">
        <v>0</v>
      </c>
      <c r="AI467" s="17">
        <f t="shared" si="31"/>
        <v>5</v>
      </c>
      <c r="AJ467" s="17">
        <f t="shared" si="32"/>
        <v>4</v>
      </c>
      <c r="AK467" s="17">
        <f t="shared" si="33"/>
        <v>18</v>
      </c>
      <c r="AL467" s="17">
        <f t="shared" si="34"/>
        <v>1</v>
      </c>
      <c r="AM467" s="17">
        <f>VLOOKUP(AK467,Sheet1!$A$2:$B$25,2,FALSE)</f>
        <v>0</v>
      </c>
    </row>
    <row r="468" spans="1:39" s="17" customFormat="1" x14ac:dyDescent="0.25">
      <c r="A468" s="21">
        <v>44596.78125</v>
      </c>
      <c r="B468" s="17">
        <v>6.14</v>
      </c>
      <c r="C468" s="17">
        <v>1.68</v>
      </c>
      <c r="D468" s="17">
        <v>4.46</v>
      </c>
      <c r="E468" s="17">
        <v>0</v>
      </c>
      <c r="F468" s="17">
        <v>0</v>
      </c>
      <c r="G468" s="17">
        <v>0</v>
      </c>
      <c r="H468" s="17">
        <v>2.4300000000000002</v>
      </c>
      <c r="I468" s="17">
        <v>0</v>
      </c>
      <c r="J468" s="17">
        <v>2.44</v>
      </c>
      <c r="K468" s="17">
        <v>0</v>
      </c>
      <c r="L468" s="17">
        <v>0</v>
      </c>
      <c r="M468" s="17">
        <v>0</v>
      </c>
      <c r="N468" s="17">
        <v>0</v>
      </c>
      <c r="O468" s="17">
        <v>0</v>
      </c>
      <c r="P468" s="17">
        <v>0</v>
      </c>
      <c r="Q468" s="17">
        <v>0</v>
      </c>
      <c r="R468" s="17">
        <v>0.43419999999999997</v>
      </c>
      <c r="S468" s="17">
        <v>0</v>
      </c>
      <c r="T468" s="17">
        <v>0</v>
      </c>
      <c r="U468" s="17">
        <v>2.2200000000000002</v>
      </c>
      <c r="V468" s="17">
        <v>0</v>
      </c>
      <c r="W468" s="17">
        <v>1.24</v>
      </c>
      <c r="X468" s="17">
        <v>0</v>
      </c>
      <c r="Y468" s="17">
        <v>0</v>
      </c>
      <c r="Z468" s="17">
        <v>0</v>
      </c>
      <c r="AA468" s="17">
        <v>0</v>
      </c>
      <c r="AB468" s="17">
        <v>0</v>
      </c>
      <c r="AC468" s="17">
        <v>0</v>
      </c>
      <c r="AD468" s="17">
        <v>0</v>
      </c>
      <c r="AE468" s="17">
        <v>0</v>
      </c>
      <c r="AF468" s="17">
        <v>0</v>
      </c>
      <c r="AG468" s="17">
        <v>0</v>
      </c>
      <c r="AH468" s="17">
        <v>0</v>
      </c>
      <c r="AI468" s="17">
        <f t="shared" si="31"/>
        <v>5</v>
      </c>
      <c r="AJ468" s="17">
        <f t="shared" si="32"/>
        <v>4</v>
      </c>
      <c r="AK468" s="17">
        <f t="shared" si="33"/>
        <v>18</v>
      </c>
      <c r="AL468" s="17">
        <f t="shared" si="34"/>
        <v>1</v>
      </c>
      <c r="AM468" s="17">
        <f>VLOOKUP(AK468,Sheet1!$A$2:$B$25,2,FALSE)</f>
        <v>0</v>
      </c>
    </row>
    <row r="469" spans="1:39" s="17" customFormat="1" x14ac:dyDescent="0.25">
      <c r="A469" s="21">
        <v>44596.791666666664</v>
      </c>
      <c r="B469" s="17">
        <v>5.57</v>
      </c>
      <c r="C469" s="17">
        <v>1.3</v>
      </c>
      <c r="D469" s="17">
        <v>4.2699999999999996</v>
      </c>
      <c r="E469" s="17">
        <v>0</v>
      </c>
      <c r="F469" s="17">
        <v>0</v>
      </c>
      <c r="G469" s="17">
        <v>0</v>
      </c>
      <c r="H469" s="17">
        <v>2.35</v>
      </c>
      <c r="I469" s="17">
        <v>0</v>
      </c>
      <c r="J469" s="17">
        <v>2.34</v>
      </c>
      <c r="K469" s="17">
        <v>0</v>
      </c>
      <c r="L469" s="17">
        <v>0</v>
      </c>
      <c r="M469" s="17">
        <v>0</v>
      </c>
      <c r="N469" s="17">
        <v>0</v>
      </c>
      <c r="O469" s="17">
        <v>0</v>
      </c>
      <c r="P469" s="17">
        <v>0</v>
      </c>
      <c r="Q469" s="17">
        <v>0</v>
      </c>
      <c r="R469" s="17">
        <v>0.3987</v>
      </c>
      <c r="S469" s="17">
        <v>0</v>
      </c>
      <c r="T469" s="17">
        <v>0</v>
      </c>
      <c r="U469" s="17">
        <v>2.0699999999999998</v>
      </c>
      <c r="V469" s="17">
        <v>0</v>
      </c>
      <c r="W469" s="17">
        <v>1.1299999999999999</v>
      </c>
      <c r="X469" s="17">
        <v>0</v>
      </c>
      <c r="Y469" s="17">
        <v>0</v>
      </c>
      <c r="Z469" s="17">
        <v>0</v>
      </c>
      <c r="AA469" s="17">
        <v>0</v>
      </c>
      <c r="AB469" s="17">
        <v>0</v>
      </c>
      <c r="AC469" s="17">
        <v>0</v>
      </c>
      <c r="AD469" s="17">
        <v>0</v>
      </c>
      <c r="AE469" s="17">
        <v>0</v>
      </c>
      <c r="AF469" s="17">
        <v>0</v>
      </c>
      <c r="AG469" s="17">
        <v>0</v>
      </c>
      <c r="AH469" s="17">
        <v>0</v>
      </c>
      <c r="AI469" s="17">
        <f t="shared" si="31"/>
        <v>5</v>
      </c>
      <c r="AJ469" s="17">
        <f t="shared" si="32"/>
        <v>4</v>
      </c>
      <c r="AK469" s="17">
        <f t="shared" si="33"/>
        <v>19</v>
      </c>
      <c r="AL469" s="17">
        <f t="shared" si="34"/>
        <v>1</v>
      </c>
      <c r="AM469" s="17">
        <f>VLOOKUP(AK469,Sheet1!$A$2:$B$25,2,FALSE)</f>
        <v>0</v>
      </c>
    </row>
    <row r="470" spans="1:39" s="17" customFormat="1" x14ac:dyDescent="0.25">
      <c r="A470" s="21">
        <v>44596.802083333336</v>
      </c>
      <c r="B470" s="17">
        <v>6.78</v>
      </c>
      <c r="C470" s="17">
        <v>2.2799999999999998</v>
      </c>
      <c r="D470" s="17">
        <v>4.49</v>
      </c>
      <c r="E470" s="17">
        <v>0</v>
      </c>
      <c r="F470" s="17">
        <v>0</v>
      </c>
      <c r="G470" s="17">
        <v>0</v>
      </c>
      <c r="H470" s="17">
        <v>2.2599999999999998</v>
      </c>
      <c r="I470" s="17">
        <v>0</v>
      </c>
      <c r="J470" s="17">
        <v>2.29</v>
      </c>
      <c r="K470" s="17">
        <v>0</v>
      </c>
      <c r="L470" s="17">
        <v>0</v>
      </c>
      <c r="M470" s="17">
        <v>0</v>
      </c>
      <c r="N470" s="17">
        <v>0</v>
      </c>
      <c r="O470" s="17">
        <v>0</v>
      </c>
      <c r="P470" s="17">
        <v>0</v>
      </c>
      <c r="Q470" s="17">
        <v>0</v>
      </c>
      <c r="R470" s="17">
        <v>0.33710000000000001</v>
      </c>
      <c r="S470" s="17">
        <v>0</v>
      </c>
      <c r="T470" s="17">
        <v>0</v>
      </c>
      <c r="U470" s="17">
        <v>2.08</v>
      </c>
      <c r="V470" s="17">
        <v>0</v>
      </c>
      <c r="W470" s="17">
        <v>1.1399999999999999</v>
      </c>
      <c r="X470" s="17">
        <v>0</v>
      </c>
      <c r="Y470" s="17">
        <v>0</v>
      </c>
      <c r="Z470" s="17">
        <v>0</v>
      </c>
      <c r="AA470" s="17">
        <v>0</v>
      </c>
      <c r="AB470" s="17">
        <v>0</v>
      </c>
      <c r="AC470" s="17">
        <v>0</v>
      </c>
      <c r="AD470" s="17">
        <v>0</v>
      </c>
      <c r="AE470" s="17">
        <v>0</v>
      </c>
      <c r="AF470" s="17">
        <v>0</v>
      </c>
      <c r="AG470" s="17">
        <v>0</v>
      </c>
      <c r="AH470" s="17">
        <v>0</v>
      </c>
      <c r="AI470" s="17">
        <f t="shared" si="31"/>
        <v>5</v>
      </c>
      <c r="AJ470" s="17">
        <f t="shared" si="32"/>
        <v>4</v>
      </c>
      <c r="AK470" s="17">
        <f t="shared" si="33"/>
        <v>19</v>
      </c>
      <c r="AL470" s="17">
        <f t="shared" si="34"/>
        <v>1</v>
      </c>
      <c r="AM470" s="17">
        <f>VLOOKUP(AK470,Sheet1!$A$2:$B$25,2,FALSE)</f>
        <v>0</v>
      </c>
    </row>
    <row r="471" spans="1:39" s="17" customFormat="1" x14ac:dyDescent="0.25">
      <c r="A471" s="21">
        <v>44596.8125</v>
      </c>
      <c r="B471" s="17">
        <v>5.52</v>
      </c>
      <c r="C471" s="17">
        <v>1.33</v>
      </c>
      <c r="D471" s="17">
        <v>4.1900000000000004</v>
      </c>
      <c r="E471" s="17">
        <v>0</v>
      </c>
      <c r="F471" s="17">
        <v>0</v>
      </c>
      <c r="G471" s="17">
        <v>0</v>
      </c>
      <c r="H471" s="17">
        <v>2.1800000000000002</v>
      </c>
      <c r="I471" s="17">
        <v>0</v>
      </c>
      <c r="J471" s="17">
        <v>2.35</v>
      </c>
      <c r="K471" s="17">
        <v>0</v>
      </c>
      <c r="L471" s="17">
        <v>0</v>
      </c>
      <c r="M471" s="17">
        <v>0</v>
      </c>
      <c r="N471" s="17">
        <v>0</v>
      </c>
      <c r="O471" s="17">
        <v>0</v>
      </c>
      <c r="P471" s="17">
        <v>0</v>
      </c>
      <c r="Q471" s="17">
        <v>0</v>
      </c>
      <c r="R471" s="17">
        <v>0.44450000000000001</v>
      </c>
      <c r="S471" s="17">
        <v>0</v>
      </c>
      <c r="T471" s="17">
        <v>0</v>
      </c>
      <c r="U471" s="17">
        <v>2.08</v>
      </c>
      <c r="V471" s="17">
        <v>0</v>
      </c>
      <c r="W471" s="17">
        <v>1.1399999999999999</v>
      </c>
      <c r="X471" s="17">
        <v>0</v>
      </c>
      <c r="Y471" s="17">
        <v>0</v>
      </c>
      <c r="Z471" s="17">
        <v>0</v>
      </c>
      <c r="AA471" s="17">
        <v>0</v>
      </c>
      <c r="AB471" s="17">
        <v>0</v>
      </c>
      <c r="AC471" s="17">
        <v>0</v>
      </c>
      <c r="AD471" s="17">
        <v>0</v>
      </c>
      <c r="AE471" s="17">
        <v>0</v>
      </c>
      <c r="AF471" s="17">
        <v>0</v>
      </c>
      <c r="AG471" s="17">
        <v>0</v>
      </c>
      <c r="AH471" s="17">
        <v>0</v>
      </c>
      <c r="AI471" s="17">
        <f t="shared" si="31"/>
        <v>5</v>
      </c>
      <c r="AJ471" s="17">
        <f t="shared" si="32"/>
        <v>4</v>
      </c>
      <c r="AK471" s="17">
        <f t="shared" si="33"/>
        <v>19</v>
      </c>
      <c r="AL471" s="17">
        <f t="shared" si="34"/>
        <v>1</v>
      </c>
      <c r="AM471" s="17">
        <f>VLOOKUP(AK471,Sheet1!$A$2:$B$25,2,FALSE)</f>
        <v>0</v>
      </c>
    </row>
    <row r="472" spans="1:39" s="17" customFormat="1" x14ac:dyDescent="0.25">
      <c r="A472" s="21">
        <v>44596.822916666664</v>
      </c>
      <c r="B472" s="17">
        <v>5.66</v>
      </c>
      <c r="C472" s="17">
        <v>1.28</v>
      </c>
      <c r="D472" s="17">
        <v>4.38</v>
      </c>
      <c r="E472" s="17">
        <v>0</v>
      </c>
      <c r="F472" s="17">
        <v>0</v>
      </c>
      <c r="G472" s="17">
        <v>0</v>
      </c>
      <c r="H472" s="17">
        <v>2.21</v>
      </c>
      <c r="I472" s="17">
        <v>0</v>
      </c>
      <c r="J472" s="17">
        <v>2.2799999999999998</v>
      </c>
      <c r="K472" s="17">
        <v>0</v>
      </c>
      <c r="L472" s="17">
        <v>0</v>
      </c>
      <c r="M472" s="17">
        <v>0</v>
      </c>
      <c r="N472" s="17">
        <v>0</v>
      </c>
      <c r="O472" s="17">
        <v>0</v>
      </c>
      <c r="P472" s="17">
        <v>0</v>
      </c>
      <c r="Q472" s="17">
        <v>0</v>
      </c>
      <c r="R472" s="17">
        <v>0.24709999999999999</v>
      </c>
      <c r="S472" s="17">
        <v>0</v>
      </c>
      <c r="T472" s="17">
        <v>0</v>
      </c>
      <c r="U472" s="17">
        <v>2.08</v>
      </c>
      <c r="V472" s="17">
        <v>0</v>
      </c>
      <c r="W472" s="17">
        <v>1.1399999999999999</v>
      </c>
      <c r="X472" s="17">
        <v>0</v>
      </c>
      <c r="Y472" s="17">
        <v>0</v>
      </c>
      <c r="Z472" s="17">
        <v>0</v>
      </c>
      <c r="AA472" s="17">
        <v>0</v>
      </c>
      <c r="AB472" s="17">
        <v>0</v>
      </c>
      <c r="AC472" s="17">
        <v>0</v>
      </c>
      <c r="AD472" s="17">
        <v>0</v>
      </c>
      <c r="AE472" s="17">
        <v>0</v>
      </c>
      <c r="AF472" s="17">
        <v>0</v>
      </c>
      <c r="AG472" s="17">
        <v>0</v>
      </c>
      <c r="AH472" s="17">
        <v>0</v>
      </c>
      <c r="AI472" s="17">
        <f t="shared" si="31"/>
        <v>5</v>
      </c>
      <c r="AJ472" s="17">
        <f t="shared" si="32"/>
        <v>4</v>
      </c>
      <c r="AK472" s="17">
        <f t="shared" si="33"/>
        <v>19</v>
      </c>
      <c r="AL472" s="17">
        <f t="shared" si="34"/>
        <v>1</v>
      </c>
      <c r="AM472" s="17">
        <f>VLOOKUP(AK472,Sheet1!$A$2:$B$25,2,FALSE)</f>
        <v>0</v>
      </c>
    </row>
    <row r="473" spans="1:39" s="17" customFormat="1" x14ac:dyDescent="0.25">
      <c r="A473" s="21">
        <v>44596.833333333336</v>
      </c>
      <c r="B473" s="17">
        <v>6.83</v>
      </c>
      <c r="C473" s="17">
        <v>2.56</v>
      </c>
      <c r="D473" s="17">
        <v>4.2699999999999996</v>
      </c>
      <c r="E473" s="17">
        <v>0</v>
      </c>
      <c r="F473" s="17">
        <v>0</v>
      </c>
      <c r="G473" s="17">
        <v>0</v>
      </c>
      <c r="H473" s="17">
        <v>2.2599999999999998</v>
      </c>
      <c r="I473" s="17">
        <v>0</v>
      </c>
      <c r="J473" s="17">
        <v>2.25</v>
      </c>
      <c r="K473" s="17">
        <v>0</v>
      </c>
      <c r="L473" s="17">
        <v>0</v>
      </c>
      <c r="M473" s="17">
        <v>0</v>
      </c>
      <c r="N473" s="17">
        <v>0</v>
      </c>
      <c r="O473" s="17">
        <v>0</v>
      </c>
      <c r="P473" s="17">
        <v>0</v>
      </c>
      <c r="Q473" s="17">
        <v>0</v>
      </c>
      <c r="R473" s="17">
        <v>0.67730000000000001</v>
      </c>
      <c r="S473" s="17">
        <v>0</v>
      </c>
      <c r="T473" s="17">
        <v>0</v>
      </c>
      <c r="U473" s="17">
        <v>2.1</v>
      </c>
      <c r="V473" s="17">
        <v>0</v>
      </c>
      <c r="W473" s="17">
        <v>1.1599999999999999</v>
      </c>
      <c r="X473" s="17">
        <v>0</v>
      </c>
      <c r="Y473" s="17">
        <v>0</v>
      </c>
      <c r="Z473" s="17">
        <v>0</v>
      </c>
      <c r="AA473" s="17">
        <v>0</v>
      </c>
      <c r="AB473" s="17">
        <v>0</v>
      </c>
      <c r="AC473" s="17">
        <v>0</v>
      </c>
      <c r="AD473" s="17">
        <v>0</v>
      </c>
      <c r="AE473" s="17">
        <v>0</v>
      </c>
      <c r="AF473" s="17">
        <v>0</v>
      </c>
      <c r="AG473" s="17">
        <v>0</v>
      </c>
      <c r="AH473" s="17">
        <v>0</v>
      </c>
      <c r="AI473" s="17">
        <f t="shared" si="31"/>
        <v>5</v>
      </c>
      <c r="AJ473" s="17">
        <f t="shared" si="32"/>
        <v>4</v>
      </c>
      <c r="AK473" s="17">
        <f t="shared" si="33"/>
        <v>20</v>
      </c>
      <c r="AL473" s="17">
        <f t="shared" si="34"/>
        <v>1</v>
      </c>
      <c r="AM473" s="17">
        <f>VLOOKUP(AK473,Sheet1!$A$2:$B$25,2,FALSE)</f>
        <v>0</v>
      </c>
    </row>
    <row r="474" spans="1:39" s="17" customFormat="1" x14ac:dyDescent="0.25">
      <c r="A474" s="21">
        <v>44596.84375</v>
      </c>
      <c r="B474" s="17">
        <v>5.68</v>
      </c>
      <c r="C474" s="17">
        <v>1.53</v>
      </c>
      <c r="D474" s="17">
        <v>4.1500000000000004</v>
      </c>
      <c r="E474" s="17">
        <v>0</v>
      </c>
      <c r="F474" s="17">
        <v>0</v>
      </c>
      <c r="G474" s="17">
        <v>0</v>
      </c>
      <c r="H474" s="17">
        <v>2.09</v>
      </c>
      <c r="I474" s="17">
        <v>0</v>
      </c>
      <c r="J474" s="17">
        <v>2.2400000000000002</v>
      </c>
      <c r="K474" s="17">
        <v>0</v>
      </c>
      <c r="L474" s="17">
        <v>0</v>
      </c>
      <c r="M474" s="17">
        <v>0</v>
      </c>
      <c r="N474" s="17">
        <v>0</v>
      </c>
      <c r="O474" s="17">
        <v>0</v>
      </c>
      <c r="P474" s="17">
        <v>0</v>
      </c>
      <c r="Q474" s="17">
        <v>0</v>
      </c>
      <c r="R474" s="17">
        <v>0.42870000000000003</v>
      </c>
      <c r="S474" s="17">
        <v>0</v>
      </c>
      <c r="T474" s="17">
        <v>0</v>
      </c>
      <c r="U474" s="17">
        <v>2.1</v>
      </c>
      <c r="V474" s="17">
        <v>0</v>
      </c>
      <c r="W474" s="17">
        <v>1.1599999999999999</v>
      </c>
      <c r="X474" s="17">
        <v>0</v>
      </c>
      <c r="Y474" s="17">
        <v>0</v>
      </c>
      <c r="Z474" s="17">
        <v>0</v>
      </c>
      <c r="AA474" s="17">
        <v>0</v>
      </c>
      <c r="AB474" s="17">
        <v>0</v>
      </c>
      <c r="AC474" s="17">
        <v>0</v>
      </c>
      <c r="AD474" s="17">
        <v>0</v>
      </c>
      <c r="AE474" s="17">
        <v>0</v>
      </c>
      <c r="AF474" s="17">
        <v>0</v>
      </c>
      <c r="AG474" s="17">
        <v>0</v>
      </c>
      <c r="AH474" s="17">
        <v>0</v>
      </c>
      <c r="AI474" s="17">
        <f t="shared" si="31"/>
        <v>5</v>
      </c>
      <c r="AJ474" s="17">
        <f t="shared" si="32"/>
        <v>4</v>
      </c>
      <c r="AK474" s="17">
        <f t="shared" si="33"/>
        <v>20</v>
      </c>
      <c r="AL474" s="17">
        <f t="shared" si="34"/>
        <v>1</v>
      </c>
      <c r="AM474" s="17">
        <f>VLOOKUP(AK474,Sheet1!$A$2:$B$25,2,FALSE)</f>
        <v>0</v>
      </c>
    </row>
    <row r="475" spans="1:39" s="17" customFormat="1" x14ac:dyDescent="0.25">
      <c r="A475" s="21">
        <v>44596.854166666664</v>
      </c>
      <c r="B475" s="17">
        <v>5.9</v>
      </c>
      <c r="C475" s="17">
        <v>1.52</v>
      </c>
      <c r="D475" s="17">
        <v>4.37</v>
      </c>
      <c r="E475" s="17">
        <v>0</v>
      </c>
      <c r="F475" s="17">
        <v>0</v>
      </c>
      <c r="G475" s="17">
        <v>0</v>
      </c>
      <c r="H475" s="17">
        <v>2.25</v>
      </c>
      <c r="I475" s="17">
        <v>0</v>
      </c>
      <c r="J475" s="17">
        <v>2.29</v>
      </c>
      <c r="K475" s="17">
        <v>0</v>
      </c>
      <c r="L475" s="17">
        <v>0</v>
      </c>
      <c r="M475" s="17">
        <v>0</v>
      </c>
      <c r="N475" s="17">
        <v>0</v>
      </c>
      <c r="O475" s="17">
        <v>0</v>
      </c>
      <c r="P475" s="17">
        <v>0</v>
      </c>
      <c r="Q475" s="17">
        <v>0</v>
      </c>
      <c r="R475" s="17">
        <v>0.2984</v>
      </c>
      <c r="S475" s="17">
        <v>0</v>
      </c>
      <c r="T475" s="17">
        <v>0</v>
      </c>
      <c r="U475" s="17">
        <v>2.11</v>
      </c>
      <c r="V475" s="17">
        <v>0</v>
      </c>
      <c r="W475" s="17">
        <v>1.17</v>
      </c>
      <c r="X475" s="17">
        <v>0</v>
      </c>
      <c r="Y475" s="17">
        <v>0</v>
      </c>
      <c r="Z475" s="17">
        <v>0</v>
      </c>
      <c r="AA475" s="17">
        <v>0</v>
      </c>
      <c r="AB475" s="17">
        <v>0</v>
      </c>
      <c r="AC475" s="17">
        <v>0</v>
      </c>
      <c r="AD475" s="17">
        <v>0</v>
      </c>
      <c r="AE475" s="17">
        <v>0</v>
      </c>
      <c r="AF475" s="17">
        <v>0</v>
      </c>
      <c r="AG475" s="17">
        <v>0</v>
      </c>
      <c r="AH475" s="17">
        <v>0</v>
      </c>
      <c r="AI475" s="17">
        <f t="shared" si="31"/>
        <v>5</v>
      </c>
      <c r="AJ475" s="17">
        <f t="shared" si="32"/>
        <v>4</v>
      </c>
      <c r="AK475" s="17">
        <f t="shared" si="33"/>
        <v>20</v>
      </c>
      <c r="AL475" s="17">
        <f t="shared" si="34"/>
        <v>1</v>
      </c>
      <c r="AM475" s="17">
        <f>VLOOKUP(AK475,Sheet1!$A$2:$B$25,2,FALSE)</f>
        <v>0</v>
      </c>
    </row>
    <row r="476" spans="1:39" s="17" customFormat="1" x14ac:dyDescent="0.25">
      <c r="A476" s="21">
        <v>44596.864583333336</v>
      </c>
      <c r="B476" s="17">
        <v>5.59</v>
      </c>
      <c r="C476" s="17">
        <v>1.28</v>
      </c>
      <c r="D476" s="17">
        <v>4.3099999999999996</v>
      </c>
      <c r="E476" s="17">
        <v>0</v>
      </c>
      <c r="F476" s="17">
        <v>0</v>
      </c>
      <c r="G476" s="17">
        <v>0</v>
      </c>
      <c r="H476" s="17">
        <v>2.34</v>
      </c>
      <c r="I476" s="17">
        <v>0</v>
      </c>
      <c r="J476" s="17">
        <v>2.2999999999999998</v>
      </c>
      <c r="K476" s="17">
        <v>0</v>
      </c>
      <c r="L476" s="17">
        <v>0</v>
      </c>
      <c r="M476" s="17">
        <v>0</v>
      </c>
      <c r="N476" s="17">
        <v>0</v>
      </c>
      <c r="O476" s="17">
        <v>0</v>
      </c>
      <c r="P476" s="17">
        <v>0</v>
      </c>
      <c r="Q476" s="17">
        <v>0</v>
      </c>
      <c r="R476" s="17">
        <v>0.54549999999999998</v>
      </c>
      <c r="S476" s="17">
        <v>0</v>
      </c>
      <c r="T476" s="17">
        <v>0</v>
      </c>
      <c r="U476" s="17">
        <v>2.13</v>
      </c>
      <c r="V476" s="17">
        <v>0</v>
      </c>
      <c r="W476" s="17">
        <v>1.18</v>
      </c>
      <c r="X476" s="17">
        <v>0</v>
      </c>
      <c r="Y476" s="17">
        <v>0</v>
      </c>
      <c r="Z476" s="17">
        <v>0</v>
      </c>
      <c r="AA476" s="17">
        <v>0</v>
      </c>
      <c r="AB476" s="17">
        <v>0</v>
      </c>
      <c r="AC476" s="17">
        <v>0</v>
      </c>
      <c r="AD476" s="17">
        <v>0</v>
      </c>
      <c r="AE476" s="17">
        <v>0</v>
      </c>
      <c r="AF476" s="17">
        <v>0</v>
      </c>
      <c r="AG476" s="17">
        <v>0</v>
      </c>
      <c r="AH476" s="17">
        <v>0</v>
      </c>
      <c r="AI476" s="17">
        <f t="shared" si="31"/>
        <v>5</v>
      </c>
      <c r="AJ476" s="17">
        <f t="shared" si="32"/>
        <v>4</v>
      </c>
      <c r="AK476" s="17">
        <f t="shared" si="33"/>
        <v>20</v>
      </c>
      <c r="AL476" s="17">
        <f t="shared" si="34"/>
        <v>1</v>
      </c>
      <c r="AM476" s="17">
        <f>VLOOKUP(AK476,Sheet1!$A$2:$B$25,2,FALSE)</f>
        <v>0</v>
      </c>
    </row>
    <row r="477" spans="1:39" s="17" customFormat="1" x14ac:dyDescent="0.25">
      <c r="A477" s="21">
        <v>44596.875</v>
      </c>
      <c r="B477" s="17">
        <v>6.87</v>
      </c>
      <c r="C477" s="17">
        <v>2.57</v>
      </c>
      <c r="D477" s="17">
        <v>4.3</v>
      </c>
      <c r="E477" s="17">
        <v>0</v>
      </c>
      <c r="F477" s="17">
        <v>0</v>
      </c>
      <c r="G477" s="17">
        <v>0</v>
      </c>
      <c r="H477" s="17">
        <v>2.2599999999999998</v>
      </c>
      <c r="I477" s="17">
        <v>0</v>
      </c>
      <c r="J477" s="17">
        <v>2.3199999999999998</v>
      </c>
      <c r="K477" s="17">
        <v>0</v>
      </c>
      <c r="L477" s="17">
        <v>0</v>
      </c>
      <c r="M477" s="17">
        <v>0</v>
      </c>
      <c r="N477" s="17">
        <v>0</v>
      </c>
      <c r="O477" s="17">
        <v>0</v>
      </c>
      <c r="P477" s="17">
        <v>0</v>
      </c>
      <c r="Q477" s="17">
        <v>0</v>
      </c>
      <c r="R477" s="17">
        <v>0.28810000000000002</v>
      </c>
      <c r="S477" s="17">
        <v>0</v>
      </c>
      <c r="T477" s="17">
        <v>0</v>
      </c>
      <c r="U477" s="17">
        <v>2.15</v>
      </c>
      <c r="V477" s="17">
        <v>0</v>
      </c>
      <c r="W477" s="17">
        <v>1.19</v>
      </c>
      <c r="X477" s="17">
        <v>0</v>
      </c>
      <c r="Y477" s="17">
        <v>0</v>
      </c>
      <c r="Z477" s="17">
        <v>0</v>
      </c>
      <c r="AA477" s="17">
        <v>0</v>
      </c>
      <c r="AB477" s="17">
        <v>0</v>
      </c>
      <c r="AC477" s="17">
        <v>0</v>
      </c>
      <c r="AD477" s="17">
        <v>0</v>
      </c>
      <c r="AE477" s="17">
        <v>0</v>
      </c>
      <c r="AF477" s="17">
        <v>0</v>
      </c>
      <c r="AG477" s="17">
        <v>0</v>
      </c>
      <c r="AH477" s="17">
        <v>0</v>
      </c>
      <c r="AI477" s="17">
        <f t="shared" si="31"/>
        <v>5</v>
      </c>
      <c r="AJ477" s="17">
        <f t="shared" si="32"/>
        <v>4</v>
      </c>
      <c r="AK477" s="17">
        <f t="shared" si="33"/>
        <v>21</v>
      </c>
      <c r="AL477" s="17">
        <f t="shared" si="34"/>
        <v>1</v>
      </c>
      <c r="AM477" s="17">
        <f>VLOOKUP(AK477,Sheet1!$A$2:$B$25,2,FALSE)</f>
        <v>0</v>
      </c>
    </row>
    <row r="478" spans="1:39" s="17" customFormat="1" x14ac:dyDescent="0.25">
      <c r="A478" s="21">
        <v>44596.885416666664</v>
      </c>
      <c r="B478" s="17">
        <v>5.67</v>
      </c>
      <c r="C478" s="17">
        <v>1.23</v>
      </c>
      <c r="D478" s="17">
        <v>4.4400000000000004</v>
      </c>
      <c r="E478" s="17">
        <v>0</v>
      </c>
      <c r="F478" s="17">
        <v>0</v>
      </c>
      <c r="G478" s="17">
        <v>0</v>
      </c>
      <c r="H478" s="17">
        <v>2.21</v>
      </c>
      <c r="I478" s="17">
        <v>0</v>
      </c>
      <c r="J478" s="17">
        <v>1.67</v>
      </c>
      <c r="K478" s="17">
        <v>0</v>
      </c>
      <c r="L478" s="17">
        <v>0</v>
      </c>
      <c r="M478" s="17">
        <v>0</v>
      </c>
      <c r="N478" s="17">
        <v>0</v>
      </c>
      <c r="O478" s="17">
        <v>0</v>
      </c>
      <c r="P478" s="17">
        <v>0</v>
      </c>
      <c r="Q478" s="17">
        <v>0</v>
      </c>
      <c r="R478" s="17">
        <v>0.45</v>
      </c>
      <c r="S478" s="17">
        <v>0</v>
      </c>
      <c r="T478" s="17">
        <v>0</v>
      </c>
      <c r="U478" s="17">
        <v>2.15</v>
      </c>
      <c r="V478" s="17">
        <v>0</v>
      </c>
      <c r="W478" s="17">
        <v>1.2</v>
      </c>
      <c r="X478" s="17">
        <v>0</v>
      </c>
      <c r="Y478" s="17">
        <v>0</v>
      </c>
      <c r="Z478" s="17">
        <v>0</v>
      </c>
      <c r="AA478" s="17">
        <v>0</v>
      </c>
      <c r="AB478" s="17">
        <v>0</v>
      </c>
      <c r="AC478" s="17">
        <v>0</v>
      </c>
      <c r="AD478" s="17">
        <v>0</v>
      </c>
      <c r="AE478" s="17">
        <v>0</v>
      </c>
      <c r="AF478" s="17">
        <v>0</v>
      </c>
      <c r="AG478" s="17">
        <v>0</v>
      </c>
      <c r="AH478" s="17">
        <v>0</v>
      </c>
      <c r="AI478" s="17">
        <f t="shared" si="31"/>
        <v>5</v>
      </c>
      <c r="AJ478" s="17">
        <f t="shared" si="32"/>
        <v>4</v>
      </c>
      <c r="AK478" s="17">
        <f t="shared" si="33"/>
        <v>21</v>
      </c>
      <c r="AL478" s="17">
        <f t="shared" si="34"/>
        <v>1</v>
      </c>
      <c r="AM478" s="17">
        <f>VLOOKUP(AK478,Sheet1!$A$2:$B$25,2,FALSE)</f>
        <v>0</v>
      </c>
    </row>
    <row r="479" spans="1:39" s="17" customFormat="1" x14ac:dyDescent="0.25">
      <c r="A479" s="21">
        <v>44596.895833333336</v>
      </c>
      <c r="B479" s="17">
        <v>6.81</v>
      </c>
      <c r="C479" s="17">
        <v>2.5099999999999998</v>
      </c>
      <c r="D479" s="17">
        <v>4.3</v>
      </c>
      <c r="E479" s="17">
        <v>0</v>
      </c>
      <c r="F479" s="17">
        <v>0</v>
      </c>
      <c r="G479" s="17">
        <v>0</v>
      </c>
      <c r="H479" s="17">
        <v>2.0699999999999998</v>
      </c>
      <c r="I479" s="17">
        <v>0</v>
      </c>
      <c r="J479" s="17">
        <v>2.15</v>
      </c>
      <c r="K479" s="17">
        <v>0</v>
      </c>
      <c r="L479" s="17">
        <v>0</v>
      </c>
      <c r="M479" s="17">
        <v>0</v>
      </c>
      <c r="N479" s="17">
        <v>0</v>
      </c>
      <c r="O479" s="17">
        <v>0</v>
      </c>
      <c r="P479" s="17">
        <v>0</v>
      </c>
      <c r="Q479" s="17">
        <v>0</v>
      </c>
      <c r="R479" s="17">
        <v>0.4839</v>
      </c>
      <c r="S479" s="17">
        <v>0</v>
      </c>
      <c r="T479" s="17">
        <v>0</v>
      </c>
      <c r="U479" s="17">
        <v>2.12</v>
      </c>
      <c r="V479" s="17">
        <v>0</v>
      </c>
      <c r="W479" s="17">
        <v>1.17</v>
      </c>
      <c r="X479" s="17">
        <v>0</v>
      </c>
      <c r="Y479" s="17">
        <v>0</v>
      </c>
      <c r="Z479" s="17">
        <v>0</v>
      </c>
      <c r="AA479" s="17">
        <v>0</v>
      </c>
      <c r="AB479" s="17">
        <v>0</v>
      </c>
      <c r="AC479" s="17">
        <v>0</v>
      </c>
      <c r="AD479" s="17">
        <v>0</v>
      </c>
      <c r="AE479" s="17">
        <v>0</v>
      </c>
      <c r="AF479" s="17">
        <v>0</v>
      </c>
      <c r="AG479" s="17">
        <v>0</v>
      </c>
      <c r="AH479" s="17">
        <v>0</v>
      </c>
      <c r="AI479" s="17">
        <f t="shared" si="31"/>
        <v>5</v>
      </c>
      <c r="AJ479" s="17">
        <f t="shared" si="32"/>
        <v>4</v>
      </c>
      <c r="AK479" s="17">
        <f t="shared" si="33"/>
        <v>21</v>
      </c>
      <c r="AL479" s="17">
        <f t="shared" si="34"/>
        <v>1</v>
      </c>
      <c r="AM479" s="17">
        <f>VLOOKUP(AK479,Sheet1!$A$2:$B$25,2,FALSE)</f>
        <v>0</v>
      </c>
    </row>
    <row r="480" spans="1:39" s="17" customFormat="1" x14ac:dyDescent="0.25">
      <c r="A480" s="21">
        <v>44596.90625</v>
      </c>
      <c r="B480" s="17">
        <v>6.62</v>
      </c>
      <c r="C480" s="17">
        <v>2.36</v>
      </c>
      <c r="D480" s="17">
        <v>4.26</v>
      </c>
      <c r="E480" s="17">
        <v>0</v>
      </c>
      <c r="F480" s="17">
        <v>0</v>
      </c>
      <c r="G480" s="17">
        <v>0</v>
      </c>
      <c r="H480" s="17">
        <v>2.21</v>
      </c>
      <c r="I480" s="17">
        <v>0</v>
      </c>
      <c r="J480" s="17">
        <v>2.3199999999999998</v>
      </c>
      <c r="K480" s="17">
        <v>0</v>
      </c>
      <c r="L480" s="17">
        <v>0</v>
      </c>
      <c r="M480" s="17">
        <v>0</v>
      </c>
      <c r="N480" s="17">
        <v>0</v>
      </c>
      <c r="O480" s="17">
        <v>0</v>
      </c>
      <c r="P480" s="17">
        <v>0</v>
      </c>
      <c r="Q480" s="17">
        <v>0</v>
      </c>
      <c r="R480" s="17">
        <v>0.53920000000000001</v>
      </c>
      <c r="S480" s="17">
        <v>0</v>
      </c>
      <c r="T480" s="17">
        <v>0</v>
      </c>
      <c r="U480" s="17">
        <v>2.1</v>
      </c>
      <c r="V480" s="17">
        <v>0</v>
      </c>
      <c r="W480" s="17">
        <v>1.1499999999999999</v>
      </c>
      <c r="X480" s="17">
        <v>0</v>
      </c>
      <c r="Y480" s="17">
        <v>0</v>
      </c>
      <c r="Z480" s="17">
        <v>0</v>
      </c>
      <c r="AA480" s="17">
        <v>0</v>
      </c>
      <c r="AB480" s="17">
        <v>0</v>
      </c>
      <c r="AC480" s="17">
        <v>0</v>
      </c>
      <c r="AD480" s="17">
        <v>0</v>
      </c>
      <c r="AE480" s="17">
        <v>0</v>
      </c>
      <c r="AF480" s="17">
        <v>0</v>
      </c>
      <c r="AG480" s="17">
        <v>0</v>
      </c>
      <c r="AH480" s="17">
        <v>0</v>
      </c>
      <c r="AI480" s="17">
        <f t="shared" si="31"/>
        <v>5</v>
      </c>
      <c r="AJ480" s="17">
        <f t="shared" si="32"/>
        <v>4</v>
      </c>
      <c r="AK480" s="17">
        <f t="shared" si="33"/>
        <v>21</v>
      </c>
      <c r="AL480" s="17">
        <f t="shared" si="34"/>
        <v>1</v>
      </c>
      <c r="AM480" s="17">
        <f>VLOOKUP(AK480,Sheet1!$A$2:$B$25,2,FALSE)</f>
        <v>0</v>
      </c>
    </row>
    <row r="481" spans="1:39" s="17" customFormat="1" x14ac:dyDescent="0.25">
      <c r="A481" s="21">
        <v>44596.916666666664</v>
      </c>
      <c r="B481" s="17">
        <v>6.71</v>
      </c>
      <c r="C481" s="17">
        <v>2.3199999999999998</v>
      </c>
      <c r="D481" s="17">
        <v>4.3899999999999997</v>
      </c>
      <c r="E481" s="17">
        <v>0</v>
      </c>
      <c r="F481" s="17">
        <v>0</v>
      </c>
      <c r="G481" s="17">
        <v>0</v>
      </c>
      <c r="H481" s="17">
        <v>2.02</v>
      </c>
      <c r="I481" s="17">
        <v>0</v>
      </c>
      <c r="J481" s="17">
        <v>2.06</v>
      </c>
      <c r="K481" s="17">
        <v>0</v>
      </c>
      <c r="L481" s="17">
        <v>0</v>
      </c>
      <c r="M481" s="17">
        <v>0</v>
      </c>
      <c r="N481" s="17">
        <v>0</v>
      </c>
      <c r="O481" s="17">
        <v>0</v>
      </c>
      <c r="P481" s="17">
        <v>0</v>
      </c>
      <c r="Q481" s="17">
        <v>0</v>
      </c>
      <c r="R481" s="17">
        <v>0.33789999999999998</v>
      </c>
      <c r="S481" s="17">
        <v>0</v>
      </c>
      <c r="T481" s="17">
        <v>0</v>
      </c>
      <c r="U481" s="17">
        <v>2.11</v>
      </c>
      <c r="V481" s="17">
        <v>0</v>
      </c>
      <c r="W481" s="17">
        <v>1.1599999999999999</v>
      </c>
      <c r="X481" s="17">
        <v>0</v>
      </c>
      <c r="Y481" s="17">
        <v>0</v>
      </c>
      <c r="Z481" s="17">
        <v>0</v>
      </c>
      <c r="AA481" s="17">
        <v>0</v>
      </c>
      <c r="AB481" s="17">
        <v>0</v>
      </c>
      <c r="AC481" s="17">
        <v>0</v>
      </c>
      <c r="AD481" s="17">
        <v>0</v>
      </c>
      <c r="AE481" s="17">
        <v>0</v>
      </c>
      <c r="AF481" s="17">
        <v>0</v>
      </c>
      <c r="AG481" s="17">
        <v>0</v>
      </c>
      <c r="AH481" s="17">
        <v>0</v>
      </c>
      <c r="AI481" s="17">
        <f t="shared" si="31"/>
        <v>5</v>
      </c>
      <c r="AJ481" s="17">
        <f t="shared" si="32"/>
        <v>4</v>
      </c>
      <c r="AK481" s="17">
        <f t="shared" si="33"/>
        <v>22</v>
      </c>
      <c r="AL481" s="17">
        <f t="shared" si="34"/>
        <v>1</v>
      </c>
      <c r="AM481" s="17">
        <f>VLOOKUP(AK481,Sheet1!$A$2:$B$25,2,FALSE)</f>
        <v>0</v>
      </c>
    </row>
    <row r="482" spans="1:39" s="17" customFormat="1" x14ac:dyDescent="0.25">
      <c r="A482" s="21">
        <v>44596.927083333336</v>
      </c>
      <c r="B482" s="17">
        <v>6.9</v>
      </c>
      <c r="C482" s="17">
        <v>2.5499999999999998</v>
      </c>
      <c r="D482" s="17">
        <v>4.3499999999999996</v>
      </c>
      <c r="E482" s="17">
        <v>0</v>
      </c>
      <c r="F482" s="17">
        <v>0</v>
      </c>
      <c r="G482" s="17">
        <v>0</v>
      </c>
      <c r="H482" s="17">
        <v>2.09</v>
      </c>
      <c r="I482" s="17">
        <v>0</v>
      </c>
      <c r="J482" s="17">
        <v>2.0499999999999998</v>
      </c>
      <c r="K482" s="17">
        <v>0</v>
      </c>
      <c r="L482" s="17">
        <v>0</v>
      </c>
      <c r="M482" s="17">
        <v>0</v>
      </c>
      <c r="N482" s="17">
        <v>0</v>
      </c>
      <c r="O482" s="17">
        <v>0</v>
      </c>
      <c r="P482" s="17">
        <v>0</v>
      </c>
      <c r="Q482" s="17">
        <v>0</v>
      </c>
      <c r="R482" s="17">
        <v>0.44450000000000001</v>
      </c>
      <c r="S482" s="17">
        <v>0</v>
      </c>
      <c r="T482" s="17">
        <v>0</v>
      </c>
      <c r="U482" s="17">
        <v>2.11</v>
      </c>
      <c r="V482" s="17">
        <v>0</v>
      </c>
      <c r="W482" s="17">
        <v>1.17</v>
      </c>
      <c r="X482" s="17">
        <v>0</v>
      </c>
      <c r="Y482" s="17">
        <v>0</v>
      </c>
      <c r="Z482" s="17">
        <v>0</v>
      </c>
      <c r="AA482" s="17">
        <v>0</v>
      </c>
      <c r="AB482" s="17">
        <v>0</v>
      </c>
      <c r="AC482" s="17">
        <v>0</v>
      </c>
      <c r="AD482" s="17">
        <v>0</v>
      </c>
      <c r="AE482" s="17">
        <v>0</v>
      </c>
      <c r="AF482" s="17">
        <v>0</v>
      </c>
      <c r="AG482" s="17">
        <v>0</v>
      </c>
      <c r="AH482" s="17">
        <v>0</v>
      </c>
      <c r="AI482" s="17">
        <f t="shared" si="31"/>
        <v>5</v>
      </c>
      <c r="AJ482" s="17">
        <f t="shared" si="32"/>
        <v>4</v>
      </c>
      <c r="AK482" s="17">
        <f t="shared" si="33"/>
        <v>22</v>
      </c>
      <c r="AL482" s="17">
        <f t="shared" si="34"/>
        <v>1</v>
      </c>
      <c r="AM482" s="17">
        <f>VLOOKUP(AK482,Sheet1!$A$2:$B$25,2,FALSE)</f>
        <v>0</v>
      </c>
    </row>
    <row r="483" spans="1:39" s="17" customFormat="1" x14ac:dyDescent="0.25">
      <c r="A483" s="21">
        <v>44596.9375</v>
      </c>
      <c r="B483" s="17">
        <v>6.71</v>
      </c>
      <c r="C483" s="17">
        <v>2.3199999999999998</v>
      </c>
      <c r="D483" s="17">
        <v>4.38</v>
      </c>
      <c r="E483" s="17">
        <v>0</v>
      </c>
      <c r="F483" s="17">
        <v>0</v>
      </c>
      <c r="G483" s="17">
        <v>0</v>
      </c>
      <c r="H483" s="17">
        <v>2.02</v>
      </c>
      <c r="I483" s="17">
        <v>0</v>
      </c>
      <c r="J483" s="17">
        <v>2.0499999999999998</v>
      </c>
      <c r="K483" s="17">
        <v>0</v>
      </c>
      <c r="L483" s="17">
        <v>0</v>
      </c>
      <c r="M483" s="17">
        <v>0</v>
      </c>
      <c r="N483" s="17">
        <v>0</v>
      </c>
      <c r="O483" s="17">
        <v>0</v>
      </c>
      <c r="P483" s="17">
        <v>0</v>
      </c>
      <c r="Q483" s="17">
        <v>0</v>
      </c>
      <c r="R483" s="17">
        <v>0.44209999999999999</v>
      </c>
      <c r="S483" s="17">
        <v>0</v>
      </c>
      <c r="T483" s="17">
        <v>0</v>
      </c>
      <c r="U483" s="17">
        <v>2.1</v>
      </c>
      <c r="V483" s="17">
        <v>0</v>
      </c>
      <c r="W483" s="17">
        <v>1.1599999999999999</v>
      </c>
      <c r="X483" s="17">
        <v>0</v>
      </c>
      <c r="Y483" s="17">
        <v>0</v>
      </c>
      <c r="Z483" s="17">
        <v>0</v>
      </c>
      <c r="AA483" s="17">
        <v>0</v>
      </c>
      <c r="AB483" s="17">
        <v>0</v>
      </c>
      <c r="AC483" s="17">
        <v>0</v>
      </c>
      <c r="AD483" s="17">
        <v>0</v>
      </c>
      <c r="AE483" s="17">
        <v>0</v>
      </c>
      <c r="AF483" s="17">
        <v>0</v>
      </c>
      <c r="AG483" s="17">
        <v>0</v>
      </c>
      <c r="AH483" s="17">
        <v>0</v>
      </c>
      <c r="AI483" s="17">
        <f t="shared" si="31"/>
        <v>5</v>
      </c>
      <c r="AJ483" s="17">
        <f t="shared" si="32"/>
        <v>4</v>
      </c>
      <c r="AK483" s="17">
        <f t="shared" si="33"/>
        <v>22</v>
      </c>
      <c r="AL483" s="17">
        <f t="shared" si="34"/>
        <v>1</v>
      </c>
      <c r="AM483" s="17">
        <f>VLOOKUP(AK483,Sheet1!$A$2:$B$25,2,FALSE)</f>
        <v>0</v>
      </c>
    </row>
    <row r="484" spans="1:39" s="17" customFormat="1" x14ac:dyDescent="0.25">
      <c r="A484" s="21">
        <v>44596.947916666664</v>
      </c>
      <c r="B484" s="17">
        <v>6.32</v>
      </c>
      <c r="C484" s="17">
        <v>1.96</v>
      </c>
      <c r="D484" s="17">
        <v>4.3600000000000003</v>
      </c>
      <c r="E484" s="17">
        <v>0</v>
      </c>
      <c r="F484" s="17">
        <v>0</v>
      </c>
      <c r="G484" s="17">
        <v>0</v>
      </c>
      <c r="H484" s="17">
        <v>1.97</v>
      </c>
      <c r="I484" s="17">
        <v>0</v>
      </c>
      <c r="J484" s="17">
        <v>1.91</v>
      </c>
      <c r="K484" s="17">
        <v>0</v>
      </c>
      <c r="L484" s="17">
        <v>0</v>
      </c>
      <c r="M484" s="17">
        <v>0</v>
      </c>
      <c r="N484" s="17">
        <v>0</v>
      </c>
      <c r="O484" s="17">
        <v>0</v>
      </c>
      <c r="P484" s="17">
        <v>0</v>
      </c>
      <c r="Q484" s="17">
        <v>0</v>
      </c>
      <c r="R484" s="17">
        <v>0.54869999999999997</v>
      </c>
      <c r="S484" s="17">
        <v>0</v>
      </c>
      <c r="T484" s="17">
        <v>0</v>
      </c>
      <c r="U484" s="17">
        <v>2.11</v>
      </c>
      <c r="V484" s="17">
        <v>0</v>
      </c>
      <c r="W484" s="17">
        <v>1.1599999999999999</v>
      </c>
      <c r="X484" s="17">
        <v>0</v>
      </c>
      <c r="Y484" s="17">
        <v>0</v>
      </c>
      <c r="Z484" s="17">
        <v>0</v>
      </c>
      <c r="AA484" s="17">
        <v>0</v>
      </c>
      <c r="AB484" s="17">
        <v>0</v>
      </c>
      <c r="AC484" s="17">
        <v>0</v>
      </c>
      <c r="AD484" s="17">
        <v>0</v>
      </c>
      <c r="AE484" s="17">
        <v>0</v>
      </c>
      <c r="AF484" s="17">
        <v>0</v>
      </c>
      <c r="AG484" s="17">
        <v>0</v>
      </c>
      <c r="AH484" s="17">
        <v>0</v>
      </c>
      <c r="AI484" s="17">
        <f t="shared" si="31"/>
        <v>5</v>
      </c>
      <c r="AJ484" s="17">
        <f t="shared" si="32"/>
        <v>4</v>
      </c>
      <c r="AK484" s="17">
        <f t="shared" si="33"/>
        <v>22</v>
      </c>
      <c r="AL484" s="17">
        <f t="shared" si="34"/>
        <v>1</v>
      </c>
      <c r="AM484" s="17">
        <f>VLOOKUP(AK484,Sheet1!$A$2:$B$25,2,FALSE)</f>
        <v>0</v>
      </c>
    </row>
    <row r="485" spans="1:39" s="17" customFormat="1" x14ac:dyDescent="0.25">
      <c r="A485" s="21">
        <v>44596.958333333336</v>
      </c>
      <c r="B485" s="17">
        <v>6.61</v>
      </c>
      <c r="C485" s="17">
        <v>2.41</v>
      </c>
      <c r="D485" s="17">
        <v>4.2</v>
      </c>
      <c r="E485" s="17">
        <v>0</v>
      </c>
      <c r="F485" s="17">
        <v>0</v>
      </c>
      <c r="G485" s="17">
        <v>0</v>
      </c>
      <c r="H485" s="17">
        <v>1.88</v>
      </c>
      <c r="I485" s="17">
        <v>0</v>
      </c>
      <c r="J485" s="17">
        <v>1.95</v>
      </c>
      <c r="K485" s="17">
        <v>0</v>
      </c>
      <c r="L485" s="17">
        <v>0</v>
      </c>
      <c r="M485" s="17">
        <v>0</v>
      </c>
      <c r="N485" s="17">
        <v>0</v>
      </c>
      <c r="O485" s="17">
        <v>0</v>
      </c>
      <c r="P485" s="17">
        <v>0</v>
      </c>
      <c r="Q485" s="17">
        <v>0</v>
      </c>
      <c r="R485" s="17">
        <v>0.36</v>
      </c>
      <c r="S485" s="17">
        <v>0</v>
      </c>
      <c r="T485" s="17">
        <v>0</v>
      </c>
      <c r="U485" s="17">
        <v>2.08</v>
      </c>
      <c r="V485" s="17">
        <v>0</v>
      </c>
      <c r="W485" s="17">
        <v>1.1399999999999999</v>
      </c>
      <c r="X485" s="17">
        <v>0</v>
      </c>
      <c r="Y485" s="17">
        <v>0</v>
      </c>
      <c r="Z485" s="17">
        <v>0</v>
      </c>
      <c r="AA485" s="17">
        <v>0</v>
      </c>
      <c r="AB485" s="17">
        <v>0</v>
      </c>
      <c r="AC485" s="17">
        <v>0</v>
      </c>
      <c r="AD485" s="17">
        <v>0</v>
      </c>
      <c r="AE485" s="17">
        <v>0</v>
      </c>
      <c r="AF485" s="17">
        <v>0</v>
      </c>
      <c r="AG485" s="17">
        <v>0</v>
      </c>
      <c r="AH485" s="17">
        <v>0</v>
      </c>
      <c r="AI485" s="17">
        <f t="shared" si="31"/>
        <v>5</v>
      </c>
      <c r="AJ485" s="17">
        <f t="shared" si="32"/>
        <v>4</v>
      </c>
      <c r="AK485" s="17">
        <f t="shared" si="33"/>
        <v>23</v>
      </c>
      <c r="AL485" s="17">
        <f t="shared" si="34"/>
        <v>1</v>
      </c>
      <c r="AM485" s="17">
        <f>VLOOKUP(AK485,Sheet1!$A$2:$B$25,2,FALSE)</f>
        <v>0</v>
      </c>
    </row>
    <row r="486" spans="1:39" s="17" customFormat="1" x14ac:dyDescent="0.25">
      <c r="A486" s="21">
        <v>44596.96875</v>
      </c>
      <c r="B486" s="17">
        <v>6.62</v>
      </c>
      <c r="C486" s="17">
        <v>2.44</v>
      </c>
      <c r="D486" s="17">
        <v>4.18</v>
      </c>
      <c r="E486" s="17">
        <v>0</v>
      </c>
      <c r="F486" s="17">
        <v>0</v>
      </c>
      <c r="G486" s="17">
        <v>0</v>
      </c>
      <c r="H486" s="17">
        <v>1.91</v>
      </c>
      <c r="I486" s="17">
        <v>0</v>
      </c>
      <c r="J486" s="17">
        <v>1.88</v>
      </c>
      <c r="K486" s="17">
        <v>0</v>
      </c>
      <c r="L486" s="17">
        <v>0</v>
      </c>
      <c r="M486" s="17">
        <v>0</v>
      </c>
      <c r="N486" s="17">
        <v>0</v>
      </c>
      <c r="O486" s="17">
        <v>0</v>
      </c>
      <c r="P486" s="17">
        <v>0</v>
      </c>
      <c r="Q486" s="17">
        <v>0</v>
      </c>
      <c r="R486" s="17">
        <v>0.48080000000000001</v>
      </c>
      <c r="S486" s="17">
        <v>0</v>
      </c>
      <c r="T486" s="17">
        <v>0</v>
      </c>
      <c r="U486" s="17">
        <v>2.09</v>
      </c>
      <c r="V486" s="17">
        <v>0</v>
      </c>
      <c r="W486" s="17">
        <v>1.1399999999999999</v>
      </c>
      <c r="X486" s="17">
        <v>0</v>
      </c>
      <c r="Y486" s="17">
        <v>0</v>
      </c>
      <c r="Z486" s="17">
        <v>0</v>
      </c>
      <c r="AA486" s="17">
        <v>0</v>
      </c>
      <c r="AB486" s="17">
        <v>0</v>
      </c>
      <c r="AC486" s="17">
        <v>0</v>
      </c>
      <c r="AD486" s="17">
        <v>0</v>
      </c>
      <c r="AE486" s="17">
        <v>0</v>
      </c>
      <c r="AF486" s="17">
        <v>0</v>
      </c>
      <c r="AG486" s="17">
        <v>0</v>
      </c>
      <c r="AH486" s="17">
        <v>0</v>
      </c>
      <c r="AI486" s="17">
        <f t="shared" si="31"/>
        <v>5</v>
      </c>
      <c r="AJ486" s="17">
        <f t="shared" si="32"/>
        <v>4</v>
      </c>
      <c r="AK486" s="17">
        <f t="shared" si="33"/>
        <v>23</v>
      </c>
      <c r="AL486" s="17">
        <f t="shared" si="34"/>
        <v>1</v>
      </c>
      <c r="AM486" s="17">
        <f>VLOOKUP(AK486,Sheet1!$A$2:$B$25,2,FALSE)</f>
        <v>0</v>
      </c>
    </row>
    <row r="487" spans="1:39" s="17" customFormat="1" x14ac:dyDescent="0.25">
      <c r="A487" s="21">
        <v>44596.979166666664</v>
      </c>
      <c r="B487" s="17">
        <v>6.88</v>
      </c>
      <c r="C487" s="17">
        <v>2.58</v>
      </c>
      <c r="D487" s="17">
        <v>4.29</v>
      </c>
      <c r="E487" s="17">
        <v>0</v>
      </c>
      <c r="F487" s="17">
        <v>0</v>
      </c>
      <c r="G487" s="17">
        <v>0</v>
      </c>
      <c r="H487" s="17">
        <v>2.06</v>
      </c>
      <c r="I487" s="17">
        <v>0</v>
      </c>
      <c r="J487" s="17">
        <v>1.95</v>
      </c>
      <c r="K487" s="17">
        <v>0</v>
      </c>
      <c r="L487" s="17">
        <v>0</v>
      </c>
      <c r="M487" s="17">
        <v>0</v>
      </c>
      <c r="N487" s="17">
        <v>0</v>
      </c>
      <c r="O487" s="17">
        <v>0</v>
      </c>
      <c r="P487" s="17">
        <v>0</v>
      </c>
      <c r="Q487" s="17">
        <v>0</v>
      </c>
      <c r="R487" s="17">
        <v>0.47839999999999999</v>
      </c>
      <c r="S487" s="17">
        <v>0</v>
      </c>
      <c r="T487" s="17">
        <v>0</v>
      </c>
      <c r="U487" s="17">
        <v>2.11</v>
      </c>
      <c r="V487" s="17">
        <v>0</v>
      </c>
      <c r="W487" s="17">
        <v>1.1599999999999999</v>
      </c>
      <c r="X487" s="17">
        <v>0</v>
      </c>
      <c r="Y487" s="17">
        <v>0</v>
      </c>
      <c r="Z487" s="17">
        <v>0</v>
      </c>
      <c r="AA487" s="17">
        <v>0</v>
      </c>
      <c r="AB487" s="17">
        <v>0</v>
      </c>
      <c r="AC487" s="17">
        <v>0</v>
      </c>
      <c r="AD487" s="17">
        <v>0</v>
      </c>
      <c r="AE487" s="17">
        <v>0</v>
      </c>
      <c r="AF487" s="17">
        <v>0</v>
      </c>
      <c r="AG487" s="17">
        <v>0</v>
      </c>
      <c r="AH487" s="17">
        <v>0</v>
      </c>
      <c r="AI487" s="17">
        <f t="shared" si="31"/>
        <v>5</v>
      </c>
      <c r="AJ487" s="17">
        <f t="shared" si="32"/>
        <v>4</v>
      </c>
      <c r="AK487" s="17">
        <f t="shared" si="33"/>
        <v>23</v>
      </c>
      <c r="AL487" s="17">
        <f t="shared" si="34"/>
        <v>1</v>
      </c>
      <c r="AM487" s="17">
        <f>VLOOKUP(AK487,Sheet1!$A$2:$B$25,2,FALSE)</f>
        <v>0</v>
      </c>
    </row>
    <row r="488" spans="1:39" s="17" customFormat="1" x14ac:dyDescent="0.25">
      <c r="A488" s="21">
        <v>44596.989583333336</v>
      </c>
      <c r="B488" s="17">
        <v>7.54</v>
      </c>
      <c r="C488" s="17">
        <v>3.33</v>
      </c>
      <c r="D488" s="17">
        <v>4.21</v>
      </c>
      <c r="E488" s="17">
        <v>0</v>
      </c>
      <c r="F488" s="17">
        <v>0</v>
      </c>
      <c r="G488" s="17">
        <v>0</v>
      </c>
      <c r="H488" s="17">
        <v>1.9</v>
      </c>
      <c r="I488" s="17">
        <v>0</v>
      </c>
      <c r="J488" s="17">
        <v>1.85</v>
      </c>
      <c r="K488" s="17">
        <v>0</v>
      </c>
      <c r="L488" s="17">
        <v>0</v>
      </c>
      <c r="M488" s="17">
        <v>0</v>
      </c>
      <c r="N488" s="17">
        <v>0</v>
      </c>
      <c r="O488" s="17">
        <v>0</v>
      </c>
      <c r="P488" s="17">
        <v>0</v>
      </c>
      <c r="Q488" s="17">
        <v>0</v>
      </c>
      <c r="R488" s="17">
        <v>0.5897</v>
      </c>
      <c r="S488" s="17">
        <v>0</v>
      </c>
      <c r="T488" s="17">
        <v>0</v>
      </c>
      <c r="U488" s="17">
        <v>2.09</v>
      </c>
      <c r="V488" s="17">
        <v>0</v>
      </c>
      <c r="W488" s="17">
        <v>1.1499999999999999</v>
      </c>
      <c r="X488" s="17">
        <v>0</v>
      </c>
      <c r="Y488" s="17">
        <v>0</v>
      </c>
      <c r="Z488" s="17">
        <v>0</v>
      </c>
      <c r="AA488" s="17">
        <v>0</v>
      </c>
      <c r="AB488" s="17">
        <v>0</v>
      </c>
      <c r="AC488" s="17">
        <v>0</v>
      </c>
      <c r="AD488" s="17">
        <v>0</v>
      </c>
      <c r="AE488" s="17">
        <v>0</v>
      </c>
      <c r="AF488" s="17">
        <v>0</v>
      </c>
      <c r="AG488" s="17">
        <v>0</v>
      </c>
      <c r="AH488" s="17">
        <v>0</v>
      </c>
      <c r="AI488" s="17">
        <f t="shared" si="31"/>
        <v>5</v>
      </c>
      <c r="AJ488" s="17">
        <f t="shared" si="32"/>
        <v>4</v>
      </c>
      <c r="AK488" s="17">
        <f t="shared" si="33"/>
        <v>23</v>
      </c>
      <c r="AL488" s="17">
        <f t="shared" si="34"/>
        <v>1</v>
      </c>
      <c r="AM488" s="17">
        <f>VLOOKUP(AK488,Sheet1!$A$2:$B$25,2,FALSE)</f>
        <v>0</v>
      </c>
    </row>
    <row r="489" spans="1:39" s="25" customFormat="1" x14ac:dyDescent="0.25">
      <c r="A489" s="24">
        <f>MAX(B490:B585)</f>
        <v>8.5500000000000007</v>
      </c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4"/>
      <c r="AI489" s="24"/>
      <c r="AJ489" s="24"/>
      <c r="AK489" s="24"/>
      <c r="AL489" s="24"/>
      <c r="AM489" s="24"/>
    </row>
    <row r="490" spans="1:39" s="17" customFormat="1" x14ac:dyDescent="0.25">
      <c r="A490" s="21">
        <v>44597</v>
      </c>
      <c r="B490" s="17">
        <v>6.15</v>
      </c>
      <c r="C490" s="17">
        <v>1.94</v>
      </c>
      <c r="D490" s="17">
        <v>4.21</v>
      </c>
      <c r="E490" s="17">
        <v>0</v>
      </c>
      <c r="F490" s="17">
        <v>0</v>
      </c>
      <c r="G490" s="17">
        <v>0</v>
      </c>
      <c r="H490" s="17">
        <v>1.99</v>
      </c>
      <c r="I490" s="17">
        <v>0</v>
      </c>
      <c r="J490" s="17">
        <v>1.94</v>
      </c>
      <c r="K490" s="17">
        <v>0</v>
      </c>
      <c r="L490" s="17">
        <v>0</v>
      </c>
      <c r="M490" s="17">
        <v>0</v>
      </c>
      <c r="N490" s="17">
        <v>0</v>
      </c>
      <c r="O490" s="17">
        <v>0</v>
      </c>
      <c r="P490" s="17">
        <v>0</v>
      </c>
      <c r="Q490" s="17">
        <v>0</v>
      </c>
      <c r="R490" s="17">
        <v>0.60870000000000002</v>
      </c>
      <c r="S490" s="17">
        <v>0</v>
      </c>
      <c r="T490" s="17">
        <v>0</v>
      </c>
      <c r="U490" s="17">
        <v>2.1</v>
      </c>
      <c r="V490" s="17">
        <v>0</v>
      </c>
      <c r="W490" s="17">
        <v>1.1499999999999999</v>
      </c>
      <c r="X490" s="17">
        <v>0</v>
      </c>
      <c r="Y490" s="17">
        <v>0</v>
      </c>
      <c r="Z490" s="17">
        <v>0</v>
      </c>
      <c r="AA490" s="17">
        <v>0</v>
      </c>
      <c r="AB490" s="17">
        <v>0</v>
      </c>
      <c r="AC490" s="17">
        <v>0</v>
      </c>
      <c r="AD490" s="17">
        <v>0</v>
      </c>
      <c r="AE490" s="17">
        <v>0</v>
      </c>
      <c r="AF490" s="17">
        <v>0</v>
      </c>
      <c r="AG490" s="17">
        <v>0</v>
      </c>
      <c r="AH490" s="17">
        <v>0</v>
      </c>
      <c r="AI490" s="17">
        <f t="shared" si="31"/>
        <v>6</v>
      </c>
      <c r="AJ490" s="17">
        <f t="shared" si="32"/>
        <v>5</v>
      </c>
      <c r="AK490" s="17">
        <f t="shared" si="33"/>
        <v>0</v>
      </c>
      <c r="AL490" s="17">
        <f t="shared" si="34"/>
        <v>0</v>
      </c>
      <c r="AM490" s="17">
        <f>VLOOKUP(AK490,Sheet1!$A$2:$B$25,2,FALSE)</f>
        <v>0</v>
      </c>
    </row>
    <row r="491" spans="1:39" s="17" customFormat="1" x14ac:dyDescent="0.25">
      <c r="A491" s="21">
        <v>44597.010416666664</v>
      </c>
      <c r="B491" s="17">
        <v>6.27</v>
      </c>
      <c r="C491" s="17">
        <v>2.09</v>
      </c>
      <c r="D491" s="17">
        <v>4.18</v>
      </c>
      <c r="E491" s="17">
        <v>0</v>
      </c>
      <c r="F491" s="17">
        <v>0</v>
      </c>
      <c r="G491" s="17">
        <v>0</v>
      </c>
      <c r="H491" s="17">
        <v>1.79</v>
      </c>
      <c r="I491" s="17">
        <v>0</v>
      </c>
      <c r="J491" s="17">
        <v>1.8</v>
      </c>
      <c r="K491" s="17">
        <v>0</v>
      </c>
      <c r="L491" s="17">
        <v>0</v>
      </c>
      <c r="M491" s="17">
        <v>0</v>
      </c>
      <c r="N491" s="17">
        <v>0</v>
      </c>
      <c r="O491" s="17">
        <v>0</v>
      </c>
      <c r="P491" s="17">
        <v>0</v>
      </c>
      <c r="Q491" s="17">
        <v>0</v>
      </c>
      <c r="R491" s="17">
        <v>0.2084</v>
      </c>
      <c r="S491" s="17">
        <v>0</v>
      </c>
      <c r="T491" s="17">
        <v>0</v>
      </c>
      <c r="U491" s="17">
        <v>2.1</v>
      </c>
      <c r="V491" s="17">
        <v>0</v>
      </c>
      <c r="W491" s="17">
        <v>1.1499999999999999</v>
      </c>
      <c r="X491" s="17">
        <v>0</v>
      </c>
      <c r="Y491" s="17">
        <v>0</v>
      </c>
      <c r="Z491" s="17">
        <v>0</v>
      </c>
      <c r="AA491" s="17">
        <v>0</v>
      </c>
      <c r="AB491" s="17">
        <v>0</v>
      </c>
      <c r="AC491" s="17">
        <v>0</v>
      </c>
      <c r="AD491" s="17">
        <v>0</v>
      </c>
      <c r="AE491" s="17">
        <v>0</v>
      </c>
      <c r="AF491" s="17">
        <v>0</v>
      </c>
      <c r="AG491" s="17">
        <v>0</v>
      </c>
      <c r="AH491" s="17">
        <v>0</v>
      </c>
      <c r="AI491" s="17">
        <f t="shared" si="31"/>
        <v>6</v>
      </c>
      <c r="AJ491" s="17">
        <f t="shared" si="32"/>
        <v>5</v>
      </c>
      <c r="AK491" s="17">
        <f t="shared" si="33"/>
        <v>0</v>
      </c>
      <c r="AL491" s="17">
        <f t="shared" si="34"/>
        <v>0</v>
      </c>
      <c r="AM491" s="17">
        <f>VLOOKUP(AK491,Sheet1!$A$2:$B$25,2,FALSE)</f>
        <v>0</v>
      </c>
    </row>
    <row r="492" spans="1:39" s="17" customFormat="1" x14ac:dyDescent="0.25">
      <c r="A492" s="21">
        <v>44597.020833333336</v>
      </c>
      <c r="B492" s="17">
        <v>6.22</v>
      </c>
      <c r="C492" s="17">
        <v>2.1</v>
      </c>
      <c r="D492" s="17">
        <v>4.12</v>
      </c>
      <c r="E492" s="17">
        <v>0</v>
      </c>
      <c r="F492" s="17">
        <v>0</v>
      </c>
      <c r="G492" s="17">
        <v>0</v>
      </c>
      <c r="H492" s="17">
        <v>1.87</v>
      </c>
      <c r="I492" s="17">
        <v>0</v>
      </c>
      <c r="J492" s="17">
        <v>1.8</v>
      </c>
      <c r="K492" s="17">
        <v>0</v>
      </c>
      <c r="L492" s="17">
        <v>0</v>
      </c>
      <c r="M492" s="17">
        <v>0</v>
      </c>
      <c r="N492" s="17">
        <v>0</v>
      </c>
      <c r="O492" s="17">
        <v>0</v>
      </c>
      <c r="P492" s="17">
        <v>0</v>
      </c>
      <c r="Q492" s="17">
        <v>0</v>
      </c>
      <c r="R492" s="17">
        <v>0.47599999999999998</v>
      </c>
      <c r="S492" s="17">
        <v>0</v>
      </c>
      <c r="T492" s="17">
        <v>0</v>
      </c>
      <c r="U492" s="17">
        <v>2.12</v>
      </c>
      <c r="V492" s="17">
        <v>0</v>
      </c>
      <c r="W492" s="17">
        <v>1.17</v>
      </c>
      <c r="X492" s="17">
        <v>0</v>
      </c>
      <c r="Y492" s="17">
        <v>0</v>
      </c>
      <c r="Z492" s="17">
        <v>0</v>
      </c>
      <c r="AA492" s="17">
        <v>0</v>
      </c>
      <c r="AB492" s="17">
        <v>0</v>
      </c>
      <c r="AC492" s="17">
        <v>0</v>
      </c>
      <c r="AD492" s="17">
        <v>0</v>
      </c>
      <c r="AE492" s="17">
        <v>0</v>
      </c>
      <c r="AF492" s="17">
        <v>0</v>
      </c>
      <c r="AG492" s="17">
        <v>0</v>
      </c>
      <c r="AH492" s="17">
        <v>0</v>
      </c>
      <c r="AI492" s="17">
        <f t="shared" si="31"/>
        <v>6</v>
      </c>
      <c r="AJ492" s="17">
        <f t="shared" si="32"/>
        <v>5</v>
      </c>
      <c r="AK492" s="17">
        <f t="shared" si="33"/>
        <v>0</v>
      </c>
      <c r="AL492" s="17">
        <f t="shared" si="34"/>
        <v>0</v>
      </c>
      <c r="AM492" s="17">
        <f>VLOOKUP(AK492,Sheet1!$A$2:$B$25,2,FALSE)</f>
        <v>0</v>
      </c>
    </row>
    <row r="493" spans="1:39" s="17" customFormat="1" x14ac:dyDescent="0.25">
      <c r="A493" s="21">
        <v>44597.03125</v>
      </c>
      <c r="B493" s="17">
        <v>6.96</v>
      </c>
      <c r="C493" s="17">
        <v>2.69</v>
      </c>
      <c r="D493" s="17">
        <v>4.28</v>
      </c>
      <c r="E493" s="17">
        <v>0</v>
      </c>
      <c r="F493" s="17">
        <v>0</v>
      </c>
      <c r="G493" s="17">
        <v>0</v>
      </c>
      <c r="H493" s="17">
        <v>1.82</v>
      </c>
      <c r="I493" s="17">
        <v>0</v>
      </c>
      <c r="J493" s="17">
        <v>1.51</v>
      </c>
      <c r="K493" s="17">
        <v>0</v>
      </c>
      <c r="L493" s="17">
        <v>0</v>
      </c>
      <c r="M493" s="17">
        <v>0</v>
      </c>
      <c r="N493" s="17">
        <v>0</v>
      </c>
      <c r="O493" s="17">
        <v>0</v>
      </c>
      <c r="P493" s="17">
        <v>0</v>
      </c>
      <c r="Q493" s="17">
        <v>0</v>
      </c>
      <c r="R493" s="17">
        <v>0.61260000000000003</v>
      </c>
      <c r="S493" s="17">
        <v>0</v>
      </c>
      <c r="T493" s="17">
        <v>0</v>
      </c>
      <c r="U493" s="17">
        <v>2.11</v>
      </c>
      <c r="V493" s="17">
        <v>0</v>
      </c>
      <c r="W493" s="17">
        <v>1.1599999999999999</v>
      </c>
      <c r="X493" s="17">
        <v>0</v>
      </c>
      <c r="Y493" s="17">
        <v>0</v>
      </c>
      <c r="Z493" s="17">
        <v>0</v>
      </c>
      <c r="AA493" s="17">
        <v>0</v>
      </c>
      <c r="AB493" s="17">
        <v>0</v>
      </c>
      <c r="AC493" s="17">
        <v>0</v>
      </c>
      <c r="AD493" s="17">
        <v>0</v>
      </c>
      <c r="AE493" s="17">
        <v>0</v>
      </c>
      <c r="AF493" s="17">
        <v>0</v>
      </c>
      <c r="AG493" s="17">
        <v>0</v>
      </c>
      <c r="AH493" s="17">
        <v>0</v>
      </c>
      <c r="AI493" s="17">
        <f t="shared" si="31"/>
        <v>6</v>
      </c>
      <c r="AJ493" s="17">
        <f t="shared" si="32"/>
        <v>5</v>
      </c>
      <c r="AK493" s="17">
        <f t="shared" si="33"/>
        <v>0</v>
      </c>
      <c r="AL493" s="17">
        <f t="shared" si="34"/>
        <v>0</v>
      </c>
      <c r="AM493" s="17">
        <f>VLOOKUP(AK493,Sheet1!$A$2:$B$25,2,FALSE)</f>
        <v>0</v>
      </c>
    </row>
    <row r="494" spans="1:39" s="17" customFormat="1" x14ac:dyDescent="0.25">
      <c r="A494" s="21">
        <v>44597.041666666664</v>
      </c>
      <c r="B494" s="17">
        <v>5.35</v>
      </c>
      <c r="C494" s="17">
        <v>1.18</v>
      </c>
      <c r="D494" s="17">
        <v>4.17</v>
      </c>
      <c r="E494" s="17">
        <v>0</v>
      </c>
      <c r="F494" s="17">
        <v>0</v>
      </c>
      <c r="G494" s="17">
        <v>0</v>
      </c>
      <c r="H494" s="17">
        <v>1.76</v>
      </c>
      <c r="I494" s="17">
        <v>0</v>
      </c>
      <c r="J494" s="17">
        <v>1.79</v>
      </c>
      <c r="K494" s="17">
        <v>0</v>
      </c>
      <c r="L494" s="17">
        <v>0</v>
      </c>
      <c r="M494" s="17">
        <v>0</v>
      </c>
      <c r="N494" s="17">
        <v>0</v>
      </c>
      <c r="O494" s="17">
        <v>0</v>
      </c>
      <c r="P494" s="17">
        <v>0</v>
      </c>
      <c r="Q494" s="17">
        <v>0</v>
      </c>
      <c r="R494" s="17">
        <v>0.35370000000000001</v>
      </c>
      <c r="S494" s="17">
        <v>0</v>
      </c>
      <c r="T494" s="17">
        <v>0</v>
      </c>
      <c r="U494" s="17">
        <v>2.09</v>
      </c>
      <c r="V494" s="17">
        <v>0</v>
      </c>
      <c r="W494" s="17">
        <v>1.1499999999999999</v>
      </c>
      <c r="X494" s="17">
        <v>0</v>
      </c>
      <c r="Y494" s="17">
        <v>0</v>
      </c>
      <c r="Z494" s="17">
        <v>0</v>
      </c>
      <c r="AA494" s="17">
        <v>0</v>
      </c>
      <c r="AB494" s="17">
        <v>0</v>
      </c>
      <c r="AC494" s="17">
        <v>0</v>
      </c>
      <c r="AD494" s="17">
        <v>0</v>
      </c>
      <c r="AE494" s="17">
        <v>0</v>
      </c>
      <c r="AF494" s="17">
        <v>0</v>
      </c>
      <c r="AG494" s="17">
        <v>0</v>
      </c>
      <c r="AH494" s="17">
        <v>0</v>
      </c>
      <c r="AI494" s="17">
        <f t="shared" si="31"/>
        <v>6</v>
      </c>
      <c r="AJ494" s="17">
        <f t="shared" si="32"/>
        <v>5</v>
      </c>
      <c r="AK494" s="17">
        <f t="shared" si="33"/>
        <v>1</v>
      </c>
      <c r="AL494" s="17">
        <f t="shared" si="34"/>
        <v>0</v>
      </c>
      <c r="AM494" s="17">
        <f>VLOOKUP(AK494,Sheet1!$A$2:$B$25,2,FALSE)</f>
        <v>0</v>
      </c>
    </row>
    <row r="495" spans="1:39" s="17" customFormat="1" x14ac:dyDescent="0.25">
      <c r="A495" s="21">
        <v>44597.052083333336</v>
      </c>
      <c r="B495" s="17">
        <v>6.46</v>
      </c>
      <c r="C495" s="17">
        <v>2.3199999999999998</v>
      </c>
      <c r="D495" s="17">
        <v>4.1399999999999997</v>
      </c>
      <c r="E495" s="17">
        <v>0</v>
      </c>
      <c r="F495" s="17">
        <v>0</v>
      </c>
      <c r="G495" s="17">
        <v>0</v>
      </c>
      <c r="H495" s="17">
        <v>1.91</v>
      </c>
      <c r="I495" s="17">
        <v>0</v>
      </c>
      <c r="J495" s="17">
        <v>1.88</v>
      </c>
      <c r="K495" s="17">
        <v>0</v>
      </c>
      <c r="L495" s="17">
        <v>0</v>
      </c>
      <c r="M495" s="17">
        <v>0</v>
      </c>
      <c r="N495" s="17">
        <v>0</v>
      </c>
      <c r="O495" s="17">
        <v>0</v>
      </c>
      <c r="P495" s="17">
        <v>0</v>
      </c>
      <c r="Q495" s="17">
        <v>0</v>
      </c>
      <c r="R495" s="17">
        <v>0.2432</v>
      </c>
      <c r="S495" s="17">
        <v>0</v>
      </c>
      <c r="T495" s="17">
        <v>0</v>
      </c>
      <c r="U495" s="17">
        <v>2.0699999999999998</v>
      </c>
      <c r="V495" s="17">
        <v>0</v>
      </c>
      <c r="W495" s="17">
        <v>1.1399999999999999</v>
      </c>
      <c r="X495" s="17">
        <v>0</v>
      </c>
      <c r="Y495" s="17">
        <v>0</v>
      </c>
      <c r="Z495" s="17">
        <v>0</v>
      </c>
      <c r="AA495" s="17">
        <v>0</v>
      </c>
      <c r="AB495" s="17">
        <v>0</v>
      </c>
      <c r="AC495" s="17">
        <v>0</v>
      </c>
      <c r="AD495" s="17">
        <v>0</v>
      </c>
      <c r="AE495" s="17">
        <v>0</v>
      </c>
      <c r="AF495" s="17">
        <v>0</v>
      </c>
      <c r="AG495" s="17">
        <v>0</v>
      </c>
      <c r="AH495" s="17">
        <v>0</v>
      </c>
      <c r="AI495" s="17">
        <f t="shared" si="31"/>
        <v>6</v>
      </c>
      <c r="AJ495" s="17">
        <f t="shared" si="32"/>
        <v>5</v>
      </c>
      <c r="AK495" s="17">
        <f t="shared" si="33"/>
        <v>1</v>
      </c>
      <c r="AL495" s="17">
        <f t="shared" si="34"/>
        <v>0</v>
      </c>
      <c r="AM495" s="17">
        <f>VLOOKUP(AK495,Sheet1!$A$2:$B$25,2,FALSE)</f>
        <v>0</v>
      </c>
    </row>
    <row r="496" spans="1:39" s="17" customFormat="1" x14ac:dyDescent="0.25">
      <c r="A496" s="21">
        <v>44597.0625</v>
      </c>
      <c r="B496" s="17">
        <v>6.25</v>
      </c>
      <c r="C496" s="17">
        <v>2.12</v>
      </c>
      <c r="D496" s="17">
        <v>4.13</v>
      </c>
      <c r="E496" s="17">
        <v>0</v>
      </c>
      <c r="F496" s="17">
        <v>0</v>
      </c>
      <c r="G496" s="17">
        <v>0</v>
      </c>
      <c r="H496" s="17">
        <v>1.79</v>
      </c>
      <c r="I496" s="17">
        <v>0</v>
      </c>
      <c r="J496" s="17">
        <v>1.76</v>
      </c>
      <c r="K496" s="17">
        <v>0</v>
      </c>
      <c r="L496" s="17">
        <v>0</v>
      </c>
      <c r="M496" s="17">
        <v>0</v>
      </c>
      <c r="N496" s="17">
        <v>0</v>
      </c>
      <c r="O496" s="17">
        <v>0</v>
      </c>
      <c r="P496" s="17">
        <v>0</v>
      </c>
      <c r="Q496" s="17">
        <v>0</v>
      </c>
      <c r="R496" s="17">
        <v>0.40100000000000002</v>
      </c>
      <c r="S496" s="17">
        <v>0</v>
      </c>
      <c r="T496" s="17">
        <v>0</v>
      </c>
      <c r="U496" s="17">
        <v>2.0699999999999998</v>
      </c>
      <c r="V496" s="17">
        <v>0</v>
      </c>
      <c r="W496" s="17">
        <v>1.1499999999999999</v>
      </c>
      <c r="X496" s="17">
        <v>0</v>
      </c>
      <c r="Y496" s="17">
        <v>0</v>
      </c>
      <c r="Z496" s="17">
        <v>0</v>
      </c>
      <c r="AA496" s="17">
        <v>0</v>
      </c>
      <c r="AB496" s="17">
        <v>0</v>
      </c>
      <c r="AC496" s="17">
        <v>0</v>
      </c>
      <c r="AD496" s="17">
        <v>0</v>
      </c>
      <c r="AE496" s="17">
        <v>0</v>
      </c>
      <c r="AF496" s="17">
        <v>0</v>
      </c>
      <c r="AG496" s="17">
        <v>0</v>
      </c>
      <c r="AH496" s="17">
        <v>0</v>
      </c>
      <c r="AI496" s="17">
        <f t="shared" si="31"/>
        <v>6</v>
      </c>
      <c r="AJ496" s="17">
        <f t="shared" si="32"/>
        <v>5</v>
      </c>
      <c r="AK496" s="17">
        <f t="shared" si="33"/>
        <v>1</v>
      </c>
      <c r="AL496" s="17">
        <f t="shared" si="34"/>
        <v>0</v>
      </c>
      <c r="AM496" s="17">
        <f>VLOOKUP(AK496,Sheet1!$A$2:$B$25,2,FALSE)</f>
        <v>0</v>
      </c>
    </row>
    <row r="497" spans="1:39" s="17" customFormat="1" x14ac:dyDescent="0.25">
      <c r="A497" s="21">
        <v>44597.072916666664</v>
      </c>
      <c r="B497" s="17">
        <v>6.38</v>
      </c>
      <c r="C497" s="17">
        <v>2.09</v>
      </c>
      <c r="D497" s="17">
        <v>4.3</v>
      </c>
      <c r="E497" s="17">
        <v>0</v>
      </c>
      <c r="F497" s="17">
        <v>0</v>
      </c>
      <c r="G497" s="17">
        <v>0</v>
      </c>
      <c r="H497" s="17">
        <v>1.82</v>
      </c>
      <c r="I497" s="17">
        <v>0</v>
      </c>
      <c r="J497" s="17">
        <v>1.77</v>
      </c>
      <c r="K497" s="17">
        <v>0</v>
      </c>
      <c r="L497" s="17">
        <v>0</v>
      </c>
      <c r="M497" s="17">
        <v>0</v>
      </c>
      <c r="N497" s="17">
        <v>0</v>
      </c>
      <c r="O497" s="17">
        <v>0</v>
      </c>
      <c r="P497" s="17">
        <v>0</v>
      </c>
      <c r="Q497" s="17">
        <v>0</v>
      </c>
      <c r="R497" s="17">
        <v>0.49969999999999998</v>
      </c>
      <c r="S497" s="17">
        <v>0</v>
      </c>
      <c r="T497" s="17">
        <v>0</v>
      </c>
      <c r="U497" s="17">
        <v>2.08</v>
      </c>
      <c r="V497" s="17">
        <v>0</v>
      </c>
      <c r="W497" s="17">
        <v>1.1399999999999999</v>
      </c>
      <c r="X497" s="17">
        <v>0</v>
      </c>
      <c r="Y497" s="17">
        <v>0</v>
      </c>
      <c r="Z497" s="17">
        <v>0</v>
      </c>
      <c r="AA497" s="17">
        <v>0</v>
      </c>
      <c r="AB497" s="17">
        <v>0</v>
      </c>
      <c r="AC497" s="17">
        <v>0</v>
      </c>
      <c r="AD497" s="17">
        <v>0</v>
      </c>
      <c r="AE497" s="17">
        <v>0</v>
      </c>
      <c r="AF497" s="17">
        <v>0</v>
      </c>
      <c r="AG497" s="17">
        <v>0</v>
      </c>
      <c r="AH497" s="17">
        <v>0</v>
      </c>
      <c r="AI497" s="17">
        <f t="shared" si="31"/>
        <v>6</v>
      </c>
      <c r="AJ497" s="17">
        <f t="shared" si="32"/>
        <v>5</v>
      </c>
      <c r="AK497" s="17">
        <f t="shared" si="33"/>
        <v>1</v>
      </c>
      <c r="AL497" s="17">
        <f t="shared" si="34"/>
        <v>0</v>
      </c>
      <c r="AM497" s="17">
        <f>VLOOKUP(AK497,Sheet1!$A$2:$B$25,2,FALSE)</f>
        <v>0</v>
      </c>
    </row>
    <row r="498" spans="1:39" s="17" customFormat="1" x14ac:dyDescent="0.25">
      <c r="A498" s="21">
        <v>44597.083333333336</v>
      </c>
      <c r="B498" s="17">
        <v>6.98</v>
      </c>
      <c r="C498" s="17">
        <v>2.64</v>
      </c>
      <c r="D498" s="17">
        <v>4.34</v>
      </c>
      <c r="E498" s="17">
        <v>0</v>
      </c>
      <c r="F498" s="17">
        <v>0</v>
      </c>
      <c r="G498" s="17">
        <v>0</v>
      </c>
      <c r="H498" s="17">
        <v>1.87</v>
      </c>
      <c r="I498" s="17">
        <v>0</v>
      </c>
      <c r="J498" s="17">
        <v>1.84</v>
      </c>
      <c r="K498" s="17">
        <v>0</v>
      </c>
      <c r="L498" s="17">
        <v>0</v>
      </c>
      <c r="M498" s="17">
        <v>0</v>
      </c>
      <c r="N498" s="17">
        <v>0</v>
      </c>
      <c r="O498" s="17">
        <v>0</v>
      </c>
      <c r="P498" s="17">
        <v>0</v>
      </c>
      <c r="Q498" s="17">
        <v>0</v>
      </c>
      <c r="R498" s="17">
        <v>0.43809999999999999</v>
      </c>
      <c r="S498" s="17">
        <v>0</v>
      </c>
      <c r="T498" s="17">
        <v>0</v>
      </c>
      <c r="U498" s="17">
        <v>2.09</v>
      </c>
      <c r="V498" s="17">
        <v>0</v>
      </c>
      <c r="W498" s="17">
        <v>1.1499999999999999</v>
      </c>
      <c r="X498" s="17">
        <v>0</v>
      </c>
      <c r="Y498" s="17">
        <v>0</v>
      </c>
      <c r="Z498" s="17">
        <v>0</v>
      </c>
      <c r="AA498" s="17">
        <v>0</v>
      </c>
      <c r="AB498" s="17">
        <v>0</v>
      </c>
      <c r="AC498" s="17">
        <v>0</v>
      </c>
      <c r="AD498" s="17">
        <v>0</v>
      </c>
      <c r="AE498" s="17">
        <v>0</v>
      </c>
      <c r="AF498" s="17">
        <v>0</v>
      </c>
      <c r="AG498" s="17">
        <v>0</v>
      </c>
      <c r="AH498" s="17">
        <v>0</v>
      </c>
      <c r="AI498" s="17">
        <f t="shared" si="31"/>
        <v>6</v>
      </c>
      <c r="AJ498" s="17">
        <f t="shared" si="32"/>
        <v>5</v>
      </c>
      <c r="AK498" s="17">
        <f t="shared" si="33"/>
        <v>2</v>
      </c>
      <c r="AL498" s="17">
        <f t="shared" si="34"/>
        <v>0</v>
      </c>
      <c r="AM498" s="17">
        <f>VLOOKUP(AK498,Sheet1!$A$2:$B$25,2,FALSE)</f>
        <v>0</v>
      </c>
    </row>
    <row r="499" spans="1:39" s="17" customFormat="1" x14ac:dyDescent="0.25">
      <c r="A499" s="21">
        <v>44597.09375</v>
      </c>
      <c r="B499" s="17">
        <v>5.51</v>
      </c>
      <c r="C499" s="17">
        <v>1.43</v>
      </c>
      <c r="D499" s="17">
        <v>4.08</v>
      </c>
      <c r="E499" s="17">
        <v>0</v>
      </c>
      <c r="F499" s="17">
        <v>0</v>
      </c>
      <c r="G499" s="17">
        <v>0</v>
      </c>
      <c r="H499" s="17">
        <v>1.89</v>
      </c>
      <c r="I499" s="17">
        <v>0</v>
      </c>
      <c r="J499" s="17">
        <v>1.87</v>
      </c>
      <c r="K499" s="17">
        <v>0</v>
      </c>
      <c r="L499" s="17">
        <v>0</v>
      </c>
      <c r="M499" s="17">
        <v>0</v>
      </c>
      <c r="N499" s="17">
        <v>0</v>
      </c>
      <c r="O499" s="17">
        <v>0</v>
      </c>
      <c r="P499" s="17">
        <v>0</v>
      </c>
      <c r="Q499" s="17">
        <v>0</v>
      </c>
      <c r="R499" s="17">
        <v>0.44919999999999999</v>
      </c>
      <c r="S499" s="17">
        <v>0</v>
      </c>
      <c r="T499" s="17">
        <v>0</v>
      </c>
      <c r="U499" s="17">
        <v>2.08</v>
      </c>
      <c r="V499" s="17">
        <v>0</v>
      </c>
      <c r="W499" s="17">
        <v>1.1399999999999999</v>
      </c>
      <c r="X499" s="17">
        <v>0</v>
      </c>
      <c r="Y499" s="17">
        <v>0</v>
      </c>
      <c r="Z499" s="17">
        <v>0</v>
      </c>
      <c r="AA499" s="17">
        <v>0</v>
      </c>
      <c r="AB499" s="17">
        <v>0</v>
      </c>
      <c r="AC499" s="17">
        <v>0</v>
      </c>
      <c r="AD499" s="17">
        <v>0</v>
      </c>
      <c r="AE499" s="17">
        <v>0</v>
      </c>
      <c r="AF499" s="17">
        <v>0</v>
      </c>
      <c r="AG499" s="17">
        <v>0</v>
      </c>
      <c r="AH499" s="17">
        <v>0</v>
      </c>
      <c r="AI499" s="17">
        <f t="shared" si="31"/>
        <v>6</v>
      </c>
      <c r="AJ499" s="17">
        <f t="shared" si="32"/>
        <v>5</v>
      </c>
      <c r="AK499" s="17">
        <f t="shared" si="33"/>
        <v>2</v>
      </c>
      <c r="AL499" s="17">
        <f t="shared" si="34"/>
        <v>0</v>
      </c>
      <c r="AM499" s="17">
        <f>VLOOKUP(AK499,Sheet1!$A$2:$B$25,2,FALSE)</f>
        <v>0</v>
      </c>
    </row>
    <row r="500" spans="1:39" s="17" customFormat="1" x14ac:dyDescent="0.25">
      <c r="A500" s="21">
        <v>44597.104166666664</v>
      </c>
      <c r="B500" s="17">
        <v>5.4</v>
      </c>
      <c r="C500" s="17">
        <v>1.26</v>
      </c>
      <c r="D500" s="17">
        <v>4.1399999999999997</v>
      </c>
      <c r="E500" s="17">
        <v>0</v>
      </c>
      <c r="F500" s="17">
        <v>0</v>
      </c>
      <c r="G500" s="17">
        <v>0</v>
      </c>
      <c r="H500" s="17">
        <v>1.86</v>
      </c>
      <c r="I500" s="17">
        <v>0</v>
      </c>
      <c r="J500" s="17">
        <v>1.87</v>
      </c>
      <c r="K500" s="17">
        <v>0</v>
      </c>
      <c r="L500" s="17">
        <v>0</v>
      </c>
      <c r="M500" s="17">
        <v>0</v>
      </c>
      <c r="N500" s="17">
        <v>0</v>
      </c>
      <c r="O500" s="17">
        <v>0</v>
      </c>
      <c r="P500" s="17">
        <v>0</v>
      </c>
      <c r="Q500" s="17">
        <v>0</v>
      </c>
      <c r="R500" s="17">
        <v>0.3805</v>
      </c>
      <c r="S500" s="17">
        <v>0</v>
      </c>
      <c r="T500" s="17">
        <v>0</v>
      </c>
      <c r="U500" s="17">
        <v>2.09</v>
      </c>
      <c r="V500" s="17">
        <v>0</v>
      </c>
      <c r="W500" s="17">
        <v>1.1499999999999999</v>
      </c>
      <c r="X500" s="17">
        <v>0</v>
      </c>
      <c r="Y500" s="17">
        <v>0</v>
      </c>
      <c r="Z500" s="17">
        <v>0</v>
      </c>
      <c r="AA500" s="17">
        <v>0</v>
      </c>
      <c r="AB500" s="17">
        <v>0</v>
      </c>
      <c r="AC500" s="17">
        <v>0</v>
      </c>
      <c r="AD500" s="17">
        <v>0</v>
      </c>
      <c r="AE500" s="17">
        <v>0</v>
      </c>
      <c r="AF500" s="17">
        <v>0</v>
      </c>
      <c r="AG500" s="17">
        <v>0</v>
      </c>
      <c r="AH500" s="17">
        <v>0</v>
      </c>
      <c r="AI500" s="17">
        <f t="shared" si="31"/>
        <v>6</v>
      </c>
      <c r="AJ500" s="17">
        <f t="shared" si="32"/>
        <v>5</v>
      </c>
      <c r="AK500" s="17">
        <f t="shared" si="33"/>
        <v>2</v>
      </c>
      <c r="AL500" s="17">
        <f t="shared" si="34"/>
        <v>0</v>
      </c>
      <c r="AM500" s="17">
        <f>VLOOKUP(AK500,Sheet1!$A$2:$B$25,2,FALSE)</f>
        <v>0</v>
      </c>
    </row>
    <row r="501" spans="1:39" s="17" customFormat="1" x14ac:dyDescent="0.25">
      <c r="A501" s="21">
        <v>44597.114583333336</v>
      </c>
      <c r="B501" s="17">
        <v>6.48</v>
      </c>
      <c r="C501" s="17">
        <v>2.1800000000000002</v>
      </c>
      <c r="D501" s="17">
        <v>4.29</v>
      </c>
      <c r="E501" s="17">
        <v>0</v>
      </c>
      <c r="F501" s="17">
        <v>0</v>
      </c>
      <c r="G501" s="17">
        <v>0</v>
      </c>
      <c r="H501" s="17">
        <v>1.84</v>
      </c>
      <c r="I501" s="17">
        <v>0</v>
      </c>
      <c r="J501" s="17">
        <v>1.84</v>
      </c>
      <c r="K501" s="17">
        <v>0</v>
      </c>
      <c r="L501" s="17">
        <v>0</v>
      </c>
      <c r="M501" s="17">
        <v>0</v>
      </c>
      <c r="N501" s="17">
        <v>0</v>
      </c>
      <c r="O501" s="17">
        <v>0</v>
      </c>
      <c r="P501" s="17">
        <v>0</v>
      </c>
      <c r="Q501" s="17">
        <v>0</v>
      </c>
      <c r="R501" s="17">
        <v>0.54310000000000003</v>
      </c>
      <c r="S501" s="17">
        <v>0</v>
      </c>
      <c r="T501" s="17">
        <v>0</v>
      </c>
      <c r="U501" s="17">
        <v>2.09</v>
      </c>
      <c r="V501" s="17">
        <v>0</v>
      </c>
      <c r="W501" s="17">
        <v>1.1499999999999999</v>
      </c>
      <c r="X501" s="17">
        <v>0</v>
      </c>
      <c r="Y501" s="17">
        <v>0</v>
      </c>
      <c r="Z501" s="17">
        <v>0</v>
      </c>
      <c r="AA501" s="17">
        <v>0</v>
      </c>
      <c r="AB501" s="17">
        <v>0</v>
      </c>
      <c r="AC501" s="17">
        <v>0</v>
      </c>
      <c r="AD501" s="17">
        <v>0</v>
      </c>
      <c r="AE501" s="17">
        <v>0</v>
      </c>
      <c r="AF501" s="17">
        <v>0</v>
      </c>
      <c r="AG501" s="17">
        <v>0</v>
      </c>
      <c r="AH501" s="17">
        <v>0</v>
      </c>
      <c r="AI501" s="17">
        <f t="shared" si="31"/>
        <v>6</v>
      </c>
      <c r="AJ501" s="17">
        <f t="shared" si="32"/>
        <v>5</v>
      </c>
      <c r="AK501" s="17">
        <f t="shared" si="33"/>
        <v>2</v>
      </c>
      <c r="AL501" s="17">
        <f t="shared" si="34"/>
        <v>0</v>
      </c>
      <c r="AM501" s="17">
        <f>VLOOKUP(AK501,Sheet1!$A$2:$B$25,2,FALSE)</f>
        <v>0</v>
      </c>
    </row>
    <row r="502" spans="1:39" s="17" customFormat="1" x14ac:dyDescent="0.25">
      <c r="A502" s="21">
        <v>44597.125</v>
      </c>
      <c r="B502" s="17">
        <v>7.37</v>
      </c>
      <c r="C502" s="17">
        <v>3.25</v>
      </c>
      <c r="D502" s="17">
        <v>4.1100000000000003</v>
      </c>
      <c r="E502" s="17">
        <v>0</v>
      </c>
      <c r="F502" s="17">
        <v>0</v>
      </c>
      <c r="G502" s="17">
        <v>0</v>
      </c>
      <c r="H502" s="17">
        <v>1.77</v>
      </c>
      <c r="I502" s="17">
        <v>0</v>
      </c>
      <c r="J502" s="17">
        <v>1.58</v>
      </c>
      <c r="K502" s="17">
        <v>0</v>
      </c>
      <c r="L502" s="17">
        <v>0</v>
      </c>
      <c r="M502" s="17">
        <v>0</v>
      </c>
      <c r="N502" s="17">
        <v>0</v>
      </c>
      <c r="O502" s="17">
        <v>0</v>
      </c>
      <c r="P502" s="17">
        <v>0</v>
      </c>
      <c r="Q502" s="17">
        <v>0</v>
      </c>
      <c r="R502" s="17">
        <v>0.28029999999999999</v>
      </c>
      <c r="S502" s="17">
        <v>0</v>
      </c>
      <c r="T502" s="17">
        <v>0</v>
      </c>
      <c r="U502" s="17">
        <v>2.1</v>
      </c>
      <c r="V502" s="17">
        <v>0</v>
      </c>
      <c r="W502" s="17">
        <v>1.1499999999999999</v>
      </c>
      <c r="X502" s="17">
        <v>0</v>
      </c>
      <c r="Y502" s="17">
        <v>0</v>
      </c>
      <c r="Z502" s="17">
        <v>0</v>
      </c>
      <c r="AA502" s="17">
        <v>0</v>
      </c>
      <c r="AB502" s="17">
        <v>0</v>
      </c>
      <c r="AC502" s="17">
        <v>0</v>
      </c>
      <c r="AD502" s="17">
        <v>0</v>
      </c>
      <c r="AE502" s="17">
        <v>0</v>
      </c>
      <c r="AF502" s="17">
        <v>0</v>
      </c>
      <c r="AG502" s="17">
        <v>0</v>
      </c>
      <c r="AH502" s="17">
        <v>0</v>
      </c>
      <c r="AI502" s="17">
        <f t="shared" si="31"/>
        <v>6</v>
      </c>
      <c r="AJ502" s="17">
        <f t="shared" si="32"/>
        <v>5</v>
      </c>
      <c r="AK502" s="17">
        <f t="shared" si="33"/>
        <v>3</v>
      </c>
      <c r="AL502" s="17">
        <f t="shared" si="34"/>
        <v>0</v>
      </c>
      <c r="AM502" s="17">
        <f>VLOOKUP(AK502,Sheet1!$A$2:$B$25,2,FALSE)</f>
        <v>0</v>
      </c>
    </row>
    <row r="503" spans="1:39" s="17" customFormat="1" x14ac:dyDescent="0.25">
      <c r="A503" s="21">
        <v>44597.135416666664</v>
      </c>
      <c r="B503" s="17">
        <v>5.62</v>
      </c>
      <c r="C503" s="17">
        <v>1.46</v>
      </c>
      <c r="D503" s="17">
        <v>4.17</v>
      </c>
      <c r="E503" s="17">
        <v>0</v>
      </c>
      <c r="F503" s="17">
        <v>0</v>
      </c>
      <c r="G503" s="17">
        <v>0</v>
      </c>
      <c r="H503" s="17">
        <v>1.86</v>
      </c>
      <c r="I503" s="17">
        <v>0</v>
      </c>
      <c r="J503" s="17">
        <v>1.67</v>
      </c>
      <c r="K503" s="17">
        <v>0</v>
      </c>
      <c r="L503" s="17">
        <v>0</v>
      </c>
      <c r="M503" s="17">
        <v>0</v>
      </c>
      <c r="N503" s="17">
        <v>0</v>
      </c>
      <c r="O503" s="17">
        <v>0</v>
      </c>
      <c r="P503" s="17">
        <v>0</v>
      </c>
      <c r="Q503" s="17">
        <v>0</v>
      </c>
      <c r="R503" s="17">
        <v>0.48949999999999999</v>
      </c>
      <c r="S503" s="17">
        <v>0</v>
      </c>
      <c r="T503" s="17">
        <v>0</v>
      </c>
      <c r="U503" s="17">
        <v>2.08</v>
      </c>
      <c r="V503" s="17">
        <v>0</v>
      </c>
      <c r="W503" s="17">
        <v>1.1399999999999999</v>
      </c>
      <c r="X503" s="17">
        <v>0</v>
      </c>
      <c r="Y503" s="17">
        <v>0</v>
      </c>
      <c r="Z503" s="17">
        <v>0</v>
      </c>
      <c r="AA503" s="17">
        <v>0</v>
      </c>
      <c r="AB503" s="17">
        <v>0</v>
      </c>
      <c r="AC503" s="17">
        <v>0</v>
      </c>
      <c r="AD503" s="17">
        <v>0</v>
      </c>
      <c r="AE503" s="17">
        <v>0</v>
      </c>
      <c r="AF503" s="17">
        <v>0</v>
      </c>
      <c r="AG503" s="17">
        <v>0</v>
      </c>
      <c r="AH503" s="17">
        <v>0</v>
      </c>
      <c r="AI503" s="17">
        <f t="shared" si="31"/>
        <v>6</v>
      </c>
      <c r="AJ503" s="17">
        <f t="shared" si="32"/>
        <v>5</v>
      </c>
      <c r="AK503" s="17">
        <f t="shared" si="33"/>
        <v>3</v>
      </c>
      <c r="AL503" s="17">
        <f t="shared" si="34"/>
        <v>0</v>
      </c>
      <c r="AM503" s="17">
        <f>VLOOKUP(AK503,Sheet1!$A$2:$B$25,2,FALSE)</f>
        <v>0</v>
      </c>
    </row>
    <row r="504" spans="1:39" s="17" customFormat="1" x14ac:dyDescent="0.25">
      <c r="A504" s="21">
        <v>44597.145833333336</v>
      </c>
      <c r="B504" s="17">
        <v>5.48</v>
      </c>
      <c r="C504" s="17">
        <v>1.47</v>
      </c>
      <c r="D504" s="17">
        <v>4.01</v>
      </c>
      <c r="E504" s="17">
        <v>0</v>
      </c>
      <c r="F504" s="17">
        <v>0</v>
      </c>
      <c r="G504" s="17">
        <v>0</v>
      </c>
      <c r="H504" s="17">
        <v>1.87</v>
      </c>
      <c r="I504" s="17">
        <v>0</v>
      </c>
      <c r="J504" s="17">
        <v>1.9</v>
      </c>
      <c r="K504" s="17">
        <v>0</v>
      </c>
      <c r="L504" s="17">
        <v>0</v>
      </c>
      <c r="M504" s="17">
        <v>0</v>
      </c>
      <c r="N504" s="17">
        <v>0</v>
      </c>
      <c r="O504" s="17">
        <v>0</v>
      </c>
      <c r="P504" s="17">
        <v>0</v>
      </c>
      <c r="Q504" s="17">
        <v>0</v>
      </c>
      <c r="R504" s="17">
        <v>0.65369999999999995</v>
      </c>
      <c r="S504" s="17">
        <v>0</v>
      </c>
      <c r="T504" s="17">
        <v>0</v>
      </c>
      <c r="U504" s="17">
        <v>2.0499999999999998</v>
      </c>
      <c r="V504" s="17">
        <v>0</v>
      </c>
      <c r="W504" s="17">
        <v>1.1299999999999999</v>
      </c>
      <c r="X504" s="17">
        <v>0</v>
      </c>
      <c r="Y504" s="17">
        <v>0</v>
      </c>
      <c r="Z504" s="17">
        <v>0</v>
      </c>
      <c r="AA504" s="17">
        <v>0</v>
      </c>
      <c r="AB504" s="17">
        <v>0</v>
      </c>
      <c r="AC504" s="17">
        <v>0</v>
      </c>
      <c r="AD504" s="17">
        <v>0</v>
      </c>
      <c r="AE504" s="17">
        <v>0</v>
      </c>
      <c r="AF504" s="17">
        <v>0</v>
      </c>
      <c r="AG504" s="17">
        <v>0</v>
      </c>
      <c r="AH504" s="17">
        <v>0</v>
      </c>
      <c r="AI504" s="17">
        <f t="shared" si="31"/>
        <v>6</v>
      </c>
      <c r="AJ504" s="17">
        <f t="shared" si="32"/>
        <v>5</v>
      </c>
      <c r="AK504" s="17">
        <f t="shared" si="33"/>
        <v>3</v>
      </c>
      <c r="AL504" s="17">
        <f t="shared" si="34"/>
        <v>0</v>
      </c>
      <c r="AM504" s="17">
        <f>VLOOKUP(AK504,Sheet1!$A$2:$B$25,2,FALSE)</f>
        <v>0</v>
      </c>
    </row>
    <row r="505" spans="1:39" s="17" customFormat="1" x14ac:dyDescent="0.25">
      <c r="A505" s="21">
        <v>44597.15625</v>
      </c>
      <c r="B505" s="17">
        <v>5.29</v>
      </c>
      <c r="C505" s="17">
        <v>1.21</v>
      </c>
      <c r="D505" s="17">
        <v>4.08</v>
      </c>
      <c r="E505" s="17">
        <v>0</v>
      </c>
      <c r="F505" s="17">
        <v>0</v>
      </c>
      <c r="G505" s="17">
        <v>0</v>
      </c>
      <c r="H505" s="17">
        <v>1.94</v>
      </c>
      <c r="I505" s="17">
        <v>0</v>
      </c>
      <c r="J505" s="17">
        <v>1.93</v>
      </c>
      <c r="K505" s="17">
        <v>0</v>
      </c>
      <c r="L505" s="17">
        <v>0</v>
      </c>
      <c r="M505" s="17">
        <v>0</v>
      </c>
      <c r="N505" s="17">
        <v>0</v>
      </c>
      <c r="O505" s="17">
        <v>0</v>
      </c>
      <c r="P505" s="17">
        <v>0</v>
      </c>
      <c r="Q505" s="17">
        <v>0</v>
      </c>
      <c r="R505" s="17">
        <v>0.49020000000000002</v>
      </c>
      <c r="S505" s="17">
        <v>0</v>
      </c>
      <c r="T505" s="17">
        <v>0</v>
      </c>
      <c r="U505" s="17">
        <v>2.04</v>
      </c>
      <c r="V505" s="17">
        <v>0</v>
      </c>
      <c r="W505" s="17">
        <v>1.1000000000000001</v>
      </c>
      <c r="X505" s="17">
        <v>0</v>
      </c>
      <c r="Y505" s="17">
        <v>0</v>
      </c>
      <c r="Z505" s="17">
        <v>0</v>
      </c>
      <c r="AA505" s="17">
        <v>0</v>
      </c>
      <c r="AB505" s="17">
        <v>0</v>
      </c>
      <c r="AC505" s="17">
        <v>0</v>
      </c>
      <c r="AD505" s="17">
        <v>0</v>
      </c>
      <c r="AE505" s="17">
        <v>0</v>
      </c>
      <c r="AF505" s="17">
        <v>0</v>
      </c>
      <c r="AG505" s="17">
        <v>0</v>
      </c>
      <c r="AH505" s="17">
        <v>0</v>
      </c>
      <c r="AI505" s="17">
        <f t="shared" si="31"/>
        <v>6</v>
      </c>
      <c r="AJ505" s="17">
        <f t="shared" si="32"/>
        <v>5</v>
      </c>
      <c r="AK505" s="17">
        <f t="shared" si="33"/>
        <v>3</v>
      </c>
      <c r="AL505" s="17">
        <f t="shared" si="34"/>
        <v>0</v>
      </c>
      <c r="AM505" s="17">
        <f>VLOOKUP(AK505,Sheet1!$A$2:$B$25,2,FALSE)</f>
        <v>0</v>
      </c>
    </row>
    <row r="506" spans="1:39" s="17" customFormat="1" x14ac:dyDescent="0.25">
      <c r="A506" s="21">
        <v>44597.166666666664</v>
      </c>
      <c r="B506" s="17">
        <v>6.34</v>
      </c>
      <c r="C506" s="17">
        <v>2.33</v>
      </c>
      <c r="D506" s="17">
        <v>4.0199999999999996</v>
      </c>
      <c r="E506" s="17">
        <v>0</v>
      </c>
      <c r="F506" s="17">
        <v>0</v>
      </c>
      <c r="G506" s="17">
        <v>0</v>
      </c>
      <c r="H506" s="17">
        <v>1.94</v>
      </c>
      <c r="I506" s="17">
        <v>0</v>
      </c>
      <c r="J506" s="17">
        <v>1.89</v>
      </c>
      <c r="K506" s="17">
        <v>0</v>
      </c>
      <c r="L506" s="17">
        <v>0</v>
      </c>
      <c r="M506" s="17">
        <v>0</v>
      </c>
      <c r="N506" s="17">
        <v>0</v>
      </c>
      <c r="O506" s="17">
        <v>0</v>
      </c>
      <c r="P506" s="17">
        <v>0</v>
      </c>
      <c r="Q506" s="17">
        <v>0</v>
      </c>
      <c r="R506" s="17">
        <v>0.44209999999999999</v>
      </c>
      <c r="S506" s="17">
        <v>0</v>
      </c>
      <c r="T506" s="17">
        <v>0</v>
      </c>
      <c r="U506" s="17">
        <v>2.04</v>
      </c>
      <c r="V506" s="17">
        <v>0</v>
      </c>
      <c r="W506" s="17">
        <v>1.0900000000000001</v>
      </c>
      <c r="X506" s="17">
        <v>0</v>
      </c>
      <c r="Y506" s="17">
        <v>0</v>
      </c>
      <c r="Z506" s="17">
        <v>0</v>
      </c>
      <c r="AA506" s="17">
        <v>0</v>
      </c>
      <c r="AB506" s="17">
        <v>0</v>
      </c>
      <c r="AC506" s="17">
        <v>0</v>
      </c>
      <c r="AD506" s="17">
        <v>0</v>
      </c>
      <c r="AE506" s="17">
        <v>0</v>
      </c>
      <c r="AF506" s="17">
        <v>0</v>
      </c>
      <c r="AG506" s="17">
        <v>0</v>
      </c>
      <c r="AH506" s="17">
        <v>0</v>
      </c>
      <c r="AI506" s="17">
        <f t="shared" si="31"/>
        <v>6</v>
      </c>
      <c r="AJ506" s="17">
        <f t="shared" si="32"/>
        <v>5</v>
      </c>
      <c r="AK506" s="17">
        <f t="shared" si="33"/>
        <v>4</v>
      </c>
      <c r="AL506" s="17">
        <f t="shared" si="34"/>
        <v>0</v>
      </c>
      <c r="AM506" s="17">
        <f>VLOOKUP(AK506,Sheet1!$A$2:$B$25,2,FALSE)</f>
        <v>1</v>
      </c>
    </row>
    <row r="507" spans="1:39" s="17" customFormat="1" x14ac:dyDescent="0.25">
      <c r="A507" s="21">
        <v>44597.177083333336</v>
      </c>
      <c r="B507" s="17">
        <v>5.27</v>
      </c>
      <c r="C507" s="17">
        <v>1.01</v>
      </c>
      <c r="D507" s="17">
        <v>4.26</v>
      </c>
      <c r="E507" s="17">
        <v>0</v>
      </c>
      <c r="F507" s="17">
        <v>0</v>
      </c>
      <c r="G507" s="17">
        <v>0</v>
      </c>
      <c r="H507" s="17">
        <v>1.88</v>
      </c>
      <c r="I507" s="17">
        <v>0</v>
      </c>
      <c r="J507" s="17">
        <v>1.91</v>
      </c>
      <c r="K507" s="17">
        <v>0</v>
      </c>
      <c r="L507" s="17">
        <v>0</v>
      </c>
      <c r="M507" s="17">
        <v>0</v>
      </c>
      <c r="N507" s="17">
        <v>0</v>
      </c>
      <c r="O507" s="17">
        <v>0</v>
      </c>
      <c r="P507" s="17">
        <v>0</v>
      </c>
      <c r="Q507" s="17">
        <v>0</v>
      </c>
      <c r="R507" s="17">
        <v>0.44840000000000002</v>
      </c>
      <c r="S507" s="17">
        <v>0</v>
      </c>
      <c r="T507" s="17">
        <v>0</v>
      </c>
      <c r="U507" s="17">
        <v>2.0299999999999998</v>
      </c>
      <c r="V507" s="17">
        <v>0</v>
      </c>
      <c r="W507" s="17">
        <v>1.08</v>
      </c>
      <c r="X507" s="17">
        <v>0</v>
      </c>
      <c r="Y507" s="17">
        <v>0</v>
      </c>
      <c r="Z507" s="17">
        <v>0</v>
      </c>
      <c r="AA507" s="17">
        <v>0</v>
      </c>
      <c r="AB507" s="17">
        <v>0</v>
      </c>
      <c r="AC507" s="17">
        <v>0</v>
      </c>
      <c r="AD507" s="17">
        <v>0</v>
      </c>
      <c r="AE507" s="17">
        <v>0</v>
      </c>
      <c r="AF507" s="17">
        <v>0</v>
      </c>
      <c r="AG507" s="17">
        <v>0</v>
      </c>
      <c r="AH507" s="17">
        <v>0</v>
      </c>
      <c r="AI507" s="17">
        <f t="shared" si="31"/>
        <v>6</v>
      </c>
      <c r="AJ507" s="17">
        <f t="shared" si="32"/>
        <v>5</v>
      </c>
      <c r="AK507" s="17">
        <f t="shared" si="33"/>
        <v>4</v>
      </c>
      <c r="AL507" s="17">
        <f t="shared" si="34"/>
        <v>0</v>
      </c>
      <c r="AM507" s="17">
        <f>VLOOKUP(AK507,Sheet1!$A$2:$B$25,2,FALSE)</f>
        <v>1</v>
      </c>
    </row>
    <row r="508" spans="1:39" s="17" customFormat="1" x14ac:dyDescent="0.25">
      <c r="A508" s="21">
        <v>44597.1875</v>
      </c>
      <c r="B508" s="17">
        <v>6.04</v>
      </c>
      <c r="C508" s="17">
        <v>1.92</v>
      </c>
      <c r="D508" s="17">
        <v>4.13</v>
      </c>
      <c r="E508" s="17">
        <v>0</v>
      </c>
      <c r="F508" s="17">
        <v>0</v>
      </c>
      <c r="G508" s="17">
        <v>0</v>
      </c>
      <c r="H508" s="17">
        <v>1.96</v>
      </c>
      <c r="I508" s="17">
        <v>0</v>
      </c>
      <c r="J508" s="17">
        <v>1.86</v>
      </c>
      <c r="K508" s="17">
        <v>0</v>
      </c>
      <c r="L508" s="17">
        <v>0</v>
      </c>
      <c r="M508" s="17">
        <v>0</v>
      </c>
      <c r="N508" s="17">
        <v>0</v>
      </c>
      <c r="O508" s="17">
        <v>0</v>
      </c>
      <c r="P508" s="17">
        <v>0</v>
      </c>
      <c r="Q508" s="17">
        <v>0</v>
      </c>
      <c r="R508" s="17">
        <v>0.2021</v>
      </c>
      <c r="S508" s="17">
        <v>0</v>
      </c>
      <c r="T508" s="17">
        <v>0</v>
      </c>
      <c r="U508" s="17">
        <v>2.0099999999999998</v>
      </c>
      <c r="V508" s="17">
        <v>0</v>
      </c>
      <c r="W508" s="17">
        <v>1.07</v>
      </c>
      <c r="X508" s="17">
        <v>0</v>
      </c>
      <c r="Y508" s="17">
        <v>0</v>
      </c>
      <c r="Z508" s="17">
        <v>0</v>
      </c>
      <c r="AA508" s="17">
        <v>0</v>
      </c>
      <c r="AB508" s="17">
        <v>0</v>
      </c>
      <c r="AC508" s="17">
        <v>0</v>
      </c>
      <c r="AD508" s="17">
        <v>0</v>
      </c>
      <c r="AE508" s="17">
        <v>0</v>
      </c>
      <c r="AF508" s="17">
        <v>0</v>
      </c>
      <c r="AG508" s="17">
        <v>0</v>
      </c>
      <c r="AH508" s="17">
        <v>0</v>
      </c>
      <c r="AI508" s="17">
        <f t="shared" si="31"/>
        <v>6</v>
      </c>
      <c r="AJ508" s="17">
        <f t="shared" si="32"/>
        <v>5</v>
      </c>
      <c r="AK508" s="17">
        <f t="shared" si="33"/>
        <v>4</v>
      </c>
      <c r="AL508" s="17">
        <f t="shared" si="34"/>
        <v>0</v>
      </c>
      <c r="AM508" s="17">
        <f>VLOOKUP(AK508,Sheet1!$A$2:$B$25,2,FALSE)</f>
        <v>1</v>
      </c>
    </row>
    <row r="509" spans="1:39" s="17" customFormat="1" x14ac:dyDescent="0.25">
      <c r="A509" s="21">
        <v>44597.197916666664</v>
      </c>
      <c r="B509" s="17">
        <v>6.18</v>
      </c>
      <c r="C509" s="17">
        <v>2.2000000000000002</v>
      </c>
      <c r="D509" s="17">
        <v>3.97</v>
      </c>
      <c r="E509" s="17">
        <v>0</v>
      </c>
      <c r="F509" s="17">
        <v>0</v>
      </c>
      <c r="G509" s="17">
        <v>0</v>
      </c>
      <c r="H509" s="17">
        <v>1.91</v>
      </c>
      <c r="I509" s="17">
        <v>0</v>
      </c>
      <c r="J509" s="17">
        <v>1.92</v>
      </c>
      <c r="K509" s="17">
        <v>0</v>
      </c>
      <c r="L509" s="17">
        <v>0</v>
      </c>
      <c r="M509" s="17">
        <v>0</v>
      </c>
      <c r="N509" s="17">
        <v>0</v>
      </c>
      <c r="O509" s="17">
        <v>0</v>
      </c>
      <c r="P509" s="17">
        <v>0</v>
      </c>
      <c r="Q509" s="17">
        <v>0</v>
      </c>
      <c r="R509" s="17">
        <v>0.68920000000000003</v>
      </c>
      <c r="S509" s="17">
        <v>0</v>
      </c>
      <c r="T509" s="17">
        <v>0</v>
      </c>
      <c r="U509" s="17">
        <v>2.02</v>
      </c>
      <c r="V509" s="17">
        <v>0</v>
      </c>
      <c r="W509" s="17">
        <v>1.07</v>
      </c>
      <c r="X509" s="17">
        <v>0</v>
      </c>
      <c r="Y509" s="17">
        <v>0</v>
      </c>
      <c r="Z509" s="17">
        <v>0</v>
      </c>
      <c r="AA509" s="17">
        <v>0</v>
      </c>
      <c r="AB509" s="17">
        <v>0</v>
      </c>
      <c r="AC509" s="17">
        <v>0</v>
      </c>
      <c r="AD509" s="17">
        <v>0</v>
      </c>
      <c r="AE509" s="17">
        <v>0</v>
      </c>
      <c r="AF509" s="17">
        <v>0</v>
      </c>
      <c r="AG509" s="17">
        <v>0</v>
      </c>
      <c r="AH509" s="17">
        <v>0</v>
      </c>
      <c r="AI509" s="17">
        <f t="shared" si="31"/>
        <v>6</v>
      </c>
      <c r="AJ509" s="17">
        <f t="shared" si="32"/>
        <v>5</v>
      </c>
      <c r="AK509" s="17">
        <f t="shared" si="33"/>
        <v>4</v>
      </c>
      <c r="AL509" s="17">
        <f t="shared" si="34"/>
        <v>0</v>
      </c>
      <c r="AM509" s="17">
        <f>VLOOKUP(AK509,Sheet1!$A$2:$B$25,2,FALSE)</f>
        <v>1</v>
      </c>
    </row>
    <row r="510" spans="1:39" s="17" customFormat="1" x14ac:dyDescent="0.25">
      <c r="A510" s="21">
        <v>44597.208333333336</v>
      </c>
      <c r="B510" s="17">
        <v>6.56</v>
      </c>
      <c r="C510" s="17">
        <v>2.46</v>
      </c>
      <c r="D510" s="17">
        <v>4.0999999999999996</v>
      </c>
      <c r="E510" s="17">
        <v>0</v>
      </c>
      <c r="F510" s="17">
        <v>0</v>
      </c>
      <c r="G510" s="17">
        <v>0</v>
      </c>
      <c r="H510" s="17">
        <v>1.96</v>
      </c>
      <c r="I510" s="17">
        <v>0</v>
      </c>
      <c r="J510" s="17">
        <v>1.98</v>
      </c>
      <c r="K510" s="17">
        <v>0</v>
      </c>
      <c r="L510" s="17">
        <v>0</v>
      </c>
      <c r="M510" s="17">
        <v>0</v>
      </c>
      <c r="N510" s="17">
        <v>0</v>
      </c>
      <c r="O510" s="17">
        <v>0</v>
      </c>
      <c r="P510" s="17">
        <v>0</v>
      </c>
      <c r="Q510" s="17">
        <v>0</v>
      </c>
      <c r="R510" s="17">
        <v>0.30630000000000002</v>
      </c>
      <c r="S510" s="17">
        <v>0</v>
      </c>
      <c r="T510" s="17">
        <v>0</v>
      </c>
      <c r="U510" s="17">
        <v>2.0299999999999998</v>
      </c>
      <c r="V510" s="17">
        <v>0</v>
      </c>
      <c r="W510" s="17">
        <v>1.08</v>
      </c>
      <c r="X510" s="17">
        <v>0</v>
      </c>
      <c r="Y510" s="17">
        <v>0</v>
      </c>
      <c r="Z510" s="17">
        <v>0</v>
      </c>
      <c r="AA510" s="17">
        <v>0</v>
      </c>
      <c r="AB510" s="17">
        <v>0</v>
      </c>
      <c r="AC510" s="17">
        <v>0</v>
      </c>
      <c r="AD510" s="17">
        <v>0</v>
      </c>
      <c r="AE510" s="17">
        <v>0</v>
      </c>
      <c r="AF510" s="17">
        <v>0</v>
      </c>
      <c r="AG510" s="17">
        <v>0</v>
      </c>
      <c r="AH510" s="17">
        <v>0</v>
      </c>
      <c r="AI510" s="17">
        <f t="shared" si="31"/>
        <v>6</v>
      </c>
      <c r="AJ510" s="17">
        <f t="shared" si="32"/>
        <v>5</v>
      </c>
      <c r="AK510" s="17">
        <f t="shared" si="33"/>
        <v>5</v>
      </c>
      <c r="AL510" s="17">
        <f t="shared" si="34"/>
        <v>0</v>
      </c>
      <c r="AM510" s="17">
        <f>VLOOKUP(AK510,Sheet1!$A$2:$B$25,2,FALSE)</f>
        <v>1</v>
      </c>
    </row>
    <row r="511" spans="1:39" s="17" customFormat="1" x14ac:dyDescent="0.25">
      <c r="A511" s="21">
        <v>44597.21875</v>
      </c>
      <c r="B511" s="17">
        <v>5.7</v>
      </c>
      <c r="C511" s="17">
        <v>1.65</v>
      </c>
      <c r="D511" s="17">
        <v>4.05</v>
      </c>
      <c r="E511" s="17">
        <v>0</v>
      </c>
      <c r="F511" s="17">
        <v>0</v>
      </c>
      <c r="G511" s="17">
        <v>0</v>
      </c>
      <c r="H511" s="17">
        <v>2.02</v>
      </c>
      <c r="I511" s="17">
        <v>0</v>
      </c>
      <c r="J511" s="17">
        <v>2.0299999999999998</v>
      </c>
      <c r="K511" s="17">
        <v>0</v>
      </c>
      <c r="L511" s="17">
        <v>0</v>
      </c>
      <c r="M511" s="17">
        <v>0</v>
      </c>
      <c r="N511" s="17">
        <v>0</v>
      </c>
      <c r="O511" s="17">
        <v>0</v>
      </c>
      <c r="P511" s="17">
        <v>0</v>
      </c>
      <c r="Q511" s="17">
        <v>0</v>
      </c>
      <c r="R511" s="17">
        <v>0.43419999999999997</v>
      </c>
      <c r="S511" s="17">
        <v>0</v>
      </c>
      <c r="T511" s="17">
        <v>0</v>
      </c>
      <c r="U511" s="17">
        <v>2.02</v>
      </c>
      <c r="V511" s="17">
        <v>0</v>
      </c>
      <c r="W511" s="17">
        <v>1.07</v>
      </c>
      <c r="X511" s="17">
        <v>0</v>
      </c>
      <c r="Y511" s="17">
        <v>0</v>
      </c>
      <c r="Z511" s="17">
        <v>0</v>
      </c>
      <c r="AA511" s="17">
        <v>0</v>
      </c>
      <c r="AB511" s="17">
        <v>0</v>
      </c>
      <c r="AC511" s="17">
        <v>0</v>
      </c>
      <c r="AD511" s="17">
        <v>0</v>
      </c>
      <c r="AE511" s="17">
        <v>0</v>
      </c>
      <c r="AF511" s="17">
        <v>0</v>
      </c>
      <c r="AG511" s="17">
        <v>0</v>
      </c>
      <c r="AH511" s="17">
        <v>0</v>
      </c>
      <c r="AI511" s="17">
        <f t="shared" si="31"/>
        <v>6</v>
      </c>
      <c r="AJ511" s="17">
        <f t="shared" si="32"/>
        <v>5</v>
      </c>
      <c r="AK511" s="17">
        <f t="shared" si="33"/>
        <v>5</v>
      </c>
      <c r="AL511" s="17">
        <f t="shared" si="34"/>
        <v>0</v>
      </c>
      <c r="AM511" s="17">
        <f>VLOOKUP(AK511,Sheet1!$A$2:$B$25,2,FALSE)</f>
        <v>1</v>
      </c>
    </row>
    <row r="512" spans="1:39" s="17" customFormat="1" x14ac:dyDescent="0.25">
      <c r="A512" s="21">
        <v>44597.229166666664</v>
      </c>
      <c r="B512" s="17">
        <v>6.8</v>
      </c>
      <c r="C512" s="17">
        <v>2.94</v>
      </c>
      <c r="D512" s="17">
        <v>3.86</v>
      </c>
      <c r="E512" s="17">
        <v>0</v>
      </c>
      <c r="F512" s="17">
        <v>0</v>
      </c>
      <c r="G512" s="17">
        <v>0</v>
      </c>
      <c r="H512" s="17">
        <v>2.1</v>
      </c>
      <c r="I512" s="17">
        <v>0</v>
      </c>
      <c r="J512" s="17">
        <v>2.06</v>
      </c>
      <c r="K512" s="17">
        <v>0</v>
      </c>
      <c r="L512" s="17">
        <v>0</v>
      </c>
      <c r="M512" s="17">
        <v>0</v>
      </c>
      <c r="N512" s="17">
        <v>0</v>
      </c>
      <c r="O512" s="17">
        <v>0</v>
      </c>
      <c r="P512" s="17">
        <v>0</v>
      </c>
      <c r="Q512" s="17">
        <v>0</v>
      </c>
      <c r="R512" s="17">
        <v>0.65049999999999997</v>
      </c>
      <c r="S512" s="17">
        <v>0</v>
      </c>
      <c r="T512" s="17">
        <v>0</v>
      </c>
      <c r="U512" s="17">
        <v>2.0299999999999998</v>
      </c>
      <c r="V512" s="17">
        <v>0</v>
      </c>
      <c r="W512" s="17">
        <v>1.08</v>
      </c>
      <c r="X512" s="17">
        <v>0</v>
      </c>
      <c r="Y512" s="17">
        <v>0</v>
      </c>
      <c r="Z512" s="17">
        <v>0</v>
      </c>
      <c r="AA512" s="17">
        <v>0</v>
      </c>
      <c r="AB512" s="17">
        <v>0</v>
      </c>
      <c r="AC512" s="17">
        <v>0</v>
      </c>
      <c r="AD512" s="17">
        <v>0</v>
      </c>
      <c r="AE512" s="17">
        <v>0</v>
      </c>
      <c r="AF512" s="17">
        <v>0</v>
      </c>
      <c r="AG512" s="17">
        <v>0</v>
      </c>
      <c r="AH512" s="17">
        <v>0</v>
      </c>
      <c r="AI512" s="17">
        <f t="shared" si="31"/>
        <v>6</v>
      </c>
      <c r="AJ512" s="17">
        <f t="shared" si="32"/>
        <v>5</v>
      </c>
      <c r="AK512" s="17">
        <f t="shared" si="33"/>
        <v>5</v>
      </c>
      <c r="AL512" s="17">
        <f t="shared" si="34"/>
        <v>0</v>
      </c>
      <c r="AM512" s="17">
        <f>VLOOKUP(AK512,Sheet1!$A$2:$B$25,2,FALSE)</f>
        <v>1</v>
      </c>
    </row>
    <row r="513" spans="1:39" s="17" customFormat="1" x14ac:dyDescent="0.25">
      <c r="A513" s="21">
        <v>44597.239583333336</v>
      </c>
      <c r="B513" s="17">
        <v>6.23</v>
      </c>
      <c r="C513" s="17">
        <v>2.2200000000000002</v>
      </c>
      <c r="D513" s="17">
        <v>4.01</v>
      </c>
      <c r="E513" s="17">
        <v>0</v>
      </c>
      <c r="F513" s="17">
        <v>0</v>
      </c>
      <c r="G513" s="17">
        <v>0</v>
      </c>
      <c r="H513" s="17">
        <v>1.95</v>
      </c>
      <c r="I513" s="17">
        <v>0</v>
      </c>
      <c r="J513" s="17">
        <v>2.06</v>
      </c>
      <c r="K513" s="17">
        <v>0</v>
      </c>
      <c r="L513" s="17">
        <v>0</v>
      </c>
      <c r="M513" s="17">
        <v>0</v>
      </c>
      <c r="N513" s="17">
        <v>0</v>
      </c>
      <c r="O513" s="17">
        <v>0</v>
      </c>
      <c r="P513" s="17">
        <v>0</v>
      </c>
      <c r="Q513" s="17">
        <v>0</v>
      </c>
      <c r="R513" s="17">
        <v>0.44919999999999999</v>
      </c>
      <c r="S513" s="17">
        <v>0</v>
      </c>
      <c r="T513" s="17">
        <v>0</v>
      </c>
      <c r="U513" s="17">
        <v>2.02</v>
      </c>
      <c r="V513" s="17">
        <v>0</v>
      </c>
      <c r="W513" s="17">
        <v>1.08</v>
      </c>
      <c r="X513" s="17">
        <v>0</v>
      </c>
      <c r="Y513" s="17">
        <v>0</v>
      </c>
      <c r="Z513" s="17">
        <v>0</v>
      </c>
      <c r="AA513" s="17">
        <v>0</v>
      </c>
      <c r="AB513" s="17">
        <v>0</v>
      </c>
      <c r="AC513" s="17">
        <v>0</v>
      </c>
      <c r="AD513" s="17">
        <v>0</v>
      </c>
      <c r="AE513" s="17">
        <v>0</v>
      </c>
      <c r="AF513" s="17">
        <v>0</v>
      </c>
      <c r="AG513" s="17">
        <v>0</v>
      </c>
      <c r="AH513" s="17">
        <v>0</v>
      </c>
      <c r="AI513" s="17">
        <f t="shared" si="31"/>
        <v>6</v>
      </c>
      <c r="AJ513" s="17">
        <f t="shared" si="32"/>
        <v>5</v>
      </c>
      <c r="AK513" s="17">
        <f t="shared" si="33"/>
        <v>5</v>
      </c>
      <c r="AL513" s="17">
        <f t="shared" si="34"/>
        <v>0</v>
      </c>
      <c r="AM513" s="17">
        <f>VLOOKUP(AK513,Sheet1!$A$2:$B$25,2,FALSE)</f>
        <v>1</v>
      </c>
    </row>
    <row r="514" spans="1:39" s="17" customFormat="1" x14ac:dyDescent="0.25">
      <c r="A514" s="21">
        <v>44597.25</v>
      </c>
      <c r="B514" s="17">
        <v>6.25</v>
      </c>
      <c r="C514" s="17">
        <v>2.23</v>
      </c>
      <c r="D514" s="17">
        <v>4.0199999999999996</v>
      </c>
      <c r="E514" s="17">
        <v>0</v>
      </c>
      <c r="F514" s="17">
        <v>0</v>
      </c>
      <c r="G514" s="17">
        <v>0</v>
      </c>
      <c r="H514" s="17">
        <v>1.97</v>
      </c>
      <c r="I514" s="17">
        <v>0</v>
      </c>
      <c r="J514" s="17">
        <v>2.04</v>
      </c>
      <c r="K514" s="17">
        <v>0</v>
      </c>
      <c r="L514" s="17">
        <v>0</v>
      </c>
      <c r="M514" s="17">
        <v>0</v>
      </c>
      <c r="N514" s="17">
        <v>0</v>
      </c>
      <c r="O514" s="17">
        <v>0</v>
      </c>
      <c r="P514" s="17">
        <v>0</v>
      </c>
      <c r="Q514" s="17">
        <v>0</v>
      </c>
      <c r="R514" s="17">
        <v>0.29449999999999998</v>
      </c>
      <c r="S514" s="17">
        <v>0</v>
      </c>
      <c r="T514" s="17">
        <v>0</v>
      </c>
      <c r="U514" s="17">
        <v>2.04</v>
      </c>
      <c r="V514" s="17">
        <v>0</v>
      </c>
      <c r="W514" s="17">
        <v>1.0900000000000001</v>
      </c>
      <c r="X514" s="17">
        <v>0</v>
      </c>
      <c r="Y514" s="17">
        <v>0</v>
      </c>
      <c r="Z514" s="17">
        <v>0</v>
      </c>
      <c r="AA514" s="17">
        <v>0</v>
      </c>
      <c r="AB514" s="17">
        <v>0</v>
      </c>
      <c r="AC514" s="17">
        <v>0</v>
      </c>
      <c r="AD514" s="17">
        <v>0</v>
      </c>
      <c r="AE514" s="17">
        <v>0</v>
      </c>
      <c r="AF514" s="17">
        <v>0</v>
      </c>
      <c r="AG514" s="17">
        <v>0</v>
      </c>
      <c r="AH514" s="17">
        <v>0</v>
      </c>
      <c r="AI514" s="17">
        <f t="shared" si="31"/>
        <v>6</v>
      </c>
      <c r="AJ514" s="17">
        <f t="shared" si="32"/>
        <v>5</v>
      </c>
      <c r="AK514" s="17">
        <f t="shared" si="33"/>
        <v>6</v>
      </c>
      <c r="AL514" s="17">
        <f t="shared" si="34"/>
        <v>0</v>
      </c>
      <c r="AM514" s="17">
        <f>VLOOKUP(AK514,Sheet1!$A$2:$B$25,2,FALSE)</f>
        <v>1</v>
      </c>
    </row>
    <row r="515" spans="1:39" s="17" customFormat="1" x14ac:dyDescent="0.25">
      <c r="A515" s="21">
        <v>44597.260416666664</v>
      </c>
      <c r="B515" s="17">
        <v>6.11</v>
      </c>
      <c r="C515" s="17">
        <v>2.02</v>
      </c>
      <c r="D515" s="17">
        <v>4.09</v>
      </c>
      <c r="E515" s="17">
        <v>0</v>
      </c>
      <c r="F515" s="17">
        <v>0</v>
      </c>
      <c r="G515" s="17">
        <v>0</v>
      </c>
      <c r="H515" s="17">
        <v>2.04</v>
      </c>
      <c r="I515" s="17">
        <v>0</v>
      </c>
      <c r="J515" s="17">
        <v>2.0299999999999998</v>
      </c>
      <c r="K515" s="17">
        <v>0</v>
      </c>
      <c r="L515" s="17">
        <v>0</v>
      </c>
      <c r="M515" s="17">
        <v>0</v>
      </c>
      <c r="N515" s="17">
        <v>0</v>
      </c>
      <c r="O515" s="17">
        <v>0</v>
      </c>
      <c r="P515" s="17">
        <v>0</v>
      </c>
      <c r="Q515" s="17">
        <v>0</v>
      </c>
      <c r="R515" s="17">
        <v>0.45390000000000003</v>
      </c>
      <c r="S515" s="17">
        <v>0</v>
      </c>
      <c r="T515" s="17">
        <v>0</v>
      </c>
      <c r="U515" s="17">
        <v>2.04</v>
      </c>
      <c r="V515" s="17">
        <v>0</v>
      </c>
      <c r="W515" s="17">
        <v>1.08</v>
      </c>
      <c r="X515" s="17">
        <v>0</v>
      </c>
      <c r="Y515" s="17">
        <v>0</v>
      </c>
      <c r="Z515" s="17">
        <v>0</v>
      </c>
      <c r="AA515" s="17">
        <v>0</v>
      </c>
      <c r="AB515" s="17">
        <v>0</v>
      </c>
      <c r="AC515" s="17">
        <v>0</v>
      </c>
      <c r="AD515" s="17">
        <v>0</v>
      </c>
      <c r="AE515" s="17">
        <v>0</v>
      </c>
      <c r="AF515" s="17">
        <v>0</v>
      </c>
      <c r="AG515" s="17">
        <v>0</v>
      </c>
      <c r="AH515" s="17">
        <v>0</v>
      </c>
      <c r="AI515" s="17">
        <f t="shared" si="31"/>
        <v>6</v>
      </c>
      <c r="AJ515" s="17">
        <f t="shared" si="32"/>
        <v>5</v>
      </c>
      <c r="AK515" s="17">
        <f t="shared" si="33"/>
        <v>6</v>
      </c>
      <c r="AL515" s="17">
        <f t="shared" si="34"/>
        <v>0</v>
      </c>
      <c r="AM515" s="17">
        <f>VLOOKUP(AK515,Sheet1!$A$2:$B$25,2,FALSE)</f>
        <v>1</v>
      </c>
    </row>
    <row r="516" spans="1:39" s="17" customFormat="1" x14ac:dyDescent="0.25">
      <c r="A516" s="21">
        <v>44597.270833333336</v>
      </c>
      <c r="B516" s="17">
        <v>7.77</v>
      </c>
      <c r="C516" s="17">
        <v>3.21</v>
      </c>
      <c r="D516" s="17">
        <v>4.1399999999999997</v>
      </c>
      <c r="E516" s="17">
        <v>0</v>
      </c>
      <c r="F516" s="17">
        <v>0</v>
      </c>
      <c r="G516" s="17">
        <v>0</v>
      </c>
      <c r="H516" s="17">
        <v>2.11</v>
      </c>
      <c r="I516" s="17">
        <v>0</v>
      </c>
      <c r="J516" s="17">
        <v>2.16</v>
      </c>
      <c r="K516" s="17">
        <v>0</v>
      </c>
      <c r="L516" s="17">
        <v>0</v>
      </c>
      <c r="M516" s="17">
        <v>0</v>
      </c>
      <c r="N516" s="17">
        <v>0</v>
      </c>
      <c r="O516" s="17">
        <v>0</v>
      </c>
      <c r="P516" s="17">
        <v>0</v>
      </c>
      <c r="Q516" s="17">
        <v>0</v>
      </c>
      <c r="R516" s="17">
        <v>0.50049999999999994</v>
      </c>
      <c r="S516" s="17">
        <v>0</v>
      </c>
      <c r="T516" s="17">
        <v>0</v>
      </c>
      <c r="U516" s="17">
        <v>2.02</v>
      </c>
      <c r="V516" s="17">
        <v>0</v>
      </c>
      <c r="W516" s="17">
        <v>1.08</v>
      </c>
      <c r="X516" s="17">
        <v>0</v>
      </c>
      <c r="Y516" s="17">
        <v>0</v>
      </c>
      <c r="Z516" s="17">
        <v>0</v>
      </c>
      <c r="AA516" s="17">
        <v>0</v>
      </c>
      <c r="AB516" s="17">
        <v>0</v>
      </c>
      <c r="AC516" s="17">
        <v>0.4168</v>
      </c>
      <c r="AD516" s="17">
        <v>0</v>
      </c>
      <c r="AE516" s="17">
        <v>0</v>
      </c>
      <c r="AF516" s="17">
        <v>0</v>
      </c>
      <c r="AG516" s="17">
        <v>0</v>
      </c>
      <c r="AH516" s="17">
        <v>0</v>
      </c>
      <c r="AI516" s="17">
        <f t="shared" si="31"/>
        <v>6</v>
      </c>
      <c r="AJ516" s="17">
        <f t="shared" si="32"/>
        <v>5</v>
      </c>
      <c r="AK516" s="17">
        <f t="shared" si="33"/>
        <v>6</v>
      </c>
      <c r="AL516" s="17">
        <f t="shared" si="34"/>
        <v>0</v>
      </c>
      <c r="AM516" s="17">
        <f>VLOOKUP(AK516,Sheet1!$A$2:$B$25,2,FALSE)</f>
        <v>1</v>
      </c>
    </row>
    <row r="517" spans="1:39" s="17" customFormat="1" x14ac:dyDescent="0.25">
      <c r="A517" s="21">
        <v>44597.28125</v>
      </c>
      <c r="B517" s="17">
        <v>7.37</v>
      </c>
      <c r="C517" s="17">
        <v>2.19</v>
      </c>
      <c r="D517" s="17">
        <v>3.94</v>
      </c>
      <c r="E517" s="17">
        <v>0</v>
      </c>
      <c r="F517" s="17">
        <v>0</v>
      </c>
      <c r="G517" s="17">
        <v>0</v>
      </c>
      <c r="H517" s="17">
        <v>2.02</v>
      </c>
      <c r="I517" s="17">
        <v>0</v>
      </c>
      <c r="J517" s="17">
        <v>2.06</v>
      </c>
      <c r="K517" s="17">
        <v>0</v>
      </c>
      <c r="L517" s="17">
        <v>0</v>
      </c>
      <c r="M517" s="17">
        <v>0</v>
      </c>
      <c r="N517" s="17">
        <v>0</v>
      </c>
      <c r="O517" s="17">
        <v>0</v>
      </c>
      <c r="P517" s="17">
        <v>0</v>
      </c>
      <c r="Q517" s="17">
        <v>0</v>
      </c>
      <c r="R517" s="17">
        <v>0.45789999999999997</v>
      </c>
      <c r="S517" s="17">
        <v>0</v>
      </c>
      <c r="T517" s="17">
        <v>0</v>
      </c>
      <c r="U517" s="17">
        <v>2.04</v>
      </c>
      <c r="V517" s="17">
        <v>0</v>
      </c>
      <c r="W517" s="17">
        <v>1.07</v>
      </c>
      <c r="X517" s="17">
        <v>0</v>
      </c>
      <c r="Y517" s="17">
        <v>0</v>
      </c>
      <c r="Z517" s="17">
        <v>0</v>
      </c>
      <c r="AA517" s="17">
        <v>0</v>
      </c>
      <c r="AB517" s="17">
        <v>0</v>
      </c>
      <c r="AC517" s="17">
        <v>1.24</v>
      </c>
      <c r="AD517" s="17">
        <v>0</v>
      </c>
      <c r="AE517" s="17">
        <v>0</v>
      </c>
      <c r="AF517" s="17">
        <v>0</v>
      </c>
      <c r="AG517" s="17">
        <v>0</v>
      </c>
      <c r="AH517" s="17">
        <v>0</v>
      </c>
      <c r="AI517" s="17">
        <f t="shared" si="31"/>
        <v>6</v>
      </c>
      <c r="AJ517" s="17">
        <f t="shared" si="32"/>
        <v>5</v>
      </c>
      <c r="AK517" s="17">
        <f t="shared" si="33"/>
        <v>6</v>
      </c>
      <c r="AL517" s="17">
        <f t="shared" si="34"/>
        <v>0</v>
      </c>
      <c r="AM517" s="17">
        <f>VLOOKUP(AK517,Sheet1!$A$2:$B$25,2,FALSE)</f>
        <v>1</v>
      </c>
    </row>
    <row r="518" spans="1:39" s="17" customFormat="1" x14ac:dyDescent="0.25">
      <c r="A518" s="21">
        <v>44597.291666666664</v>
      </c>
      <c r="B518" s="17">
        <v>6.33</v>
      </c>
      <c r="C518" s="17">
        <v>1.46</v>
      </c>
      <c r="D518" s="17">
        <v>4.21</v>
      </c>
      <c r="E518" s="17">
        <v>0</v>
      </c>
      <c r="F518" s="17">
        <v>0</v>
      </c>
      <c r="G518" s="17">
        <v>0</v>
      </c>
      <c r="H518" s="17">
        <v>1.97</v>
      </c>
      <c r="I518" s="17">
        <v>0</v>
      </c>
      <c r="J518" s="17">
        <v>1.98</v>
      </c>
      <c r="K518" s="17">
        <v>0</v>
      </c>
      <c r="L518" s="17">
        <v>0</v>
      </c>
      <c r="M518" s="17">
        <v>0</v>
      </c>
      <c r="N518" s="17">
        <v>0</v>
      </c>
      <c r="O518" s="17">
        <v>0</v>
      </c>
      <c r="P518" s="17">
        <v>0</v>
      </c>
      <c r="Q518" s="17">
        <v>0</v>
      </c>
      <c r="R518" s="17">
        <v>0.40100000000000002</v>
      </c>
      <c r="S518" s="17">
        <v>0</v>
      </c>
      <c r="T518" s="17">
        <v>0</v>
      </c>
      <c r="U518" s="17">
        <v>2.04</v>
      </c>
      <c r="V518" s="17">
        <v>0</v>
      </c>
      <c r="W518" s="17">
        <v>1.08</v>
      </c>
      <c r="X518" s="17">
        <v>0</v>
      </c>
      <c r="Y518" s="17">
        <v>0</v>
      </c>
      <c r="Z518" s="17">
        <v>0</v>
      </c>
      <c r="AA518" s="17">
        <v>0</v>
      </c>
      <c r="AB518" s="17">
        <v>0</v>
      </c>
      <c r="AC518" s="17">
        <v>0.65680000000000005</v>
      </c>
      <c r="AD518" s="17">
        <v>0</v>
      </c>
      <c r="AE518" s="17">
        <v>0</v>
      </c>
      <c r="AF518" s="17">
        <v>0</v>
      </c>
      <c r="AG518" s="17">
        <v>0</v>
      </c>
      <c r="AH518" s="17">
        <v>0</v>
      </c>
      <c r="AI518" s="17">
        <f t="shared" si="31"/>
        <v>6</v>
      </c>
      <c r="AJ518" s="17">
        <f t="shared" si="32"/>
        <v>5</v>
      </c>
      <c r="AK518" s="17">
        <f t="shared" si="33"/>
        <v>7</v>
      </c>
      <c r="AL518" s="17">
        <f t="shared" si="34"/>
        <v>0</v>
      </c>
      <c r="AM518" s="17">
        <f>VLOOKUP(AK518,Sheet1!$A$2:$B$25,2,FALSE)</f>
        <v>1</v>
      </c>
    </row>
    <row r="519" spans="1:39" s="17" customFormat="1" x14ac:dyDescent="0.25">
      <c r="A519" s="21">
        <v>44597.302083333336</v>
      </c>
      <c r="B519" s="17">
        <v>5.07</v>
      </c>
      <c r="C519" s="17">
        <v>1.03</v>
      </c>
      <c r="D519" s="17">
        <v>4.04</v>
      </c>
      <c r="E519" s="17">
        <v>0</v>
      </c>
      <c r="F519" s="17">
        <v>0</v>
      </c>
      <c r="G519" s="17">
        <v>0</v>
      </c>
      <c r="H519" s="17">
        <v>2.1</v>
      </c>
      <c r="I519" s="17">
        <v>0</v>
      </c>
      <c r="J519" s="17">
        <v>2.16</v>
      </c>
      <c r="K519" s="17">
        <v>0</v>
      </c>
      <c r="L519" s="17">
        <v>0</v>
      </c>
      <c r="M519" s="17">
        <v>0</v>
      </c>
      <c r="N519" s="17">
        <v>0</v>
      </c>
      <c r="O519" s="17">
        <v>0</v>
      </c>
      <c r="P519" s="17">
        <v>0</v>
      </c>
      <c r="Q519" s="17">
        <v>0</v>
      </c>
      <c r="R519" s="17">
        <v>0.50209999999999999</v>
      </c>
      <c r="S519" s="17">
        <v>0</v>
      </c>
      <c r="T519" s="17">
        <v>0</v>
      </c>
      <c r="U519" s="17">
        <v>2.0499999999999998</v>
      </c>
      <c r="V519" s="17">
        <v>0</v>
      </c>
      <c r="W519" s="17">
        <v>1.1000000000000001</v>
      </c>
      <c r="X519" s="17">
        <v>0</v>
      </c>
      <c r="Y519" s="17">
        <v>0</v>
      </c>
      <c r="Z519" s="17">
        <v>0</v>
      </c>
      <c r="AA519" s="17">
        <v>0</v>
      </c>
      <c r="AB519" s="17">
        <v>0</v>
      </c>
      <c r="AC519" s="17">
        <v>0</v>
      </c>
      <c r="AD519" s="17">
        <v>0</v>
      </c>
      <c r="AE519" s="17">
        <v>0</v>
      </c>
      <c r="AF519" s="17">
        <v>0</v>
      </c>
      <c r="AG519" s="17">
        <v>0</v>
      </c>
      <c r="AH519" s="17">
        <v>0</v>
      </c>
      <c r="AI519" s="17">
        <f t="shared" si="31"/>
        <v>6</v>
      </c>
      <c r="AJ519" s="17">
        <f t="shared" si="32"/>
        <v>5</v>
      </c>
      <c r="AK519" s="17">
        <f t="shared" si="33"/>
        <v>7</v>
      </c>
      <c r="AL519" s="17">
        <f t="shared" si="34"/>
        <v>0</v>
      </c>
      <c r="AM519" s="17">
        <f>VLOOKUP(AK519,Sheet1!$A$2:$B$25,2,FALSE)</f>
        <v>1</v>
      </c>
    </row>
    <row r="520" spans="1:39" s="17" customFormat="1" x14ac:dyDescent="0.25">
      <c r="A520" s="21">
        <v>44597.3125</v>
      </c>
      <c r="B520" s="17">
        <v>5.69</v>
      </c>
      <c r="C520" s="17">
        <v>1.52</v>
      </c>
      <c r="D520" s="17">
        <v>4.17</v>
      </c>
      <c r="E520" s="17">
        <v>0</v>
      </c>
      <c r="F520" s="17">
        <v>0</v>
      </c>
      <c r="G520" s="17">
        <v>0</v>
      </c>
      <c r="H520" s="17">
        <v>2.0499999999999998</v>
      </c>
      <c r="I520" s="17">
        <v>0</v>
      </c>
      <c r="J520" s="17">
        <v>2.19</v>
      </c>
      <c r="K520" s="17">
        <v>0</v>
      </c>
      <c r="L520" s="17">
        <v>0</v>
      </c>
      <c r="M520" s="17">
        <v>0</v>
      </c>
      <c r="N520" s="17">
        <v>0</v>
      </c>
      <c r="O520" s="17">
        <v>0</v>
      </c>
      <c r="P520" s="17">
        <v>0</v>
      </c>
      <c r="Q520" s="17">
        <v>0</v>
      </c>
      <c r="R520" s="17">
        <v>0.50049999999999994</v>
      </c>
      <c r="S520" s="17">
        <v>0</v>
      </c>
      <c r="T520" s="17">
        <v>0</v>
      </c>
      <c r="U520" s="17">
        <v>2.0499999999999998</v>
      </c>
      <c r="V520" s="17">
        <v>0</v>
      </c>
      <c r="W520" s="17">
        <v>1.1100000000000001</v>
      </c>
      <c r="X520" s="17">
        <v>0</v>
      </c>
      <c r="Y520" s="17">
        <v>0</v>
      </c>
      <c r="Z520" s="17">
        <v>0</v>
      </c>
      <c r="AA520" s="17">
        <v>0</v>
      </c>
      <c r="AB520" s="17">
        <v>0</v>
      </c>
      <c r="AC520" s="17">
        <v>0</v>
      </c>
      <c r="AD520" s="17">
        <v>0</v>
      </c>
      <c r="AE520" s="17">
        <v>0</v>
      </c>
      <c r="AF520" s="17">
        <v>0</v>
      </c>
      <c r="AG520" s="17">
        <v>0</v>
      </c>
      <c r="AH520" s="17">
        <v>0</v>
      </c>
      <c r="AI520" s="17">
        <f t="shared" si="31"/>
        <v>6</v>
      </c>
      <c r="AJ520" s="17">
        <f t="shared" si="32"/>
        <v>5</v>
      </c>
      <c r="AK520" s="17">
        <f t="shared" si="33"/>
        <v>7</v>
      </c>
      <c r="AL520" s="17">
        <f t="shared" si="34"/>
        <v>0</v>
      </c>
      <c r="AM520" s="17">
        <f>VLOOKUP(AK520,Sheet1!$A$2:$B$25,2,FALSE)</f>
        <v>1</v>
      </c>
    </row>
    <row r="521" spans="1:39" s="17" customFormat="1" x14ac:dyDescent="0.25">
      <c r="A521" s="21">
        <v>44597.322916666664</v>
      </c>
      <c r="B521" s="17">
        <v>4.3499999999999996</v>
      </c>
      <c r="C521" s="17">
        <v>0.25259999999999999</v>
      </c>
      <c r="D521" s="17">
        <v>4.0999999999999996</v>
      </c>
      <c r="E521" s="17">
        <v>0</v>
      </c>
      <c r="F521" s="17">
        <v>0</v>
      </c>
      <c r="G521" s="17">
        <v>0</v>
      </c>
      <c r="H521" s="17">
        <v>2.0099999999999998</v>
      </c>
      <c r="I521" s="17">
        <v>0</v>
      </c>
      <c r="J521" s="17">
        <v>2.0099999999999998</v>
      </c>
      <c r="K521" s="17">
        <v>0</v>
      </c>
      <c r="L521" s="17">
        <v>0</v>
      </c>
      <c r="M521" s="17">
        <v>0</v>
      </c>
      <c r="N521" s="17">
        <v>0</v>
      </c>
      <c r="O521" s="17">
        <v>0</v>
      </c>
      <c r="P521" s="17">
        <v>0</v>
      </c>
      <c r="Q521" s="17">
        <v>0</v>
      </c>
      <c r="R521" s="17">
        <v>0.2495</v>
      </c>
      <c r="S521" s="17">
        <v>0</v>
      </c>
      <c r="T521" s="17">
        <v>0</v>
      </c>
      <c r="U521" s="17">
        <v>2.08</v>
      </c>
      <c r="V521" s="17">
        <v>0</v>
      </c>
      <c r="W521" s="17">
        <v>1.1299999999999999</v>
      </c>
      <c r="X521" s="17">
        <v>0</v>
      </c>
      <c r="Y521" s="17">
        <v>0</v>
      </c>
      <c r="Z521" s="17">
        <v>0</v>
      </c>
      <c r="AA521" s="17">
        <v>0</v>
      </c>
      <c r="AB521" s="17">
        <v>0</v>
      </c>
      <c r="AC521" s="17">
        <v>0</v>
      </c>
      <c r="AD521" s="17">
        <v>0</v>
      </c>
      <c r="AE521" s="17">
        <v>0</v>
      </c>
      <c r="AF521" s="17">
        <v>0</v>
      </c>
      <c r="AG521" s="17">
        <v>0</v>
      </c>
      <c r="AH521" s="17">
        <v>0</v>
      </c>
      <c r="AI521" s="17">
        <f t="shared" si="31"/>
        <v>6</v>
      </c>
      <c r="AJ521" s="17">
        <f t="shared" si="32"/>
        <v>5</v>
      </c>
      <c r="AK521" s="17">
        <f t="shared" si="33"/>
        <v>7</v>
      </c>
      <c r="AL521" s="17">
        <f t="shared" si="34"/>
        <v>0</v>
      </c>
      <c r="AM521" s="17">
        <f>VLOOKUP(AK521,Sheet1!$A$2:$B$25,2,FALSE)</f>
        <v>1</v>
      </c>
    </row>
    <row r="522" spans="1:39" s="17" customFormat="1" x14ac:dyDescent="0.25">
      <c r="A522" s="21">
        <v>44597.333333333336</v>
      </c>
      <c r="B522" s="17">
        <v>6.98</v>
      </c>
      <c r="C522" s="17">
        <v>2.83</v>
      </c>
      <c r="D522" s="17">
        <v>4.1500000000000004</v>
      </c>
      <c r="E522" s="17">
        <v>0</v>
      </c>
      <c r="F522" s="17">
        <v>0</v>
      </c>
      <c r="G522" s="17">
        <v>0</v>
      </c>
      <c r="H522" s="17">
        <v>2.15</v>
      </c>
      <c r="I522" s="17">
        <v>0</v>
      </c>
      <c r="J522" s="17">
        <v>2.1800000000000002</v>
      </c>
      <c r="K522" s="17">
        <v>0</v>
      </c>
      <c r="L522" s="17">
        <v>0</v>
      </c>
      <c r="M522" s="17">
        <v>0</v>
      </c>
      <c r="N522" s="17">
        <v>0</v>
      </c>
      <c r="O522" s="17">
        <v>0</v>
      </c>
      <c r="P522" s="17">
        <v>0</v>
      </c>
      <c r="Q522" s="17">
        <v>0</v>
      </c>
      <c r="R522" s="17">
        <v>0.50839999999999996</v>
      </c>
      <c r="S522" s="17">
        <v>0</v>
      </c>
      <c r="T522" s="17">
        <v>0</v>
      </c>
      <c r="U522" s="17">
        <v>2.0499999999999998</v>
      </c>
      <c r="V522" s="17">
        <v>0</v>
      </c>
      <c r="W522" s="17">
        <v>1.1100000000000001</v>
      </c>
      <c r="X522" s="17">
        <v>0</v>
      </c>
      <c r="Y522" s="17">
        <v>0</v>
      </c>
      <c r="Z522" s="17">
        <v>0</v>
      </c>
      <c r="AA522" s="17">
        <v>0</v>
      </c>
      <c r="AB522" s="17">
        <v>0</v>
      </c>
      <c r="AC522" s="17">
        <v>0</v>
      </c>
      <c r="AD522" s="17">
        <v>0</v>
      </c>
      <c r="AE522" s="17">
        <v>0</v>
      </c>
      <c r="AF522" s="17">
        <v>0</v>
      </c>
      <c r="AG522" s="17">
        <v>0</v>
      </c>
      <c r="AH522" s="17">
        <v>0</v>
      </c>
      <c r="AI522" s="17">
        <f t="shared" ref="AI522:AI585" si="35">WEEKDAY(A522,2)</f>
        <v>6</v>
      </c>
      <c r="AJ522" s="17">
        <f t="shared" ref="AJ522:AJ585" si="36">DAY(A522)</f>
        <v>5</v>
      </c>
      <c r="AK522" s="17">
        <f t="shared" ref="AK522:AK585" si="37">HOUR(A522)</f>
        <v>8</v>
      </c>
      <c r="AL522" s="17">
        <f t="shared" ref="AL522:AL585" si="38">IF(AI522&gt;=6,0,1)</f>
        <v>0</v>
      </c>
      <c r="AM522" s="17">
        <f>VLOOKUP(AK522,Sheet1!$A$2:$B$25,2,FALSE)</f>
        <v>1</v>
      </c>
    </row>
    <row r="523" spans="1:39" s="17" customFormat="1" x14ac:dyDescent="0.25">
      <c r="A523" s="21">
        <v>44597.34375</v>
      </c>
      <c r="B523" s="17">
        <v>5.59</v>
      </c>
      <c r="C523" s="17">
        <v>1.52</v>
      </c>
      <c r="D523" s="17">
        <v>4.07</v>
      </c>
      <c r="E523" s="17">
        <v>0</v>
      </c>
      <c r="F523" s="17">
        <v>0</v>
      </c>
      <c r="G523" s="17">
        <v>0</v>
      </c>
      <c r="H523" s="17">
        <v>2.12</v>
      </c>
      <c r="I523" s="17">
        <v>0</v>
      </c>
      <c r="J523" s="17">
        <v>2.11</v>
      </c>
      <c r="K523" s="17">
        <v>0</v>
      </c>
      <c r="L523" s="17">
        <v>0</v>
      </c>
      <c r="M523" s="17">
        <v>0</v>
      </c>
      <c r="N523" s="17">
        <v>0</v>
      </c>
      <c r="O523" s="17">
        <v>0</v>
      </c>
      <c r="P523" s="17">
        <v>0</v>
      </c>
      <c r="Q523" s="17">
        <v>0</v>
      </c>
      <c r="R523" s="17">
        <v>0.49340000000000001</v>
      </c>
      <c r="S523" s="17">
        <v>0</v>
      </c>
      <c r="T523" s="17">
        <v>0</v>
      </c>
      <c r="U523" s="17">
        <v>2.0499999999999998</v>
      </c>
      <c r="V523" s="17">
        <v>0</v>
      </c>
      <c r="W523" s="17">
        <v>1.1000000000000001</v>
      </c>
      <c r="X523" s="17">
        <v>0</v>
      </c>
      <c r="Y523" s="17">
        <v>0</v>
      </c>
      <c r="Z523" s="17">
        <v>0</v>
      </c>
      <c r="AA523" s="17">
        <v>0</v>
      </c>
      <c r="AB523" s="17">
        <v>0</v>
      </c>
      <c r="AC523" s="17">
        <v>0</v>
      </c>
      <c r="AD523" s="17">
        <v>0</v>
      </c>
      <c r="AE523" s="17">
        <v>0</v>
      </c>
      <c r="AF523" s="17">
        <v>0</v>
      </c>
      <c r="AG523" s="17">
        <v>0</v>
      </c>
      <c r="AH523" s="17">
        <v>0</v>
      </c>
      <c r="AI523" s="17">
        <f t="shared" si="35"/>
        <v>6</v>
      </c>
      <c r="AJ523" s="17">
        <f t="shared" si="36"/>
        <v>5</v>
      </c>
      <c r="AK523" s="17">
        <f t="shared" si="37"/>
        <v>8</v>
      </c>
      <c r="AL523" s="17">
        <f t="shared" si="38"/>
        <v>0</v>
      </c>
      <c r="AM523" s="17">
        <f>VLOOKUP(AK523,Sheet1!$A$2:$B$25,2,FALSE)</f>
        <v>1</v>
      </c>
    </row>
    <row r="524" spans="1:39" s="17" customFormat="1" x14ac:dyDescent="0.25">
      <c r="A524" s="21">
        <v>44597.354166666664</v>
      </c>
      <c r="B524" s="17">
        <v>6.89</v>
      </c>
      <c r="C524" s="17">
        <v>2.79</v>
      </c>
      <c r="D524" s="17">
        <v>4.0999999999999996</v>
      </c>
      <c r="E524" s="17">
        <v>0</v>
      </c>
      <c r="F524" s="17">
        <v>0</v>
      </c>
      <c r="G524" s="17">
        <v>0</v>
      </c>
      <c r="H524" s="17">
        <v>2.0499999999999998</v>
      </c>
      <c r="I524" s="17">
        <v>0</v>
      </c>
      <c r="J524" s="17">
        <v>2.08</v>
      </c>
      <c r="K524" s="17">
        <v>0</v>
      </c>
      <c r="L524" s="17">
        <v>0</v>
      </c>
      <c r="M524" s="17">
        <v>0</v>
      </c>
      <c r="N524" s="17">
        <v>0</v>
      </c>
      <c r="O524" s="17">
        <v>0</v>
      </c>
      <c r="P524" s="17">
        <v>0</v>
      </c>
      <c r="Q524" s="17">
        <v>0</v>
      </c>
      <c r="R524" s="17">
        <v>0.24390000000000001</v>
      </c>
      <c r="S524" s="17">
        <v>0</v>
      </c>
      <c r="T524" s="17">
        <v>0</v>
      </c>
      <c r="U524" s="17">
        <v>2.06</v>
      </c>
      <c r="V524" s="17">
        <v>0</v>
      </c>
      <c r="W524" s="17">
        <v>1.1000000000000001</v>
      </c>
      <c r="X524" s="17">
        <v>0</v>
      </c>
      <c r="Y524" s="17">
        <v>0</v>
      </c>
      <c r="Z524" s="17">
        <v>0</v>
      </c>
      <c r="AA524" s="17">
        <v>0</v>
      </c>
      <c r="AB524" s="17">
        <v>0</v>
      </c>
      <c r="AC524" s="17">
        <v>0</v>
      </c>
      <c r="AD524" s="17">
        <v>0</v>
      </c>
      <c r="AE524" s="17">
        <v>0</v>
      </c>
      <c r="AF524" s="17">
        <v>0</v>
      </c>
      <c r="AG524" s="17">
        <v>0</v>
      </c>
      <c r="AH524" s="17">
        <v>0</v>
      </c>
      <c r="AI524" s="17">
        <f t="shared" si="35"/>
        <v>6</v>
      </c>
      <c r="AJ524" s="17">
        <f t="shared" si="36"/>
        <v>5</v>
      </c>
      <c r="AK524" s="17">
        <f t="shared" si="37"/>
        <v>8</v>
      </c>
      <c r="AL524" s="17">
        <f t="shared" si="38"/>
        <v>0</v>
      </c>
      <c r="AM524" s="17">
        <f>VLOOKUP(AK524,Sheet1!$A$2:$B$25,2,FALSE)</f>
        <v>1</v>
      </c>
    </row>
    <row r="525" spans="1:39" s="17" customFormat="1" x14ac:dyDescent="0.25">
      <c r="A525" s="21">
        <v>44597.364583333336</v>
      </c>
      <c r="B525" s="17">
        <v>5.6</v>
      </c>
      <c r="C525" s="17">
        <v>1.5</v>
      </c>
      <c r="D525" s="17">
        <v>4.0999999999999996</v>
      </c>
      <c r="E525" s="17">
        <v>0</v>
      </c>
      <c r="F525" s="17">
        <v>0</v>
      </c>
      <c r="G525" s="17">
        <v>0</v>
      </c>
      <c r="H525" s="17">
        <v>2.1800000000000002</v>
      </c>
      <c r="I525" s="17">
        <v>0</v>
      </c>
      <c r="J525" s="17">
        <v>2.2200000000000002</v>
      </c>
      <c r="K525" s="17">
        <v>0</v>
      </c>
      <c r="L525" s="17">
        <v>0</v>
      </c>
      <c r="M525" s="17">
        <v>0</v>
      </c>
      <c r="N525" s="17">
        <v>0</v>
      </c>
      <c r="O525" s="17">
        <v>0</v>
      </c>
      <c r="P525" s="17">
        <v>0</v>
      </c>
      <c r="Q525" s="17">
        <v>0</v>
      </c>
      <c r="R525" s="17">
        <v>0.64100000000000001</v>
      </c>
      <c r="S525" s="17">
        <v>0</v>
      </c>
      <c r="T525" s="17">
        <v>0</v>
      </c>
      <c r="U525" s="17">
        <v>2.06</v>
      </c>
      <c r="V525" s="17">
        <v>0</v>
      </c>
      <c r="W525" s="17">
        <v>1.1200000000000001</v>
      </c>
      <c r="X525" s="17">
        <v>0</v>
      </c>
      <c r="Y525" s="17">
        <v>0</v>
      </c>
      <c r="Z525" s="17">
        <v>0</v>
      </c>
      <c r="AA525" s="17">
        <v>0</v>
      </c>
      <c r="AB525" s="17">
        <v>0</v>
      </c>
      <c r="AC525" s="17">
        <v>0</v>
      </c>
      <c r="AD525" s="17">
        <v>0</v>
      </c>
      <c r="AE525" s="17">
        <v>0</v>
      </c>
      <c r="AF525" s="17">
        <v>0</v>
      </c>
      <c r="AG525" s="17">
        <v>0</v>
      </c>
      <c r="AH525" s="17">
        <v>0</v>
      </c>
      <c r="AI525" s="17">
        <f t="shared" si="35"/>
        <v>6</v>
      </c>
      <c r="AJ525" s="17">
        <f t="shared" si="36"/>
        <v>5</v>
      </c>
      <c r="AK525" s="17">
        <f t="shared" si="37"/>
        <v>8</v>
      </c>
      <c r="AL525" s="17">
        <f t="shared" si="38"/>
        <v>0</v>
      </c>
      <c r="AM525" s="17">
        <f>VLOOKUP(AK525,Sheet1!$A$2:$B$25,2,FALSE)</f>
        <v>1</v>
      </c>
    </row>
    <row r="526" spans="1:39" s="17" customFormat="1" x14ac:dyDescent="0.25">
      <c r="A526" s="21">
        <v>44597.375</v>
      </c>
      <c r="B526" s="17">
        <v>6.41</v>
      </c>
      <c r="C526" s="17">
        <v>2.27</v>
      </c>
      <c r="D526" s="17">
        <v>4.1399999999999997</v>
      </c>
      <c r="E526" s="17">
        <v>0</v>
      </c>
      <c r="F526" s="17">
        <v>0</v>
      </c>
      <c r="G526" s="17">
        <v>0</v>
      </c>
      <c r="H526" s="17">
        <v>2.1</v>
      </c>
      <c r="I526" s="17">
        <v>0</v>
      </c>
      <c r="J526" s="17">
        <v>2.19</v>
      </c>
      <c r="K526" s="17">
        <v>0</v>
      </c>
      <c r="L526" s="17">
        <v>0</v>
      </c>
      <c r="M526" s="17">
        <v>0</v>
      </c>
      <c r="N526" s="17">
        <v>0</v>
      </c>
      <c r="O526" s="17">
        <v>0</v>
      </c>
      <c r="P526" s="17">
        <v>0</v>
      </c>
      <c r="Q526" s="17">
        <v>0</v>
      </c>
      <c r="R526" s="17">
        <v>0.44600000000000001</v>
      </c>
      <c r="S526" s="17">
        <v>0</v>
      </c>
      <c r="T526" s="17">
        <v>0</v>
      </c>
      <c r="U526" s="17">
        <v>2.06</v>
      </c>
      <c r="V526" s="17">
        <v>0</v>
      </c>
      <c r="W526" s="17">
        <v>1.1100000000000001</v>
      </c>
      <c r="X526" s="17">
        <v>0</v>
      </c>
      <c r="Y526" s="17">
        <v>0</v>
      </c>
      <c r="Z526" s="17">
        <v>0</v>
      </c>
      <c r="AA526" s="17">
        <v>0</v>
      </c>
      <c r="AB526" s="17">
        <v>0</v>
      </c>
      <c r="AC526" s="17">
        <v>0</v>
      </c>
      <c r="AD526" s="17">
        <v>0</v>
      </c>
      <c r="AE526" s="17">
        <v>0</v>
      </c>
      <c r="AF526" s="17">
        <v>0</v>
      </c>
      <c r="AG526" s="17">
        <v>0</v>
      </c>
      <c r="AH526" s="17">
        <v>0</v>
      </c>
      <c r="AI526" s="17">
        <f t="shared" si="35"/>
        <v>6</v>
      </c>
      <c r="AJ526" s="17">
        <f t="shared" si="36"/>
        <v>5</v>
      </c>
      <c r="AK526" s="17">
        <f t="shared" si="37"/>
        <v>9</v>
      </c>
      <c r="AL526" s="17">
        <f t="shared" si="38"/>
        <v>0</v>
      </c>
      <c r="AM526" s="17">
        <f>VLOOKUP(AK526,Sheet1!$A$2:$B$25,2,FALSE)</f>
        <v>1</v>
      </c>
    </row>
    <row r="527" spans="1:39" s="17" customFormat="1" x14ac:dyDescent="0.25">
      <c r="A527" s="21">
        <v>44597.385416666664</v>
      </c>
      <c r="B527" s="17">
        <v>6.54</v>
      </c>
      <c r="C527" s="17">
        <v>2.4500000000000002</v>
      </c>
      <c r="D527" s="17">
        <v>4.0999999999999996</v>
      </c>
      <c r="E527" s="17">
        <v>0</v>
      </c>
      <c r="F527" s="17">
        <v>0</v>
      </c>
      <c r="G527" s="17">
        <v>0</v>
      </c>
      <c r="H527" s="17">
        <v>2.02</v>
      </c>
      <c r="I527" s="17">
        <v>0</v>
      </c>
      <c r="J527" s="17">
        <v>2.11</v>
      </c>
      <c r="K527" s="17">
        <v>0</v>
      </c>
      <c r="L527" s="17">
        <v>0</v>
      </c>
      <c r="M527" s="17">
        <v>0</v>
      </c>
      <c r="N527" s="17">
        <v>0</v>
      </c>
      <c r="O527" s="17">
        <v>0</v>
      </c>
      <c r="P527" s="17">
        <v>0</v>
      </c>
      <c r="Q527" s="17">
        <v>0</v>
      </c>
      <c r="R527" s="17">
        <v>0.45079999999999998</v>
      </c>
      <c r="S527" s="17">
        <v>0</v>
      </c>
      <c r="T527" s="17">
        <v>0</v>
      </c>
      <c r="U527" s="17">
        <v>2.06</v>
      </c>
      <c r="V527" s="17">
        <v>0</v>
      </c>
      <c r="W527" s="17">
        <v>1.1100000000000001</v>
      </c>
      <c r="X527" s="17">
        <v>0</v>
      </c>
      <c r="Y527" s="17">
        <v>0</v>
      </c>
      <c r="Z527" s="17">
        <v>0</v>
      </c>
      <c r="AA527" s="17">
        <v>0</v>
      </c>
      <c r="AB527" s="17">
        <v>0</v>
      </c>
      <c r="AC527" s="17">
        <v>0</v>
      </c>
      <c r="AD527" s="17">
        <v>0</v>
      </c>
      <c r="AE527" s="17">
        <v>0</v>
      </c>
      <c r="AF527" s="17">
        <v>0</v>
      </c>
      <c r="AG527" s="17">
        <v>0</v>
      </c>
      <c r="AH527" s="17">
        <v>0</v>
      </c>
      <c r="AI527" s="17">
        <f t="shared" si="35"/>
        <v>6</v>
      </c>
      <c r="AJ527" s="17">
        <f t="shared" si="36"/>
        <v>5</v>
      </c>
      <c r="AK527" s="17">
        <f t="shared" si="37"/>
        <v>9</v>
      </c>
      <c r="AL527" s="17">
        <f t="shared" si="38"/>
        <v>0</v>
      </c>
      <c r="AM527" s="17">
        <f>VLOOKUP(AK527,Sheet1!$A$2:$B$25,2,FALSE)</f>
        <v>1</v>
      </c>
    </row>
    <row r="528" spans="1:39" s="17" customFormat="1" x14ac:dyDescent="0.25">
      <c r="A528" s="21">
        <v>44597.395833333336</v>
      </c>
      <c r="B528" s="17">
        <v>6.42</v>
      </c>
      <c r="C528" s="17">
        <v>2.33</v>
      </c>
      <c r="D528" s="17">
        <v>4.09</v>
      </c>
      <c r="E528" s="17">
        <v>0</v>
      </c>
      <c r="F528" s="17">
        <v>0</v>
      </c>
      <c r="G528" s="17">
        <v>0</v>
      </c>
      <c r="H528" s="17">
        <v>2.16</v>
      </c>
      <c r="I528" s="17">
        <v>0</v>
      </c>
      <c r="J528" s="17">
        <v>2.25</v>
      </c>
      <c r="K528" s="17">
        <v>0</v>
      </c>
      <c r="L528" s="17">
        <v>0</v>
      </c>
      <c r="M528" s="17">
        <v>0</v>
      </c>
      <c r="N528" s="17">
        <v>0</v>
      </c>
      <c r="O528" s="17">
        <v>0</v>
      </c>
      <c r="P528" s="17">
        <v>0</v>
      </c>
      <c r="Q528" s="17">
        <v>0</v>
      </c>
      <c r="R528" s="17">
        <v>0.50209999999999999</v>
      </c>
      <c r="S528" s="17">
        <v>0</v>
      </c>
      <c r="T528" s="17">
        <v>0</v>
      </c>
      <c r="U528" s="17">
        <v>2.0499999999999998</v>
      </c>
      <c r="V528" s="17">
        <v>0</v>
      </c>
      <c r="W528" s="17">
        <v>1.1000000000000001</v>
      </c>
      <c r="X528" s="17">
        <v>0</v>
      </c>
      <c r="Y528" s="17">
        <v>0</v>
      </c>
      <c r="Z528" s="17">
        <v>0</v>
      </c>
      <c r="AA528" s="17">
        <v>0</v>
      </c>
      <c r="AB528" s="17">
        <v>0</v>
      </c>
      <c r="AC528" s="17">
        <v>0</v>
      </c>
      <c r="AD528" s="17">
        <v>0</v>
      </c>
      <c r="AE528" s="17">
        <v>0</v>
      </c>
      <c r="AF528" s="17">
        <v>0</v>
      </c>
      <c r="AG528" s="17">
        <v>0</v>
      </c>
      <c r="AH528" s="17">
        <v>0</v>
      </c>
      <c r="AI528" s="17">
        <f t="shared" si="35"/>
        <v>6</v>
      </c>
      <c r="AJ528" s="17">
        <f t="shared" si="36"/>
        <v>5</v>
      </c>
      <c r="AK528" s="17">
        <f t="shared" si="37"/>
        <v>9</v>
      </c>
      <c r="AL528" s="17">
        <f t="shared" si="38"/>
        <v>0</v>
      </c>
      <c r="AM528" s="17">
        <f>VLOOKUP(AK528,Sheet1!$A$2:$B$25,2,FALSE)</f>
        <v>1</v>
      </c>
    </row>
    <row r="529" spans="1:39" s="17" customFormat="1" x14ac:dyDescent="0.25">
      <c r="A529" s="21">
        <v>44597.40625</v>
      </c>
      <c r="B529" s="17">
        <v>6.18</v>
      </c>
      <c r="C529" s="17">
        <v>2.0499999999999998</v>
      </c>
      <c r="D529" s="17">
        <v>4.12</v>
      </c>
      <c r="E529" s="17">
        <v>0</v>
      </c>
      <c r="F529" s="17">
        <v>0</v>
      </c>
      <c r="G529" s="17">
        <v>0</v>
      </c>
      <c r="H529" s="17">
        <v>2.14</v>
      </c>
      <c r="I529" s="17">
        <v>0</v>
      </c>
      <c r="J529" s="17">
        <v>2.25</v>
      </c>
      <c r="K529" s="17">
        <v>0</v>
      </c>
      <c r="L529" s="17">
        <v>0</v>
      </c>
      <c r="M529" s="17">
        <v>0</v>
      </c>
      <c r="N529" s="17">
        <v>0</v>
      </c>
      <c r="O529" s="17">
        <v>0</v>
      </c>
      <c r="P529" s="17">
        <v>0</v>
      </c>
      <c r="Q529" s="17">
        <v>0</v>
      </c>
      <c r="R529" s="17">
        <v>0.75549999999999995</v>
      </c>
      <c r="S529" s="17">
        <v>0</v>
      </c>
      <c r="T529" s="17">
        <v>0</v>
      </c>
      <c r="U529" s="17">
        <v>2.0499999999999998</v>
      </c>
      <c r="V529" s="17">
        <v>0</v>
      </c>
      <c r="W529" s="17">
        <v>1.1000000000000001</v>
      </c>
      <c r="X529" s="17">
        <v>0</v>
      </c>
      <c r="Y529" s="17">
        <v>0</v>
      </c>
      <c r="Z529" s="17">
        <v>0</v>
      </c>
      <c r="AA529" s="17">
        <v>0</v>
      </c>
      <c r="AB529" s="17">
        <v>0</v>
      </c>
      <c r="AC529" s="17">
        <v>0</v>
      </c>
      <c r="AD529" s="17">
        <v>0</v>
      </c>
      <c r="AE529" s="17">
        <v>0</v>
      </c>
      <c r="AF529" s="17">
        <v>0</v>
      </c>
      <c r="AG529" s="17">
        <v>0</v>
      </c>
      <c r="AH529" s="17">
        <v>0</v>
      </c>
      <c r="AI529" s="17">
        <f t="shared" si="35"/>
        <v>6</v>
      </c>
      <c r="AJ529" s="17">
        <f t="shared" si="36"/>
        <v>5</v>
      </c>
      <c r="AK529" s="17">
        <f t="shared" si="37"/>
        <v>9</v>
      </c>
      <c r="AL529" s="17">
        <f t="shared" si="38"/>
        <v>0</v>
      </c>
      <c r="AM529" s="17">
        <f>VLOOKUP(AK529,Sheet1!$A$2:$B$25,2,FALSE)</f>
        <v>1</v>
      </c>
    </row>
    <row r="530" spans="1:39" s="17" customFormat="1" x14ac:dyDescent="0.25">
      <c r="A530" s="21">
        <v>44597.416666666664</v>
      </c>
      <c r="B530" s="17">
        <v>6.17</v>
      </c>
      <c r="C530" s="17">
        <v>2.06</v>
      </c>
      <c r="D530" s="17">
        <v>4.1100000000000003</v>
      </c>
      <c r="E530" s="17">
        <v>0</v>
      </c>
      <c r="F530" s="17">
        <v>0</v>
      </c>
      <c r="G530" s="17">
        <v>0</v>
      </c>
      <c r="H530" s="17">
        <v>2.08</v>
      </c>
      <c r="I530" s="17">
        <v>0</v>
      </c>
      <c r="J530" s="17">
        <v>2.0699999999999998</v>
      </c>
      <c r="K530" s="17">
        <v>0</v>
      </c>
      <c r="L530" s="17">
        <v>0</v>
      </c>
      <c r="M530" s="17">
        <v>0</v>
      </c>
      <c r="N530" s="17">
        <v>0</v>
      </c>
      <c r="O530" s="17">
        <v>0</v>
      </c>
      <c r="P530" s="17">
        <v>0</v>
      </c>
      <c r="Q530" s="17">
        <v>0</v>
      </c>
      <c r="R530" s="17">
        <v>0.29370000000000002</v>
      </c>
      <c r="S530" s="17">
        <v>0</v>
      </c>
      <c r="T530" s="17">
        <v>0</v>
      </c>
      <c r="U530" s="17">
        <v>2.04</v>
      </c>
      <c r="V530" s="17">
        <v>0</v>
      </c>
      <c r="W530" s="17">
        <v>1.1000000000000001</v>
      </c>
      <c r="X530" s="17">
        <v>0</v>
      </c>
      <c r="Y530" s="17">
        <v>0</v>
      </c>
      <c r="Z530" s="17">
        <v>0</v>
      </c>
      <c r="AA530" s="17">
        <v>0</v>
      </c>
      <c r="AB530" s="17">
        <v>0</v>
      </c>
      <c r="AC530" s="17">
        <v>0</v>
      </c>
      <c r="AD530" s="17">
        <v>0</v>
      </c>
      <c r="AE530" s="17">
        <v>0</v>
      </c>
      <c r="AF530" s="17">
        <v>0</v>
      </c>
      <c r="AG530" s="17">
        <v>0</v>
      </c>
      <c r="AH530" s="17">
        <v>0</v>
      </c>
      <c r="AI530" s="17">
        <f t="shared" si="35"/>
        <v>6</v>
      </c>
      <c r="AJ530" s="17">
        <f t="shared" si="36"/>
        <v>5</v>
      </c>
      <c r="AK530" s="17">
        <f t="shared" si="37"/>
        <v>10</v>
      </c>
      <c r="AL530" s="17">
        <f t="shared" si="38"/>
        <v>0</v>
      </c>
      <c r="AM530" s="17">
        <f>VLOOKUP(AK530,Sheet1!$A$2:$B$25,2,FALSE)</f>
        <v>1</v>
      </c>
    </row>
    <row r="531" spans="1:39" s="17" customFormat="1" x14ac:dyDescent="0.25">
      <c r="A531" s="21">
        <v>44597.427083333336</v>
      </c>
      <c r="B531" s="17">
        <v>5.75</v>
      </c>
      <c r="C531" s="17">
        <v>1.62</v>
      </c>
      <c r="D531" s="17">
        <v>4.13</v>
      </c>
      <c r="E531" s="17">
        <v>0</v>
      </c>
      <c r="F531" s="17">
        <v>0</v>
      </c>
      <c r="G531" s="17">
        <v>0</v>
      </c>
      <c r="H531" s="17">
        <v>1.97</v>
      </c>
      <c r="I531" s="17">
        <v>0</v>
      </c>
      <c r="J531" s="17">
        <v>1.9</v>
      </c>
      <c r="K531" s="17">
        <v>0</v>
      </c>
      <c r="L531" s="17">
        <v>0</v>
      </c>
      <c r="M531" s="17">
        <v>0</v>
      </c>
      <c r="N531" s="17">
        <v>0</v>
      </c>
      <c r="O531" s="17">
        <v>0</v>
      </c>
      <c r="P531" s="17">
        <v>0</v>
      </c>
      <c r="Q531" s="17">
        <v>0</v>
      </c>
      <c r="R531" s="17">
        <v>0.34339999999999998</v>
      </c>
      <c r="S531" s="17">
        <v>0</v>
      </c>
      <c r="T531" s="17">
        <v>0</v>
      </c>
      <c r="U531" s="17">
        <v>2.0499999999999998</v>
      </c>
      <c r="V531" s="17">
        <v>0</v>
      </c>
      <c r="W531" s="17">
        <v>1.1100000000000001</v>
      </c>
      <c r="X531" s="17">
        <v>0</v>
      </c>
      <c r="Y531" s="17">
        <v>0</v>
      </c>
      <c r="Z531" s="17">
        <v>0</v>
      </c>
      <c r="AA531" s="17">
        <v>0</v>
      </c>
      <c r="AB531" s="17">
        <v>0</v>
      </c>
      <c r="AC531" s="17">
        <v>0</v>
      </c>
      <c r="AD531" s="17">
        <v>0</v>
      </c>
      <c r="AE531" s="17">
        <v>0</v>
      </c>
      <c r="AF531" s="17">
        <v>0</v>
      </c>
      <c r="AG531" s="17">
        <v>0</v>
      </c>
      <c r="AH531" s="17">
        <v>0</v>
      </c>
      <c r="AI531" s="17">
        <f t="shared" si="35"/>
        <v>6</v>
      </c>
      <c r="AJ531" s="17">
        <f t="shared" si="36"/>
        <v>5</v>
      </c>
      <c r="AK531" s="17">
        <f t="shared" si="37"/>
        <v>10</v>
      </c>
      <c r="AL531" s="17">
        <f t="shared" si="38"/>
        <v>0</v>
      </c>
      <c r="AM531" s="17">
        <f>VLOOKUP(AK531,Sheet1!$A$2:$B$25,2,FALSE)</f>
        <v>1</v>
      </c>
    </row>
    <row r="532" spans="1:39" s="17" customFormat="1" x14ac:dyDescent="0.25">
      <c r="A532" s="21">
        <v>44597.4375</v>
      </c>
      <c r="B532" s="17">
        <v>6.73</v>
      </c>
      <c r="C532" s="17">
        <v>2.65</v>
      </c>
      <c r="D532" s="17">
        <v>4.08</v>
      </c>
      <c r="E532" s="17">
        <v>0</v>
      </c>
      <c r="F532" s="17">
        <v>0</v>
      </c>
      <c r="G532" s="17">
        <v>0</v>
      </c>
      <c r="H532" s="17">
        <v>1.98</v>
      </c>
      <c r="I532" s="17">
        <v>0</v>
      </c>
      <c r="J532" s="17">
        <v>2.06</v>
      </c>
      <c r="K532" s="17">
        <v>0</v>
      </c>
      <c r="L532" s="17">
        <v>0</v>
      </c>
      <c r="M532" s="17">
        <v>0</v>
      </c>
      <c r="N532" s="17">
        <v>0</v>
      </c>
      <c r="O532" s="17">
        <v>0</v>
      </c>
      <c r="P532" s="17">
        <v>0</v>
      </c>
      <c r="Q532" s="17">
        <v>0</v>
      </c>
      <c r="R532" s="17">
        <v>0.54239999999999999</v>
      </c>
      <c r="S532" s="17">
        <v>0</v>
      </c>
      <c r="T532" s="17">
        <v>0</v>
      </c>
      <c r="U532" s="17">
        <v>2.0499999999999998</v>
      </c>
      <c r="V532" s="17">
        <v>0</v>
      </c>
      <c r="W532" s="17">
        <v>1.1000000000000001</v>
      </c>
      <c r="X532" s="17">
        <v>0</v>
      </c>
      <c r="Y532" s="17">
        <v>0</v>
      </c>
      <c r="Z532" s="17">
        <v>0</v>
      </c>
      <c r="AA532" s="17">
        <v>0</v>
      </c>
      <c r="AB532" s="17">
        <v>0</v>
      </c>
      <c r="AC532" s="17">
        <v>0</v>
      </c>
      <c r="AD532" s="17">
        <v>0</v>
      </c>
      <c r="AE532" s="17">
        <v>0</v>
      </c>
      <c r="AF532" s="17">
        <v>0</v>
      </c>
      <c r="AG532" s="17">
        <v>0</v>
      </c>
      <c r="AH532" s="17">
        <v>0</v>
      </c>
      <c r="AI532" s="17">
        <f t="shared" si="35"/>
        <v>6</v>
      </c>
      <c r="AJ532" s="17">
        <f t="shared" si="36"/>
        <v>5</v>
      </c>
      <c r="AK532" s="17">
        <f t="shared" si="37"/>
        <v>10</v>
      </c>
      <c r="AL532" s="17">
        <f t="shared" si="38"/>
        <v>0</v>
      </c>
      <c r="AM532" s="17">
        <f>VLOOKUP(AK532,Sheet1!$A$2:$B$25,2,FALSE)</f>
        <v>1</v>
      </c>
    </row>
    <row r="533" spans="1:39" s="17" customFormat="1" x14ac:dyDescent="0.25">
      <c r="A533" s="21">
        <v>44597.447916666664</v>
      </c>
      <c r="B533" s="17">
        <v>6.61</v>
      </c>
      <c r="C533" s="17">
        <v>2.46</v>
      </c>
      <c r="D533" s="17">
        <v>4.1500000000000004</v>
      </c>
      <c r="E533" s="17">
        <v>0</v>
      </c>
      <c r="F533" s="17">
        <v>0</v>
      </c>
      <c r="G533" s="17">
        <v>0</v>
      </c>
      <c r="H533" s="17">
        <v>1.95</v>
      </c>
      <c r="I533" s="17">
        <v>0</v>
      </c>
      <c r="J533" s="17">
        <v>2.0099999999999998</v>
      </c>
      <c r="K533" s="17">
        <v>0</v>
      </c>
      <c r="L533" s="17">
        <v>0</v>
      </c>
      <c r="M533" s="17">
        <v>0</v>
      </c>
      <c r="N533" s="17">
        <v>0</v>
      </c>
      <c r="O533" s="17">
        <v>0</v>
      </c>
      <c r="P533" s="17">
        <v>0</v>
      </c>
      <c r="Q533" s="17">
        <v>0</v>
      </c>
      <c r="R533" s="17">
        <v>0.50519999999999998</v>
      </c>
      <c r="S533" s="17">
        <v>0</v>
      </c>
      <c r="T533" s="17">
        <v>0</v>
      </c>
      <c r="U533" s="17">
        <v>2.0499999999999998</v>
      </c>
      <c r="V533" s="17">
        <v>0</v>
      </c>
      <c r="W533" s="17">
        <v>1.1100000000000001</v>
      </c>
      <c r="X533" s="17">
        <v>0</v>
      </c>
      <c r="Y533" s="17">
        <v>0</v>
      </c>
      <c r="Z533" s="17">
        <v>0</v>
      </c>
      <c r="AA533" s="17">
        <v>0</v>
      </c>
      <c r="AB533" s="17">
        <v>0</v>
      </c>
      <c r="AC533" s="17">
        <v>0</v>
      </c>
      <c r="AD533" s="17">
        <v>0</v>
      </c>
      <c r="AE533" s="17">
        <v>0</v>
      </c>
      <c r="AF533" s="17">
        <v>0</v>
      </c>
      <c r="AG533" s="17">
        <v>0</v>
      </c>
      <c r="AH533" s="17">
        <v>0</v>
      </c>
      <c r="AI533" s="17">
        <f t="shared" si="35"/>
        <v>6</v>
      </c>
      <c r="AJ533" s="17">
        <f t="shared" si="36"/>
        <v>5</v>
      </c>
      <c r="AK533" s="17">
        <f t="shared" si="37"/>
        <v>10</v>
      </c>
      <c r="AL533" s="17">
        <f t="shared" si="38"/>
        <v>0</v>
      </c>
      <c r="AM533" s="17">
        <f>VLOOKUP(AK533,Sheet1!$A$2:$B$25,2,FALSE)</f>
        <v>1</v>
      </c>
    </row>
    <row r="534" spans="1:39" s="17" customFormat="1" x14ac:dyDescent="0.25">
      <c r="A534" s="21">
        <v>44597.458333333336</v>
      </c>
      <c r="B534" s="17">
        <v>5.64</v>
      </c>
      <c r="C534" s="17">
        <v>1.51</v>
      </c>
      <c r="D534" s="17">
        <v>4.13</v>
      </c>
      <c r="E534" s="17">
        <v>0</v>
      </c>
      <c r="F534" s="17">
        <v>0</v>
      </c>
      <c r="G534" s="17">
        <v>0</v>
      </c>
      <c r="H534" s="17">
        <v>1.83</v>
      </c>
      <c r="I534" s="17">
        <v>0</v>
      </c>
      <c r="J534" s="17">
        <v>1.88</v>
      </c>
      <c r="K534" s="17">
        <v>0</v>
      </c>
      <c r="L534" s="17">
        <v>0</v>
      </c>
      <c r="M534" s="17">
        <v>0</v>
      </c>
      <c r="N534" s="17">
        <v>0</v>
      </c>
      <c r="O534" s="17">
        <v>0</v>
      </c>
      <c r="P534" s="17">
        <v>0</v>
      </c>
      <c r="Q534" s="17">
        <v>0</v>
      </c>
      <c r="R534" s="17">
        <v>0.54710000000000003</v>
      </c>
      <c r="S534" s="17">
        <v>0</v>
      </c>
      <c r="T534" s="17">
        <v>0</v>
      </c>
      <c r="U534" s="17">
        <v>2.0299999999999998</v>
      </c>
      <c r="V534" s="17">
        <v>0</v>
      </c>
      <c r="W534" s="17">
        <v>1.08</v>
      </c>
      <c r="X534" s="17">
        <v>0</v>
      </c>
      <c r="Y534" s="17">
        <v>0</v>
      </c>
      <c r="Z534" s="17">
        <v>0</v>
      </c>
      <c r="AA534" s="17">
        <v>0</v>
      </c>
      <c r="AB534" s="17">
        <v>0</v>
      </c>
      <c r="AC534" s="17">
        <v>0</v>
      </c>
      <c r="AD534" s="17">
        <v>0</v>
      </c>
      <c r="AE534" s="17">
        <v>0</v>
      </c>
      <c r="AF534" s="17">
        <v>0</v>
      </c>
      <c r="AG534" s="17">
        <v>0</v>
      </c>
      <c r="AH534" s="17">
        <v>0</v>
      </c>
      <c r="AI534" s="17">
        <f t="shared" si="35"/>
        <v>6</v>
      </c>
      <c r="AJ534" s="17">
        <f t="shared" si="36"/>
        <v>5</v>
      </c>
      <c r="AK534" s="17">
        <f t="shared" si="37"/>
        <v>11</v>
      </c>
      <c r="AL534" s="17">
        <f t="shared" si="38"/>
        <v>0</v>
      </c>
      <c r="AM534" s="17">
        <f>VLOOKUP(AK534,Sheet1!$A$2:$B$25,2,FALSE)</f>
        <v>1</v>
      </c>
    </row>
    <row r="535" spans="1:39" s="17" customFormat="1" x14ac:dyDescent="0.25">
      <c r="A535" s="21">
        <v>44597.46875</v>
      </c>
      <c r="B535" s="17">
        <v>5.49</v>
      </c>
      <c r="C535" s="17">
        <v>1.35</v>
      </c>
      <c r="D535" s="17">
        <v>4.1399999999999997</v>
      </c>
      <c r="E535" s="17">
        <v>0</v>
      </c>
      <c r="F535" s="17">
        <v>0</v>
      </c>
      <c r="G535" s="17">
        <v>0</v>
      </c>
      <c r="H535" s="17">
        <v>1.89</v>
      </c>
      <c r="I535" s="17">
        <v>0</v>
      </c>
      <c r="J535" s="17">
        <v>1.85</v>
      </c>
      <c r="K535" s="17">
        <v>0</v>
      </c>
      <c r="L535" s="17">
        <v>0</v>
      </c>
      <c r="M535" s="17">
        <v>0</v>
      </c>
      <c r="N535" s="17">
        <v>0</v>
      </c>
      <c r="O535" s="17">
        <v>0</v>
      </c>
      <c r="P535" s="17">
        <v>0</v>
      </c>
      <c r="Q535" s="17">
        <v>0</v>
      </c>
      <c r="R535" s="17">
        <v>0.34029999999999999</v>
      </c>
      <c r="S535" s="17">
        <v>0</v>
      </c>
      <c r="T535" s="17">
        <v>0</v>
      </c>
      <c r="U535" s="17">
        <v>2.0299999999999998</v>
      </c>
      <c r="V535" s="17">
        <v>0</v>
      </c>
      <c r="W535" s="17">
        <v>1.08</v>
      </c>
      <c r="X535" s="17">
        <v>0</v>
      </c>
      <c r="Y535" s="17">
        <v>0</v>
      </c>
      <c r="Z535" s="17">
        <v>0</v>
      </c>
      <c r="AA535" s="17">
        <v>0</v>
      </c>
      <c r="AB535" s="17">
        <v>0</v>
      </c>
      <c r="AC535" s="17">
        <v>0</v>
      </c>
      <c r="AD535" s="17">
        <v>0</v>
      </c>
      <c r="AE535" s="17">
        <v>0</v>
      </c>
      <c r="AF535" s="17">
        <v>0</v>
      </c>
      <c r="AG535" s="17">
        <v>0</v>
      </c>
      <c r="AH535" s="17">
        <v>0</v>
      </c>
      <c r="AI535" s="17">
        <f t="shared" si="35"/>
        <v>6</v>
      </c>
      <c r="AJ535" s="17">
        <f t="shared" si="36"/>
        <v>5</v>
      </c>
      <c r="AK535" s="17">
        <f t="shared" si="37"/>
        <v>11</v>
      </c>
      <c r="AL535" s="17">
        <f t="shared" si="38"/>
        <v>0</v>
      </c>
      <c r="AM535" s="17">
        <f>VLOOKUP(AK535,Sheet1!$A$2:$B$25,2,FALSE)</f>
        <v>1</v>
      </c>
    </row>
    <row r="536" spans="1:39" s="17" customFormat="1" x14ac:dyDescent="0.25">
      <c r="A536" s="21">
        <v>44597.479166666664</v>
      </c>
      <c r="B536" s="17">
        <v>6.5</v>
      </c>
      <c r="C536" s="17">
        <v>1.92</v>
      </c>
      <c r="D536" s="17">
        <v>4.03</v>
      </c>
      <c r="E536" s="17">
        <v>0</v>
      </c>
      <c r="F536" s="17">
        <v>0</v>
      </c>
      <c r="G536" s="17">
        <v>0</v>
      </c>
      <c r="H536" s="17">
        <v>1.88</v>
      </c>
      <c r="I536" s="17">
        <v>0</v>
      </c>
      <c r="J536" s="17">
        <v>1.99</v>
      </c>
      <c r="K536" s="17">
        <v>0</v>
      </c>
      <c r="L536" s="17">
        <v>0</v>
      </c>
      <c r="M536" s="17">
        <v>0</v>
      </c>
      <c r="N536" s="17">
        <v>0</v>
      </c>
      <c r="O536" s="17">
        <v>0</v>
      </c>
      <c r="P536" s="17">
        <v>0</v>
      </c>
      <c r="Q536" s="17">
        <v>0</v>
      </c>
      <c r="R536" s="17">
        <v>0.50209999999999999</v>
      </c>
      <c r="S536" s="17">
        <v>0</v>
      </c>
      <c r="T536" s="17">
        <v>0</v>
      </c>
      <c r="U536" s="17">
        <v>2.04</v>
      </c>
      <c r="V536" s="17">
        <v>0</v>
      </c>
      <c r="W536" s="17">
        <v>1.0900000000000001</v>
      </c>
      <c r="X536" s="17">
        <v>0</v>
      </c>
      <c r="Y536" s="17">
        <v>0</v>
      </c>
      <c r="Z536" s="17">
        <v>0</v>
      </c>
      <c r="AA536" s="17">
        <v>0</v>
      </c>
      <c r="AB536" s="17">
        <v>0</v>
      </c>
      <c r="AC536" s="17">
        <v>0.55179999999999996</v>
      </c>
      <c r="AD536" s="17">
        <v>0</v>
      </c>
      <c r="AE536" s="17">
        <v>0</v>
      </c>
      <c r="AF536" s="17">
        <v>0</v>
      </c>
      <c r="AG536" s="17">
        <v>0</v>
      </c>
      <c r="AH536" s="17">
        <v>0</v>
      </c>
      <c r="AI536" s="17">
        <f t="shared" si="35"/>
        <v>6</v>
      </c>
      <c r="AJ536" s="17">
        <f t="shared" si="36"/>
        <v>5</v>
      </c>
      <c r="AK536" s="17">
        <f t="shared" si="37"/>
        <v>11</v>
      </c>
      <c r="AL536" s="17">
        <f t="shared" si="38"/>
        <v>0</v>
      </c>
      <c r="AM536" s="17">
        <f>VLOOKUP(AK536,Sheet1!$A$2:$B$25,2,FALSE)</f>
        <v>1</v>
      </c>
    </row>
    <row r="537" spans="1:39" s="17" customFormat="1" x14ac:dyDescent="0.25">
      <c r="A537" s="21">
        <v>44597.489583333336</v>
      </c>
      <c r="B537" s="17">
        <v>5.51</v>
      </c>
      <c r="C537" s="17">
        <v>1.45</v>
      </c>
      <c r="D537" s="17">
        <v>4.0599999999999996</v>
      </c>
      <c r="E537" s="17">
        <v>0</v>
      </c>
      <c r="F537" s="17">
        <v>0</v>
      </c>
      <c r="G537" s="17">
        <v>0</v>
      </c>
      <c r="H537" s="17">
        <v>1.85</v>
      </c>
      <c r="I537" s="17">
        <v>0</v>
      </c>
      <c r="J537" s="17">
        <v>1.56</v>
      </c>
      <c r="K537" s="17">
        <v>0</v>
      </c>
      <c r="L537" s="17">
        <v>0</v>
      </c>
      <c r="M537" s="17">
        <v>0</v>
      </c>
      <c r="N537" s="17">
        <v>0</v>
      </c>
      <c r="O537" s="17">
        <v>0</v>
      </c>
      <c r="P537" s="17">
        <v>0</v>
      </c>
      <c r="Q537" s="17">
        <v>0</v>
      </c>
      <c r="R537" s="17">
        <v>0.49180000000000001</v>
      </c>
      <c r="S537" s="17">
        <v>0</v>
      </c>
      <c r="T537" s="17">
        <v>0</v>
      </c>
      <c r="U537" s="17">
        <v>2.0299999999999998</v>
      </c>
      <c r="V537" s="17">
        <v>0</v>
      </c>
      <c r="W537" s="17">
        <v>1.08</v>
      </c>
      <c r="X537" s="17">
        <v>0</v>
      </c>
      <c r="Y537" s="17">
        <v>0</v>
      </c>
      <c r="Z537" s="17">
        <v>0</v>
      </c>
      <c r="AA537" s="17">
        <v>0</v>
      </c>
      <c r="AB537" s="17">
        <v>0</v>
      </c>
      <c r="AC537" s="17">
        <v>0</v>
      </c>
      <c r="AD537" s="17">
        <v>0</v>
      </c>
      <c r="AE537" s="17">
        <v>0</v>
      </c>
      <c r="AF537" s="17">
        <v>0</v>
      </c>
      <c r="AG537" s="17">
        <v>0</v>
      </c>
      <c r="AH537" s="17">
        <v>0</v>
      </c>
      <c r="AI537" s="17">
        <f t="shared" si="35"/>
        <v>6</v>
      </c>
      <c r="AJ537" s="17">
        <f t="shared" si="36"/>
        <v>5</v>
      </c>
      <c r="AK537" s="17">
        <f t="shared" si="37"/>
        <v>11</v>
      </c>
      <c r="AL537" s="17">
        <f t="shared" si="38"/>
        <v>0</v>
      </c>
      <c r="AM537" s="17">
        <f>VLOOKUP(AK537,Sheet1!$A$2:$B$25,2,FALSE)</f>
        <v>1</v>
      </c>
    </row>
    <row r="538" spans="1:39" s="17" customFormat="1" x14ac:dyDescent="0.25">
      <c r="A538" s="21">
        <v>44597.5</v>
      </c>
      <c r="B538" s="17">
        <v>5.46</v>
      </c>
      <c r="C538" s="17">
        <v>1.43</v>
      </c>
      <c r="D538" s="17">
        <v>4.03</v>
      </c>
      <c r="E538" s="17">
        <v>0</v>
      </c>
      <c r="F538" s="17">
        <v>0</v>
      </c>
      <c r="G538" s="17">
        <v>0</v>
      </c>
      <c r="H538" s="17">
        <v>1.92</v>
      </c>
      <c r="I538" s="17">
        <v>0</v>
      </c>
      <c r="J538" s="17">
        <v>1.86</v>
      </c>
      <c r="K538" s="17">
        <v>0</v>
      </c>
      <c r="L538" s="17">
        <v>0</v>
      </c>
      <c r="M538" s="17">
        <v>0</v>
      </c>
      <c r="N538" s="17">
        <v>0</v>
      </c>
      <c r="O538" s="17">
        <v>0</v>
      </c>
      <c r="P538" s="17">
        <v>0</v>
      </c>
      <c r="Q538" s="17">
        <v>0</v>
      </c>
      <c r="R538" s="17">
        <v>0.44130000000000003</v>
      </c>
      <c r="S538" s="17">
        <v>0</v>
      </c>
      <c r="T538" s="17">
        <v>0</v>
      </c>
      <c r="U538" s="17">
        <v>2.06</v>
      </c>
      <c r="V538" s="17">
        <v>0</v>
      </c>
      <c r="W538" s="17">
        <v>1.1000000000000001</v>
      </c>
      <c r="X538" s="17">
        <v>0</v>
      </c>
      <c r="Y538" s="17">
        <v>0</v>
      </c>
      <c r="Z538" s="17">
        <v>0</v>
      </c>
      <c r="AA538" s="17">
        <v>0</v>
      </c>
      <c r="AB538" s="17">
        <v>0</v>
      </c>
      <c r="AC538" s="17">
        <v>0</v>
      </c>
      <c r="AD538" s="17">
        <v>0</v>
      </c>
      <c r="AE538" s="17">
        <v>0</v>
      </c>
      <c r="AF538" s="17">
        <v>0</v>
      </c>
      <c r="AG538" s="17">
        <v>0</v>
      </c>
      <c r="AH538" s="17">
        <v>0</v>
      </c>
      <c r="AI538" s="17">
        <f t="shared" si="35"/>
        <v>6</v>
      </c>
      <c r="AJ538" s="17">
        <f t="shared" si="36"/>
        <v>5</v>
      </c>
      <c r="AK538" s="17">
        <f t="shared" si="37"/>
        <v>12</v>
      </c>
      <c r="AL538" s="17">
        <f t="shared" si="38"/>
        <v>0</v>
      </c>
      <c r="AM538" s="17">
        <f>VLOOKUP(AK538,Sheet1!$A$2:$B$25,2,FALSE)</f>
        <v>1</v>
      </c>
    </row>
    <row r="539" spans="1:39" s="17" customFormat="1" x14ac:dyDescent="0.25">
      <c r="A539" s="21">
        <v>44597.510416666664</v>
      </c>
      <c r="B539" s="17">
        <v>6.03</v>
      </c>
      <c r="C539" s="17">
        <v>1.99</v>
      </c>
      <c r="D539" s="17">
        <v>4.04</v>
      </c>
      <c r="E539" s="17">
        <v>0</v>
      </c>
      <c r="F539" s="17">
        <v>0</v>
      </c>
      <c r="G539" s="17">
        <v>0</v>
      </c>
      <c r="H539" s="17">
        <v>1.95</v>
      </c>
      <c r="I539" s="17">
        <v>0</v>
      </c>
      <c r="J539" s="17">
        <v>1.94</v>
      </c>
      <c r="K539" s="17">
        <v>0</v>
      </c>
      <c r="L539" s="17">
        <v>0</v>
      </c>
      <c r="M539" s="17">
        <v>0</v>
      </c>
      <c r="N539" s="17">
        <v>0</v>
      </c>
      <c r="O539" s="17">
        <v>0</v>
      </c>
      <c r="P539" s="17">
        <v>0</v>
      </c>
      <c r="Q539" s="17">
        <v>0</v>
      </c>
      <c r="R539" s="17">
        <v>0.49340000000000001</v>
      </c>
      <c r="S539" s="17">
        <v>0</v>
      </c>
      <c r="T539" s="17">
        <v>0</v>
      </c>
      <c r="U539" s="17">
        <v>2.06</v>
      </c>
      <c r="V539" s="17">
        <v>0</v>
      </c>
      <c r="W539" s="17">
        <v>1.1100000000000001</v>
      </c>
      <c r="X539" s="17">
        <v>0</v>
      </c>
      <c r="Y539" s="17">
        <v>0</v>
      </c>
      <c r="Z539" s="17">
        <v>0</v>
      </c>
      <c r="AA539" s="17">
        <v>0</v>
      </c>
      <c r="AB539" s="17">
        <v>0</v>
      </c>
      <c r="AC539" s="17">
        <v>0</v>
      </c>
      <c r="AD539" s="17">
        <v>0</v>
      </c>
      <c r="AE539" s="17">
        <v>0</v>
      </c>
      <c r="AF539" s="17">
        <v>0</v>
      </c>
      <c r="AG539" s="17">
        <v>0</v>
      </c>
      <c r="AH539" s="17">
        <v>0</v>
      </c>
      <c r="AI539" s="17">
        <f t="shared" si="35"/>
        <v>6</v>
      </c>
      <c r="AJ539" s="17">
        <f t="shared" si="36"/>
        <v>5</v>
      </c>
      <c r="AK539" s="17">
        <f t="shared" si="37"/>
        <v>12</v>
      </c>
      <c r="AL539" s="17">
        <f t="shared" si="38"/>
        <v>0</v>
      </c>
      <c r="AM539" s="17">
        <f>VLOOKUP(AK539,Sheet1!$A$2:$B$25,2,FALSE)</f>
        <v>1</v>
      </c>
    </row>
    <row r="540" spans="1:39" s="17" customFormat="1" x14ac:dyDescent="0.25">
      <c r="A540" s="21">
        <v>44597.520833333336</v>
      </c>
      <c r="B540" s="17">
        <v>6.35</v>
      </c>
      <c r="C540" s="17">
        <v>2.17</v>
      </c>
      <c r="D540" s="17">
        <v>4.18</v>
      </c>
      <c r="E540" s="17">
        <v>0</v>
      </c>
      <c r="F540" s="17">
        <v>0</v>
      </c>
      <c r="G540" s="17">
        <v>0</v>
      </c>
      <c r="H540" s="17">
        <v>2.0299999999999998</v>
      </c>
      <c r="I540" s="17">
        <v>0</v>
      </c>
      <c r="J540" s="17">
        <v>2.02</v>
      </c>
      <c r="K540" s="17">
        <v>0</v>
      </c>
      <c r="L540" s="17">
        <v>0</v>
      </c>
      <c r="M540" s="17">
        <v>0</v>
      </c>
      <c r="N540" s="17">
        <v>0</v>
      </c>
      <c r="O540" s="17">
        <v>0</v>
      </c>
      <c r="P540" s="17">
        <v>0</v>
      </c>
      <c r="Q540" s="17">
        <v>0</v>
      </c>
      <c r="R540" s="17">
        <v>0.45469999999999999</v>
      </c>
      <c r="S540" s="17">
        <v>0</v>
      </c>
      <c r="T540" s="17">
        <v>0</v>
      </c>
      <c r="U540" s="17">
        <v>2.06</v>
      </c>
      <c r="V540" s="17">
        <v>0</v>
      </c>
      <c r="W540" s="17">
        <v>1.1100000000000001</v>
      </c>
      <c r="X540" s="17">
        <v>0</v>
      </c>
      <c r="Y540" s="17">
        <v>0</v>
      </c>
      <c r="Z540" s="17">
        <v>0</v>
      </c>
      <c r="AA540" s="17">
        <v>0</v>
      </c>
      <c r="AB540" s="17">
        <v>0</v>
      </c>
      <c r="AC540" s="17">
        <v>0</v>
      </c>
      <c r="AD540" s="17">
        <v>0</v>
      </c>
      <c r="AE540" s="17">
        <v>0</v>
      </c>
      <c r="AF540" s="17">
        <v>0</v>
      </c>
      <c r="AG540" s="17">
        <v>0</v>
      </c>
      <c r="AH540" s="17">
        <v>0</v>
      </c>
      <c r="AI540" s="17">
        <f t="shared" si="35"/>
        <v>6</v>
      </c>
      <c r="AJ540" s="17">
        <f t="shared" si="36"/>
        <v>5</v>
      </c>
      <c r="AK540" s="17">
        <f t="shared" si="37"/>
        <v>12</v>
      </c>
      <c r="AL540" s="17">
        <f t="shared" si="38"/>
        <v>0</v>
      </c>
      <c r="AM540" s="17">
        <f>VLOOKUP(AK540,Sheet1!$A$2:$B$25,2,FALSE)</f>
        <v>1</v>
      </c>
    </row>
    <row r="541" spans="1:39" s="17" customFormat="1" x14ac:dyDescent="0.25">
      <c r="A541" s="21">
        <v>44597.53125</v>
      </c>
      <c r="B541" s="17">
        <v>4.8099999999999996</v>
      </c>
      <c r="C541" s="17">
        <v>0.70660000000000001</v>
      </c>
      <c r="D541" s="17">
        <v>4.1100000000000003</v>
      </c>
      <c r="E541" s="17">
        <v>0</v>
      </c>
      <c r="F541" s="17">
        <v>0</v>
      </c>
      <c r="G541" s="17">
        <v>0</v>
      </c>
      <c r="H541" s="17">
        <v>1.77</v>
      </c>
      <c r="I541" s="17">
        <v>0</v>
      </c>
      <c r="J541" s="17">
        <v>1.8</v>
      </c>
      <c r="K541" s="17">
        <v>0</v>
      </c>
      <c r="L541" s="17">
        <v>0</v>
      </c>
      <c r="M541" s="17">
        <v>0</v>
      </c>
      <c r="N541" s="17">
        <v>0</v>
      </c>
      <c r="O541" s="17">
        <v>0</v>
      </c>
      <c r="P541" s="17">
        <v>0</v>
      </c>
      <c r="Q541" s="17">
        <v>0</v>
      </c>
      <c r="R541" s="17">
        <v>0.27789999999999998</v>
      </c>
      <c r="S541" s="17">
        <v>0</v>
      </c>
      <c r="T541" s="17">
        <v>0</v>
      </c>
      <c r="U541" s="17">
        <v>2.04</v>
      </c>
      <c r="V541" s="17">
        <v>0</v>
      </c>
      <c r="W541" s="17">
        <v>1.0900000000000001</v>
      </c>
      <c r="X541" s="17">
        <v>0</v>
      </c>
      <c r="Y541" s="17">
        <v>0</v>
      </c>
      <c r="Z541" s="17">
        <v>0</v>
      </c>
      <c r="AA541" s="17">
        <v>0</v>
      </c>
      <c r="AB541" s="17">
        <v>0</v>
      </c>
      <c r="AC541" s="17">
        <v>0</v>
      </c>
      <c r="AD541" s="17">
        <v>0</v>
      </c>
      <c r="AE541" s="17">
        <v>0</v>
      </c>
      <c r="AF541" s="17">
        <v>0</v>
      </c>
      <c r="AG541" s="17">
        <v>0</v>
      </c>
      <c r="AH541" s="17">
        <v>0</v>
      </c>
      <c r="AI541" s="17">
        <f t="shared" si="35"/>
        <v>6</v>
      </c>
      <c r="AJ541" s="17">
        <f t="shared" si="36"/>
        <v>5</v>
      </c>
      <c r="AK541" s="17">
        <f t="shared" si="37"/>
        <v>12</v>
      </c>
      <c r="AL541" s="17">
        <f t="shared" si="38"/>
        <v>0</v>
      </c>
      <c r="AM541" s="17">
        <f>VLOOKUP(AK541,Sheet1!$A$2:$B$25,2,FALSE)</f>
        <v>1</v>
      </c>
    </row>
    <row r="542" spans="1:39" s="17" customFormat="1" x14ac:dyDescent="0.25">
      <c r="A542" s="21">
        <v>44597.541666666664</v>
      </c>
      <c r="B542" s="17">
        <v>6.68</v>
      </c>
      <c r="C542" s="17">
        <v>2.58</v>
      </c>
      <c r="D542" s="17">
        <v>4.0999999999999996</v>
      </c>
      <c r="E542" s="17">
        <v>0</v>
      </c>
      <c r="F542" s="17">
        <v>0</v>
      </c>
      <c r="G542" s="17">
        <v>0</v>
      </c>
      <c r="H542" s="17">
        <v>1.84</v>
      </c>
      <c r="I542" s="17">
        <v>0</v>
      </c>
      <c r="J542" s="17">
        <v>1.85</v>
      </c>
      <c r="K542" s="17">
        <v>0</v>
      </c>
      <c r="L542" s="17">
        <v>0</v>
      </c>
      <c r="M542" s="17">
        <v>0</v>
      </c>
      <c r="N542" s="17">
        <v>0</v>
      </c>
      <c r="O542" s="17">
        <v>0</v>
      </c>
      <c r="P542" s="17">
        <v>0</v>
      </c>
      <c r="Q542" s="17">
        <v>0</v>
      </c>
      <c r="R542" s="17">
        <v>0.64500000000000002</v>
      </c>
      <c r="S542" s="17">
        <v>0</v>
      </c>
      <c r="T542" s="17">
        <v>0</v>
      </c>
      <c r="U542" s="17">
        <v>2.0499999999999998</v>
      </c>
      <c r="V542" s="17">
        <v>0</v>
      </c>
      <c r="W542" s="17">
        <v>1.1000000000000001</v>
      </c>
      <c r="X542" s="17">
        <v>0</v>
      </c>
      <c r="Y542" s="17">
        <v>0</v>
      </c>
      <c r="Z542" s="17">
        <v>0</v>
      </c>
      <c r="AA542" s="17">
        <v>0</v>
      </c>
      <c r="AB542" s="17">
        <v>0</v>
      </c>
      <c r="AC542" s="17">
        <v>0</v>
      </c>
      <c r="AD542" s="17">
        <v>0</v>
      </c>
      <c r="AE542" s="17">
        <v>0</v>
      </c>
      <c r="AF542" s="17">
        <v>0</v>
      </c>
      <c r="AG542" s="17">
        <v>0</v>
      </c>
      <c r="AH542" s="17">
        <v>0</v>
      </c>
      <c r="AI542" s="17">
        <f t="shared" si="35"/>
        <v>6</v>
      </c>
      <c r="AJ542" s="17">
        <f t="shared" si="36"/>
        <v>5</v>
      </c>
      <c r="AK542" s="17">
        <f t="shared" si="37"/>
        <v>13</v>
      </c>
      <c r="AL542" s="17">
        <f t="shared" si="38"/>
        <v>0</v>
      </c>
      <c r="AM542" s="17">
        <f>VLOOKUP(AK542,Sheet1!$A$2:$B$25,2,FALSE)</f>
        <v>1</v>
      </c>
    </row>
    <row r="543" spans="1:39" s="17" customFormat="1" x14ac:dyDescent="0.25">
      <c r="A543" s="21">
        <v>44597.552083333336</v>
      </c>
      <c r="B543" s="17">
        <v>5.34</v>
      </c>
      <c r="C543" s="17">
        <v>0.90939999999999999</v>
      </c>
      <c r="D543" s="17">
        <v>4.05</v>
      </c>
      <c r="E543" s="17">
        <v>0</v>
      </c>
      <c r="F543" s="17">
        <v>0</v>
      </c>
      <c r="G543" s="17">
        <v>0</v>
      </c>
      <c r="H543" s="17">
        <v>1.82</v>
      </c>
      <c r="I543" s="17">
        <v>0</v>
      </c>
      <c r="J543" s="17">
        <v>1.48</v>
      </c>
      <c r="K543" s="17">
        <v>0</v>
      </c>
      <c r="L543" s="17">
        <v>0</v>
      </c>
      <c r="M543" s="17">
        <v>0</v>
      </c>
      <c r="N543" s="17">
        <v>0</v>
      </c>
      <c r="O543" s="17">
        <v>0</v>
      </c>
      <c r="P543" s="17">
        <v>0</v>
      </c>
      <c r="Q543" s="17">
        <v>0</v>
      </c>
      <c r="R543" s="17">
        <v>0.2913</v>
      </c>
      <c r="S543" s="17">
        <v>0</v>
      </c>
      <c r="T543" s="17">
        <v>0</v>
      </c>
      <c r="U543" s="17">
        <v>2.0499999999999998</v>
      </c>
      <c r="V543" s="17">
        <v>0</v>
      </c>
      <c r="W543" s="17">
        <v>1.1000000000000001</v>
      </c>
      <c r="X543" s="17">
        <v>0</v>
      </c>
      <c r="Y543" s="17">
        <v>0</v>
      </c>
      <c r="Z543" s="17">
        <v>0</v>
      </c>
      <c r="AA543" s="17">
        <v>0</v>
      </c>
      <c r="AB543" s="17">
        <v>0</v>
      </c>
      <c r="AC543" s="17">
        <v>0.375</v>
      </c>
      <c r="AD543" s="17">
        <v>0</v>
      </c>
      <c r="AE543" s="17">
        <v>0</v>
      </c>
      <c r="AF543" s="17">
        <v>0</v>
      </c>
      <c r="AG543" s="17">
        <v>0</v>
      </c>
      <c r="AH543" s="17">
        <v>0</v>
      </c>
      <c r="AI543" s="17">
        <f t="shared" si="35"/>
        <v>6</v>
      </c>
      <c r="AJ543" s="17">
        <f t="shared" si="36"/>
        <v>5</v>
      </c>
      <c r="AK543" s="17">
        <f t="shared" si="37"/>
        <v>13</v>
      </c>
      <c r="AL543" s="17">
        <f t="shared" si="38"/>
        <v>0</v>
      </c>
      <c r="AM543" s="17">
        <f>VLOOKUP(AK543,Sheet1!$A$2:$B$25,2,FALSE)</f>
        <v>1</v>
      </c>
    </row>
    <row r="544" spans="1:39" s="17" customFormat="1" x14ac:dyDescent="0.25">
      <c r="A544" s="21">
        <v>44597.5625</v>
      </c>
      <c r="B544" s="17">
        <v>8.5500000000000007</v>
      </c>
      <c r="C544" s="17">
        <v>2.74</v>
      </c>
      <c r="D544" s="17">
        <v>4.13</v>
      </c>
      <c r="E544" s="17">
        <v>0</v>
      </c>
      <c r="F544" s="17">
        <v>0</v>
      </c>
      <c r="G544" s="17">
        <v>0</v>
      </c>
      <c r="H544" s="17">
        <v>1.86</v>
      </c>
      <c r="I544" s="17">
        <v>0</v>
      </c>
      <c r="J544" s="17">
        <v>1.84</v>
      </c>
      <c r="K544" s="17">
        <v>0</v>
      </c>
      <c r="L544" s="17">
        <v>0</v>
      </c>
      <c r="M544" s="17">
        <v>0</v>
      </c>
      <c r="N544" s="17">
        <v>0</v>
      </c>
      <c r="O544" s="17">
        <v>0</v>
      </c>
      <c r="P544" s="17">
        <v>0</v>
      </c>
      <c r="Q544" s="17">
        <v>0</v>
      </c>
      <c r="R544" s="17">
        <v>0.47599999999999998</v>
      </c>
      <c r="S544" s="17">
        <v>0</v>
      </c>
      <c r="T544" s="17">
        <v>0</v>
      </c>
      <c r="U544" s="17">
        <v>2.06</v>
      </c>
      <c r="V544" s="17">
        <v>0</v>
      </c>
      <c r="W544" s="17">
        <v>1.1100000000000001</v>
      </c>
      <c r="X544" s="17">
        <v>0</v>
      </c>
      <c r="Y544" s="17">
        <v>0</v>
      </c>
      <c r="Z544" s="17">
        <v>0</v>
      </c>
      <c r="AA544" s="17">
        <v>0</v>
      </c>
      <c r="AB544" s="17">
        <v>0</v>
      </c>
      <c r="AC544" s="17">
        <v>1.67</v>
      </c>
      <c r="AD544" s="17">
        <v>0</v>
      </c>
      <c r="AE544" s="17">
        <v>0</v>
      </c>
      <c r="AF544" s="17">
        <v>0</v>
      </c>
      <c r="AG544" s="17">
        <v>0</v>
      </c>
      <c r="AH544" s="17">
        <v>0</v>
      </c>
      <c r="AI544" s="17">
        <f t="shared" si="35"/>
        <v>6</v>
      </c>
      <c r="AJ544" s="17">
        <f t="shared" si="36"/>
        <v>5</v>
      </c>
      <c r="AK544" s="17">
        <f t="shared" si="37"/>
        <v>13</v>
      </c>
      <c r="AL544" s="17">
        <f t="shared" si="38"/>
        <v>0</v>
      </c>
      <c r="AM544" s="17">
        <f>VLOOKUP(AK544,Sheet1!$A$2:$B$25,2,FALSE)</f>
        <v>1</v>
      </c>
    </row>
    <row r="545" spans="1:39" s="17" customFormat="1" x14ac:dyDescent="0.25">
      <c r="A545" s="21">
        <v>44597.572916666664</v>
      </c>
      <c r="B545" s="17">
        <v>6.18</v>
      </c>
      <c r="C545" s="17">
        <v>1.89</v>
      </c>
      <c r="D545" s="17">
        <v>4.29</v>
      </c>
      <c r="E545" s="17">
        <v>0</v>
      </c>
      <c r="F545" s="17">
        <v>0</v>
      </c>
      <c r="G545" s="17">
        <v>0</v>
      </c>
      <c r="H545" s="17">
        <v>1.91</v>
      </c>
      <c r="I545" s="17">
        <v>0</v>
      </c>
      <c r="J545" s="17">
        <v>1.85</v>
      </c>
      <c r="K545" s="17">
        <v>0</v>
      </c>
      <c r="L545" s="17">
        <v>0</v>
      </c>
      <c r="M545" s="17">
        <v>0</v>
      </c>
      <c r="N545" s="17">
        <v>0</v>
      </c>
      <c r="O545" s="17">
        <v>0</v>
      </c>
      <c r="P545" s="17">
        <v>0</v>
      </c>
      <c r="Q545" s="17">
        <v>0</v>
      </c>
      <c r="R545" s="17">
        <v>0.52500000000000002</v>
      </c>
      <c r="S545" s="17">
        <v>0</v>
      </c>
      <c r="T545" s="17">
        <v>0</v>
      </c>
      <c r="U545" s="17">
        <v>2.06</v>
      </c>
      <c r="V545" s="17">
        <v>0</v>
      </c>
      <c r="W545" s="17">
        <v>1.1000000000000001</v>
      </c>
      <c r="X545" s="17">
        <v>0</v>
      </c>
      <c r="Y545" s="17">
        <v>0</v>
      </c>
      <c r="Z545" s="17">
        <v>0</v>
      </c>
      <c r="AA545" s="17">
        <v>0</v>
      </c>
      <c r="AB545" s="17">
        <v>0</v>
      </c>
      <c r="AC545" s="17">
        <v>0</v>
      </c>
      <c r="AD545" s="17">
        <v>0</v>
      </c>
      <c r="AE545" s="17">
        <v>0</v>
      </c>
      <c r="AF545" s="17">
        <v>0</v>
      </c>
      <c r="AG545" s="17">
        <v>0</v>
      </c>
      <c r="AH545" s="17">
        <v>0</v>
      </c>
      <c r="AI545" s="17">
        <f t="shared" si="35"/>
        <v>6</v>
      </c>
      <c r="AJ545" s="17">
        <f t="shared" si="36"/>
        <v>5</v>
      </c>
      <c r="AK545" s="17">
        <f t="shared" si="37"/>
        <v>13</v>
      </c>
      <c r="AL545" s="17">
        <f t="shared" si="38"/>
        <v>0</v>
      </c>
      <c r="AM545" s="17">
        <f>VLOOKUP(AK545,Sheet1!$A$2:$B$25,2,FALSE)</f>
        <v>1</v>
      </c>
    </row>
    <row r="546" spans="1:39" s="17" customFormat="1" x14ac:dyDescent="0.25">
      <c r="A546" s="21">
        <v>44597.583333333336</v>
      </c>
      <c r="B546" s="17">
        <v>6.66</v>
      </c>
      <c r="C546" s="17">
        <v>2.56</v>
      </c>
      <c r="D546" s="17">
        <v>4.0999999999999996</v>
      </c>
      <c r="E546" s="17">
        <v>0</v>
      </c>
      <c r="F546" s="17">
        <v>0</v>
      </c>
      <c r="G546" s="17">
        <v>0</v>
      </c>
      <c r="H546" s="17">
        <v>1.65</v>
      </c>
      <c r="I546" s="17">
        <v>0</v>
      </c>
      <c r="J546" s="17">
        <v>1.7</v>
      </c>
      <c r="K546" s="17">
        <v>0</v>
      </c>
      <c r="L546" s="17">
        <v>0</v>
      </c>
      <c r="M546" s="17">
        <v>0</v>
      </c>
      <c r="N546" s="17">
        <v>0</v>
      </c>
      <c r="O546" s="17">
        <v>0</v>
      </c>
      <c r="P546" s="17">
        <v>0</v>
      </c>
      <c r="Q546" s="17">
        <v>0</v>
      </c>
      <c r="R546" s="17">
        <v>0.4879</v>
      </c>
      <c r="S546" s="17">
        <v>0</v>
      </c>
      <c r="T546" s="17">
        <v>0</v>
      </c>
      <c r="U546" s="17">
        <v>2.04</v>
      </c>
      <c r="V546" s="17">
        <v>0</v>
      </c>
      <c r="W546" s="17">
        <v>1.0900000000000001</v>
      </c>
      <c r="X546" s="17">
        <v>0</v>
      </c>
      <c r="Y546" s="17">
        <v>0</v>
      </c>
      <c r="Z546" s="17">
        <v>0</v>
      </c>
      <c r="AA546" s="17">
        <v>0</v>
      </c>
      <c r="AB546" s="17">
        <v>0</v>
      </c>
      <c r="AC546" s="17">
        <v>0</v>
      </c>
      <c r="AD546" s="17">
        <v>0</v>
      </c>
      <c r="AE546" s="17">
        <v>0</v>
      </c>
      <c r="AF546" s="17">
        <v>0</v>
      </c>
      <c r="AG546" s="17">
        <v>0</v>
      </c>
      <c r="AH546" s="17">
        <v>0</v>
      </c>
      <c r="AI546" s="17">
        <f t="shared" si="35"/>
        <v>6</v>
      </c>
      <c r="AJ546" s="17">
        <f t="shared" si="36"/>
        <v>5</v>
      </c>
      <c r="AK546" s="17">
        <f t="shared" si="37"/>
        <v>14</v>
      </c>
      <c r="AL546" s="17">
        <f t="shared" si="38"/>
        <v>0</v>
      </c>
      <c r="AM546" s="17">
        <f>VLOOKUP(AK546,Sheet1!$A$2:$B$25,2,FALSE)</f>
        <v>1</v>
      </c>
    </row>
    <row r="547" spans="1:39" s="17" customFormat="1" x14ac:dyDescent="0.25">
      <c r="A547" s="21">
        <v>44597.59375</v>
      </c>
      <c r="B547" s="17">
        <v>5.91</v>
      </c>
      <c r="C547" s="17">
        <v>1.82</v>
      </c>
      <c r="D547" s="17">
        <v>4.09</v>
      </c>
      <c r="E547" s="17">
        <v>0</v>
      </c>
      <c r="F547" s="17">
        <v>0</v>
      </c>
      <c r="G547" s="17">
        <v>0</v>
      </c>
      <c r="H547" s="17">
        <v>1.73</v>
      </c>
      <c r="I547" s="17">
        <v>0</v>
      </c>
      <c r="J547" s="17">
        <v>1.65</v>
      </c>
      <c r="K547" s="17">
        <v>0</v>
      </c>
      <c r="L547" s="17">
        <v>0</v>
      </c>
      <c r="M547" s="17">
        <v>0</v>
      </c>
      <c r="N547" s="17">
        <v>0</v>
      </c>
      <c r="O547" s="17">
        <v>0</v>
      </c>
      <c r="P547" s="17">
        <v>0</v>
      </c>
      <c r="Q547" s="17">
        <v>0</v>
      </c>
      <c r="R547" s="17">
        <v>0.49740000000000001</v>
      </c>
      <c r="S547" s="17">
        <v>0</v>
      </c>
      <c r="T547" s="17">
        <v>0</v>
      </c>
      <c r="U547" s="17">
        <v>2.04</v>
      </c>
      <c r="V547" s="17">
        <v>0</v>
      </c>
      <c r="W547" s="17">
        <v>1.0900000000000001</v>
      </c>
      <c r="X547" s="17">
        <v>0</v>
      </c>
      <c r="Y547" s="17">
        <v>0</v>
      </c>
      <c r="Z547" s="17">
        <v>0</v>
      </c>
      <c r="AA547" s="17">
        <v>0</v>
      </c>
      <c r="AB547" s="17">
        <v>0</v>
      </c>
      <c r="AC547" s="17">
        <v>0</v>
      </c>
      <c r="AD547" s="17">
        <v>0</v>
      </c>
      <c r="AE547" s="17">
        <v>0</v>
      </c>
      <c r="AF547" s="17">
        <v>0</v>
      </c>
      <c r="AG547" s="17">
        <v>0</v>
      </c>
      <c r="AH547" s="17">
        <v>0</v>
      </c>
      <c r="AI547" s="17">
        <f t="shared" si="35"/>
        <v>6</v>
      </c>
      <c r="AJ547" s="17">
        <f t="shared" si="36"/>
        <v>5</v>
      </c>
      <c r="AK547" s="17">
        <f t="shared" si="37"/>
        <v>14</v>
      </c>
      <c r="AL547" s="17">
        <f t="shared" si="38"/>
        <v>0</v>
      </c>
      <c r="AM547" s="17">
        <f>VLOOKUP(AK547,Sheet1!$A$2:$B$25,2,FALSE)</f>
        <v>1</v>
      </c>
    </row>
    <row r="548" spans="1:39" s="17" customFormat="1" x14ac:dyDescent="0.25">
      <c r="A548" s="21">
        <v>44597.604166666664</v>
      </c>
      <c r="B548" s="17">
        <v>4.88</v>
      </c>
      <c r="C548" s="17">
        <v>0.87549999999999994</v>
      </c>
      <c r="D548" s="17">
        <v>4</v>
      </c>
      <c r="E548" s="17">
        <v>0</v>
      </c>
      <c r="F548" s="17">
        <v>0</v>
      </c>
      <c r="G548" s="17">
        <v>0</v>
      </c>
      <c r="H548" s="17">
        <v>1.69</v>
      </c>
      <c r="I548" s="17">
        <v>0</v>
      </c>
      <c r="J548" s="17">
        <v>1.62</v>
      </c>
      <c r="K548" s="17">
        <v>0</v>
      </c>
      <c r="L548" s="17">
        <v>0</v>
      </c>
      <c r="M548" s="17">
        <v>0</v>
      </c>
      <c r="N548" s="17">
        <v>0</v>
      </c>
      <c r="O548" s="17">
        <v>0</v>
      </c>
      <c r="P548" s="17">
        <v>0</v>
      </c>
      <c r="Q548" s="17">
        <v>0</v>
      </c>
      <c r="R548" s="17">
        <v>0.44130000000000003</v>
      </c>
      <c r="S548" s="17">
        <v>0</v>
      </c>
      <c r="T548" s="17">
        <v>0</v>
      </c>
      <c r="U548" s="17">
        <v>2.02</v>
      </c>
      <c r="V548" s="17">
        <v>0</v>
      </c>
      <c r="W548" s="17">
        <v>1.08</v>
      </c>
      <c r="X548" s="17">
        <v>0</v>
      </c>
      <c r="Y548" s="17">
        <v>0</v>
      </c>
      <c r="Z548" s="17">
        <v>0</v>
      </c>
      <c r="AA548" s="17">
        <v>0</v>
      </c>
      <c r="AB548" s="17">
        <v>0</v>
      </c>
      <c r="AC548" s="17">
        <v>0</v>
      </c>
      <c r="AD548" s="17">
        <v>0</v>
      </c>
      <c r="AE548" s="17">
        <v>0</v>
      </c>
      <c r="AF548" s="17">
        <v>0</v>
      </c>
      <c r="AG548" s="17">
        <v>0</v>
      </c>
      <c r="AH548" s="17">
        <v>0</v>
      </c>
      <c r="AI548" s="17">
        <f t="shared" si="35"/>
        <v>6</v>
      </c>
      <c r="AJ548" s="17">
        <f t="shared" si="36"/>
        <v>5</v>
      </c>
      <c r="AK548" s="17">
        <f t="shared" si="37"/>
        <v>14</v>
      </c>
      <c r="AL548" s="17">
        <f t="shared" si="38"/>
        <v>0</v>
      </c>
      <c r="AM548" s="17">
        <f>VLOOKUP(AK548,Sheet1!$A$2:$B$25,2,FALSE)</f>
        <v>1</v>
      </c>
    </row>
    <row r="549" spans="1:39" s="17" customFormat="1" x14ac:dyDescent="0.25">
      <c r="A549" s="21">
        <v>44597.614583333336</v>
      </c>
      <c r="B549" s="17">
        <v>5.25</v>
      </c>
      <c r="C549" s="17">
        <v>1.17</v>
      </c>
      <c r="D549" s="17">
        <v>4.08</v>
      </c>
      <c r="E549" s="17">
        <v>0</v>
      </c>
      <c r="F549" s="17">
        <v>0</v>
      </c>
      <c r="G549" s="17">
        <v>0</v>
      </c>
      <c r="H549" s="17">
        <v>1.78</v>
      </c>
      <c r="I549" s="17">
        <v>0</v>
      </c>
      <c r="J549" s="17">
        <v>1.72</v>
      </c>
      <c r="K549" s="17">
        <v>0</v>
      </c>
      <c r="L549" s="17">
        <v>0</v>
      </c>
      <c r="M549" s="17">
        <v>0</v>
      </c>
      <c r="N549" s="17">
        <v>0</v>
      </c>
      <c r="O549" s="17">
        <v>0</v>
      </c>
      <c r="P549" s="17">
        <v>0</v>
      </c>
      <c r="Q549" s="17">
        <v>0</v>
      </c>
      <c r="R549" s="17">
        <v>0.40100000000000002</v>
      </c>
      <c r="S549" s="17">
        <v>0</v>
      </c>
      <c r="T549" s="17">
        <v>0</v>
      </c>
      <c r="U549" s="17">
        <v>2.0299999999999998</v>
      </c>
      <c r="V549" s="17">
        <v>0</v>
      </c>
      <c r="W549" s="17">
        <v>1.08</v>
      </c>
      <c r="X549" s="17">
        <v>0</v>
      </c>
      <c r="Y549" s="17">
        <v>0</v>
      </c>
      <c r="Z549" s="17">
        <v>0</v>
      </c>
      <c r="AA549" s="17">
        <v>0</v>
      </c>
      <c r="AB549" s="17">
        <v>0</v>
      </c>
      <c r="AC549" s="17">
        <v>0</v>
      </c>
      <c r="AD549" s="17">
        <v>0</v>
      </c>
      <c r="AE549" s="17">
        <v>0</v>
      </c>
      <c r="AF549" s="17">
        <v>0</v>
      </c>
      <c r="AG549" s="17">
        <v>0</v>
      </c>
      <c r="AH549" s="17">
        <v>0</v>
      </c>
      <c r="AI549" s="17">
        <f t="shared" si="35"/>
        <v>6</v>
      </c>
      <c r="AJ549" s="17">
        <f t="shared" si="36"/>
        <v>5</v>
      </c>
      <c r="AK549" s="17">
        <f t="shared" si="37"/>
        <v>14</v>
      </c>
      <c r="AL549" s="17">
        <f t="shared" si="38"/>
        <v>0</v>
      </c>
      <c r="AM549" s="17">
        <f>VLOOKUP(AK549,Sheet1!$A$2:$B$25,2,FALSE)</f>
        <v>1</v>
      </c>
    </row>
    <row r="550" spans="1:39" s="17" customFormat="1" x14ac:dyDescent="0.25">
      <c r="A550" s="21">
        <v>44597.625</v>
      </c>
      <c r="B550" s="17">
        <v>6.51</v>
      </c>
      <c r="C550" s="17">
        <v>2.39</v>
      </c>
      <c r="D550" s="17">
        <v>4.13</v>
      </c>
      <c r="E550" s="17">
        <v>0</v>
      </c>
      <c r="F550" s="17">
        <v>0</v>
      </c>
      <c r="G550" s="17">
        <v>0</v>
      </c>
      <c r="H550" s="17">
        <v>1.77</v>
      </c>
      <c r="I550" s="17">
        <v>0</v>
      </c>
      <c r="J550" s="17">
        <v>1.86</v>
      </c>
      <c r="K550" s="17">
        <v>0</v>
      </c>
      <c r="L550" s="17">
        <v>0</v>
      </c>
      <c r="M550" s="17">
        <v>0</v>
      </c>
      <c r="N550" s="17">
        <v>0</v>
      </c>
      <c r="O550" s="17">
        <v>0</v>
      </c>
      <c r="P550" s="17">
        <v>0</v>
      </c>
      <c r="Q550" s="17">
        <v>0</v>
      </c>
      <c r="R550" s="17">
        <v>0.10100000000000001</v>
      </c>
      <c r="S550" s="17">
        <v>0</v>
      </c>
      <c r="T550" s="17">
        <v>0</v>
      </c>
      <c r="U550" s="17">
        <v>2.02</v>
      </c>
      <c r="V550" s="17">
        <v>0</v>
      </c>
      <c r="W550" s="17">
        <v>1.08</v>
      </c>
      <c r="X550" s="17">
        <v>0</v>
      </c>
      <c r="Y550" s="17">
        <v>0</v>
      </c>
      <c r="Z550" s="17">
        <v>0</v>
      </c>
      <c r="AA550" s="17">
        <v>0</v>
      </c>
      <c r="AB550" s="17">
        <v>0</v>
      </c>
      <c r="AC550" s="17">
        <v>0</v>
      </c>
      <c r="AD550" s="17">
        <v>0</v>
      </c>
      <c r="AE550" s="17">
        <v>0</v>
      </c>
      <c r="AF550" s="17">
        <v>0</v>
      </c>
      <c r="AG550" s="17">
        <v>0</v>
      </c>
      <c r="AH550" s="17">
        <v>0</v>
      </c>
      <c r="AI550" s="17">
        <f t="shared" si="35"/>
        <v>6</v>
      </c>
      <c r="AJ550" s="17">
        <f t="shared" si="36"/>
        <v>5</v>
      </c>
      <c r="AK550" s="17">
        <f t="shared" si="37"/>
        <v>15</v>
      </c>
      <c r="AL550" s="17">
        <f t="shared" si="38"/>
        <v>0</v>
      </c>
      <c r="AM550" s="17">
        <f>VLOOKUP(AK550,Sheet1!$A$2:$B$25,2,FALSE)</f>
        <v>1</v>
      </c>
    </row>
    <row r="551" spans="1:39" s="17" customFormat="1" x14ac:dyDescent="0.25">
      <c r="A551" s="21">
        <v>44597.635416666664</v>
      </c>
      <c r="B551" s="17">
        <v>6.13</v>
      </c>
      <c r="C551" s="17">
        <v>2.08</v>
      </c>
      <c r="D551" s="17">
        <v>4.05</v>
      </c>
      <c r="E551" s="17">
        <v>0</v>
      </c>
      <c r="F551" s="17">
        <v>0</v>
      </c>
      <c r="G551" s="17">
        <v>0</v>
      </c>
      <c r="H551" s="17">
        <v>1.81</v>
      </c>
      <c r="I551" s="17">
        <v>0</v>
      </c>
      <c r="J551" s="17">
        <v>1.92</v>
      </c>
      <c r="K551" s="17">
        <v>0</v>
      </c>
      <c r="L551" s="17">
        <v>0</v>
      </c>
      <c r="M551" s="17">
        <v>0</v>
      </c>
      <c r="N551" s="17">
        <v>0</v>
      </c>
      <c r="O551" s="17">
        <v>0</v>
      </c>
      <c r="P551" s="17">
        <v>0</v>
      </c>
      <c r="Q551" s="17">
        <v>0</v>
      </c>
      <c r="R551" s="17">
        <v>0.28420000000000001</v>
      </c>
      <c r="S551" s="17">
        <v>0</v>
      </c>
      <c r="T551" s="17">
        <v>0</v>
      </c>
      <c r="U551" s="17">
        <v>2.04</v>
      </c>
      <c r="V551" s="17">
        <v>0</v>
      </c>
      <c r="W551" s="17">
        <v>1.1000000000000001</v>
      </c>
      <c r="X551" s="17">
        <v>0</v>
      </c>
      <c r="Y551" s="17">
        <v>0</v>
      </c>
      <c r="Z551" s="17">
        <v>0</v>
      </c>
      <c r="AA551" s="17">
        <v>0</v>
      </c>
      <c r="AB551" s="17">
        <v>0</v>
      </c>
      <c r="AC551" s="17">
        <v>0</v>
      </c>
      <c r="AD551" s="17">
        <v>0</v>
      </c>
      <c r="AE551" s="17">
        <v>0</v>
      </c>
      <c r="AF551" s="17">
        <v>0</v>
      </c>
      <c r="AG551" s="17">
        <v>0</v>
      </c>
      <c r="AH551" s="17">
        <v>0</v>
      </c>
      <c r="AI551" s="17">
        <f t="shared" si="35"/>
        <v>6</v>
      </c>
      <c r="AJ551" s="17">
        <f t="shared" si="36"/>
        <v>5</v>
      </c>
      <c r="AK551" s="17">
        <f t="shared" si="37"/>
        <v>15</v>
      </c>
      <c r="AL551" s="17">
        <f t="shared" si="38"/>
        <v>0</v>
      </c>
      <c r="AM551" s="17">
        <f>VLOOKUP(AK551,Sheet1!$A$2:$B$25,2,FALSE)</f>
        <v>1</v>
      </c>
    </row>
    <row r="552" spans="1:39" s="17" customFormat="1" x14ac:dyDescent="0.25">
      <c r="A552" s="21">
        <v>44597.645833333336</v>
      </c>
      <c r="B552" s="17">
        <v>6.36</v>
      </c>
      <c r="C552" s="17">
        <v>2.33</v>
      </c>
      <c r="D552" s="17">
        <v>4.03</v>
      </c>
      <c r="E552" s="17">
        <v>0</v>
      </c>
      <c r="F552" s="17">
        <v>0</v>
      </c>
      <c r="G552" s="17">
        <v>0</v>
      </c>
      <c r="H552" s="17">
        <v>1.85</v>
      </c>
      <c r="I552" s="17">
        <v>0</v>
      </c>
      <c r="J552" s="17">
        <v>1.87</v>
      </c>
      <c r="K552" s="17">
        <v>0</v>
      </c>
      <c r="L552" s="17">
        <v>0</v>
      </c>
      <c r="M552" s="17">
        <v>0</v>
      </c>
      <c r="N552" s="17">
        <v>0</v>
      </c>
      <c r="O552" s="17">
        <v>0</v>
      </c>
      <c r="P552" s="17">
        <v>0</v>
      </c>
      <c r="Q552" s="17">
        <v>0</v>
      </c>
      <c r="R552" s="17">
        <v>0.30549999999999999</v>
      </c>
      <c r="S552" s="17">
        <v>0</v>
      </c>
      <c r="T552" s="17">
        <v>0</v>
      </c>
      <c r="U552" s="17">
        <v>2.04</v>
      </c>
      <c r="V552" s="17">
        <v>0</v>
      </c>
      <c r="W552" s="17">
        <v>1.0900000000000001</v>
      </c>
      <c r="X552" s="17">
        <v>0</v>
      </c>
      <c r="Y552" s="17">
        <v>0</v>
      </c>
      <c r="Z552" s="17">
        <v>0</v>
      </c>
      <c r="AA552" s="17">
        <v>0</v>
      </c>
      <c r="AB552" s="17">
        <v>0</v>
      </c>
      <c r="AC552" s="17">
        <v>0</v>
      </c>
      <c r="AD552" s="17">
        <v>0</v>
      </c>
      <c r="AE552" s="17">
        <v>0</v>
      </c>
      <c r="AF552" s="17">
        <v>0</v>
      </c>
      <c r="AG552" s="17">
        <v>0</v>
      </c>
      <c r="AH552" s="17">
        <v>0</v>
      </c>
      <c r="AI552" s="17">
        <f t="shared" si="35"/>
        <v>6</v>
      </c>
      <c r="AJ552" s="17">
        <f t="shared" si="36"/>
        <v>5</v>
      </c>
      <c r="AK552" s="17">
        <f t="shared" si="37"/>
        <v>15</v>
      </c>
      <c r="AL552" s="17">
        <f t="shared" si="38"/>
        <v>0</v>
      </c>
      <c r="AM552" s="17">
        <f>VLOOKUP(AK552,Sheet1!$A$2:$B$25,2,FALSE)</f>
        <v>1</v>
      </c>
    </row>
    <row r="553" spans="1:39" s="17" customFormat="1" x14ac:dyDescent="0.25">
      <c r="A553" s="21">
        <v>44597.65625</v>
      </c>
      <c r="B553" s="17">
        <v>5.77</v>
      </c>
      <c r="C553" s="17">
        <v>1.78</v>
      </c>
      <c r="D553" s="17">
        <v>3.98</v>
      </c>
      <c r="E553" s="17">
        <v>0</v>
      </c>
      <c r="F553" s="17">
        <v>0</v>
      </c>
      <c r="G553" s="17">
        <v>0</v>
      </c>
      <c r="H553" s="17">
        <v>1.7</v>
      </c>
      <c r="I553" s="17">
        <v>0</v>
      </c>
      <c r="J553" s="17">
        <v>1.72</v>
      </c>
      <c r="K553" s="17">
        <v>0</v>
      </c>
      <c r="L553" s="17">
        <v>0</v>
      </c>
      <c r="M553" s="17">
        <v>0</v>
      </c>
      <c r="N553" s="17">
        <v>0</v>
      </c>
      <c r="O553" s="17">
        <v>0</v>
      </c>
      <c r="P553" s="17">
        <v>0</v>
      </c>
      <c r="Q553" s="17">
        <v>0</v>
      </c>
      <c r="R553" s="17">
        <v>0.54079999999999995</v>
      </c>
      <c r="S553" s="17">
        <v>0</v>
      </c>
      <c r="T553" s="17">
        <v>0</v>
      </c>
      <c r="U553" s="17">
        <v>2.0299999999999998</v>
      </c>
      <c r="V553" s="17">
        <v>0</v>
      </c>
      <c r="W553" s="17">
        <v>1.07</v>
      </c>
      <c r="X553" s="17">
        <v>0</v>
      </c>
      <c r="Y553" s="17">
        <v>0</v>
      </c>
      <c r="Z553" s="17">
        <v>0</v>
      </c>
      <c r="AA553" s="17">
        <v>0</v>
      </c>
      <c r="AB553" s="17">
        <v>0</v>
      </c>
      <c r="AC553" s="17">
        <v>0</v>
      </c>
      <c r="AD553" s="17">
        <v>0</v>
      </c>
      <c r="AE553" s="17">
        <v>0</v>
      </c>
      <c r="AF553" s="17">
        <v>0</v>
      </c>
      <c r="AG553" s="17">
        <v>0</v>
      </c>
      <c r="AH553" s="17">
        <v>0</v>
      </c>
      <c r="AI553" s="17">
        <f t="shared" si="35"/>
        <v>6</v>
      </c>
      <c r="AJ553" s="17">
        <f t="shared" si="36"/>
        <v>5</v>
      </c>
      <c r="AK553" s="17">
        <f t="shared" si="37"/>
        <v>15</v>
      </c>
      <c r="AL553" s="17">
        <f t="shared" si="38"/>
        <v>0</v>
      </c>
      <c r="AM553" s="17">
        <f>VLOOKUP(AK553,Sheet1!$A$2:$B$25,2,FALSE)</f>
        <v>1</v>
      </c>
    </row>
    <row r="554" spans="1:39" s="17" customFormat="1" x14ac:dyDescent="0.25">
      <c r="A554" s="21">
        <v>44597.666666666664</v>
      </c>
      <c r="B554" s="17">
        <v>5.74</v>
      </c>
      <c r="C554" s="17">
        <v>1.58</v>
      </c>
      <c r="D554" s="17">
        <v>4.16</v>
      </c>
      <c r="E554" s="17">
        <v>0</v>
      </c>
      <c r="F554" s="17">
        <v>0</v>
      </c>
      <c r="G554" s="17">
        <v>0</v>
      </c>
      <c r="H554" s="17">
        <v>1.69</v>
      </c>
      <c r="I554" s="17">
        <v>0</v>
      </c>
      <c r="J554" s="17">
        <v>1.69</v>
      </c>
      <c r="K554" s="17">
        <v>0</v>
      </c>
      <c r="L554" s="17">
        <v>0</v>
      </c>
      <c r="M554" s="17">
        <v>0</v>
      </c>
      <c r="N554" s="17">
        <v>0</v>
      </c>
      <c r="O554" s="17">
        <v>0</v>
      </c>
      <c r="P554" s="17">
        <v>0</v>
      </c>
      <c r="Q554" s="17">
        <v>0</v>
      </c>
      <c r="R554" s="17">
        <v>0.28179999999999999</v>
      </c>
      <c r="S554" s="17">
        <v>0</v>
      </c>
      <c r="T554" s="17">
        <v>0</v>
      </c>
      <c r="U554" s="17">
        <v>2.0299999999999998</v>
      </c>
      <c r="V554" s="17">
        <v>0</v>
      </c>
      <c r="W554" s="17">
        <v>1.0900000000000001</v>
      </c>
      <c r="X554" s="17">
        <v>0</v>
      </c>
      <c r="Y554" s="17">
        <v>0</v>
      </c>
      <c r="Z554" s="17">
        <v>0</v>
      </c>
      <c r="AA554" s="17">
        <v>0</v>
      </c>
      <c r="AB554" s="17">
        <v>0</v>
      </c>
      <c r="AC554" s="17">
        <v>0</v>
      </c>
      <c r="AD554" s="17">
        <v>0</v>
      </c>
      <c r="AE554" s="17">
        <v>0</v>
      </c>
      <c r="AF554" s="17">
        <v>0</v>
      </c>
      <c r="AG554" s="17">
        <v>0</v>
      </c>
      <c r="AH554" s="17">
        <v>0</v>
      </c>
      <c r="AI554" s="17">
        <f t="shared" si="35"/>
        <v>6</v>
      </c>
      <c r="AJ554" s="17">
        <f t="shared" si="36"/>
        <v>5</v>
      </c>
      <c r="AK554" s="17">
        <f t="shared" si="37"/>
        <v>16</v>
      </c>
      <c r="AL554" s="17">
        <f t="shared" si="38"/>
        <v>0</v>
      </c>
      <c r="AM554" s="17">
        <f>VLOOKUP(AK554,Sheet1!$A$2:$B$25,2,FALSE)</f>
        <v>0</v>
      </c>
    </row>
    <row r="555" spans="1:39" s="17" customFormat="1" x14ac:dyDescent="0.25">
      <c r="A555" s="21">
        <v>44597.677083333336</v>
      </c>
      <c r="B555" s="17">
        <v>6.58</v>
      </c>
      <c r="C555" s="17">
        <v>2.4900000000000002</v>
      </c>
      <c r="D555" s="17">
        <v>4.09</v>
      </c>
      <c r="E555" s="17">
        <v>0</v>
      </c>
      <c r="F555" s="17">
        <v>0</v>
      </c>
      <c r="G555" s="17">
        <v>0</v>
      </c>
      <c r="H555" s="17">
        <v>1.75</v>
      </c>
      <c r="I555" s="17">
        <v>0</v>
      </c>
      <c r="J555" s="17">
        <v>1.81</v>
      </c>
      <c r="K555" s="17">
        <v>0</v>
      </c>
      <c r="L555" s="17">
        <v>0</v>
      </c>
      <c r="M555" s="17">
        <v>0</v>
      </c>
      <c r="N555" s="17">
        <v>0</v>
      </c>
      <c r="O555" s="17">
        <v>0</v>
      </c>
      <c r="P555" s="17">
        <v>0</v>
      </c>
      <c r="Q555" s="17">
        <v>0</v>
      </c>
      <c r="R555" s="17">
        <v>0.49809999999999999</v>
      </c>
      <c r="S555" s="17">
        <v>0</v>
      </c>
      <c r="T555" s="17">
        <v>0</v>
      </c>
      <c r="U555" s="17">
        <v>2.0099999999999998</v>
      </c>
      <c r="V555" s="17">
        <v>0</v>
      </c>
      <c r="W555" s="17">
        <v>1.06</v>
      </c>
      <c r="X555" s="17">
        <v>0</v>
      </c>
      <c r="Y555" s="17">
        <v>0</v>
      </c>
      <c r="Z555" s="17">
        <v>0</v>
      </c>
      <c r="AA555" s="17">
        <v>0</v>
      </c>
      <c r="AB555" s="17">
        <v>0</v>
      </c>
      <c r="AC555" s="17">
        <v>0</v>
      </c>
      <c r="AD555" s="17">
        <v>0</v>
      </c>
      <c r="AE555" s="17">
        <v>0</v>
      </c>
      <c r="AF555" s="17">
        <v>0</v>
      </c>
      <c r="AG555" s="17">
        <v>0</v>
      </c>
      <c r="AH555" s="17">
        <v>0</v>
      </c>
      <c r="AI555" s="17">
        <f t="shared" si="35"/>
        <v>6</v>
      </c>
      <c r="AJ555" s="17">
        <f t="shared" si="36"/>
        <v>5</v>
      </c>
      <c r="AK555" s="17">
        <f t="shared" si="37"/>
        <v>16</v>
      </c>
      <c r="AL555" s="17">
        <f t="shared" si="38"/>
        <v>0</v>
      </c>
      <c r="AM555" s="17">
        <f>VLOOKUP(AK555,Sheet1!$A$2:$B$25,2,FALSE)</f>
        <v>0</v>
      </c>
    </row>
    <row r="556" spans="1:39" s="17" customFormat="1" x14ac:dyDescent="0.25">
      <c r="A556" s="21">
        <v>44597.6875</v>
      </c>
      <c r="B556" s="17">
        <v>5.57</v>
      </c>
      <c r="C556" s="17">
        <v>1.7</v>
      </c>
      <c r="D556" s="17">
        <v>3.86</v>
      </c>
      <c r="E556" s="17">
        <v>0</v>
      </c>
      <c r="F556" s="17">
        <v>0</v>
      </c>
      <c r="G556" s="17">
        <v>0</v>
      </c>
      <c r="H556" s="17">
        <v>1.84</v>
      </c>
      <c r="I556" s="17">
        <v>0</v>
      </c>
      <c r="J556" s="17">
        <v>1.94</v>
      </c>
      <c r="K556" s="17">
        <v>0</v>
      </c>
      <c r="L556" s="17">
        <v>0</v>
      </c>
      <c r="M556" s="17">
        <v>0</v>
      </c>
      <c r="N556" s="17">
        <v>0</v>
      </c>
      <c r="O556" s="17">
        <v>0</v>
      </c>
      <c r="P556" s="17">
        <v>0</v>
      </c>
      <c r="Q556" s="17">
        <v>0</v>
      </c>
      <c r="R556" s="17">
        <v>0.59919999999999995</v>
      </c>
      <c r="S556" s="17">
        <v>0</v>
      </c>
      <c r="T556" s="17">
        <v>0</v>
      </c>
      <c r="U556" s="17">
        <v>2.06</v>
      </c>
      <c r="V556" s="17">
        <v>0</v>
      </c>
      <c r="W556" s="17">
        <v>1.1100000000000001</v>
      </c>
      <c r="X556" s="17">
        <v>0</v>
      </c>
      <c r="Y556" s="17">
        <v>0</v>
      </c>
      <c r="Z556" s="17">
        <v>0</v>
      </c>
      <c r="AA556" s="17">
        <v>0</v>
      </c>
      <c r="AB556" s="17">
        <v>0</v>
      </c>
      <c r="AC556" s="17">
        <v>0</v>
      </c>
      <c r="AD556" s="17">
        <v>0</v>
      </c>
      <c r="AE556" s="17">
        <v>0</v>
      </c>
      <c r="AF556" s="17">
        <v>0</v>
      </c>
      <c r="AG556" s="17">
        <v>0</v>
      </c>
      <c r="AH556" s="17">
        <v>0</v>
      </c>
      <c r="AI556" s="17">
        <f t="shared" si="35"/>
        <v>6</v>
      </c>
      <c r="AJ556" s="17">
        <f t="shared" si="36"/>
        <v>5</v>
      </c>
      <c r="AK556" s="17">
        <f t="shared" si="37"/>
        <v>16</v>
      </c>
      <c r="AL556" s="17">
        <f t="shared" si="38"/>
        <v>0</v>
      </c>
      <c r="AM556" s="17">
        <f>VLOOKUP(AK556,Sheet1!$A$2:$B$25,2,FALSE)</f>
        <v>0</v>
      </c>
    </row>
    <row r="557" spans="1:39" s="17" customFormat="1" x14ac:dyDescent="0.25">
      <c r="A557" s="21">
        <v>44597.697916666664</v>
      </c>
      <c r="B557" s="17">
        <v>4.3899999999999997</v>
      </c>
      <c r="C557" s="17">
        <v>0.48870000000000002</v>
      </c>
      <c r="D557" s="17">
        <v>3.91</v>
      </c>
      <c r="E557" s="17">
        <v>0</v>
      </c>
      <c r="F557" s="17">
        <v>0</v>
      </c>
      <c r="G557" s="17">
        <v>0</v>
      </c>
      <c r="H557" s="17">
        <v>1.7</v>
      </c>
      <c r="I557" s="17">
        <v>0</v>
      </c>
      <c r="J557" s="17">
        <v>0.97889999999999999</v>
      </c>
      <c r="K557" s="17">
        <v>0</v>
      </c>
      <c r="L557" s="17">
        <v>0</v>
      </c>
      <c r="M557" s="17">
        <v>0</v>
      </c>
      <c r="N557" s="17">
        <v>0</v>
      </c>
      <c r="O557" s="17">
        <v>0</v>
      </c>
      <c r="P557" s="17">
        <v>0</v>
      </c>
      <c r="Q557" s="17">
        <v>0</v>
      </c>
      <c r="R557" s="17">
        <v>0.62680000000000002</v>
      </c>
      <c r="S557" s="17">
        <v>0</v>
      </c>
      <c r="T557" s="17">
        <v>0</v>
      </c>
      <c r="U557" s="17">
        <v>2.0299999999999998</v>
      </c>
      <c r="V557" s="17">
        <v>0</v>
      </c>
      <c r="W557" s="17">
        <v>1.0900000000000001</v>
      </c>
      <c r="X557" s="17">
        <v>0</v>
      </c>
      <c r="Y557" s="17">
        <v>0</v>
      </c>
      <c r="Z557" s="17">
        <v>0</v>
      </c>
      <c r="AA557" s="17">
        <v>0</v>
      </c>
      <c r="AB557" s="17">
        <v>0</v>
      </c>
      <c r="AC557" s="17">
        <v>0</v>
      </c>
      <c r="AD557" s="17">
        <v>0</v>
      </c>
      <c r="AE557" s="17">
        <v>0</v>
      </c>
      <c r="AF557" s="17">
        <v>0</v>
      </c>
      <c r="AG557" s="17">
        <v>0</v>
      </c>
      <c r="AH557" s="17">
        <v>0</v>
      </c>
      <c r="AI557" s="17">
        <f t="shared" si="35"/>
        <v>6</v>
      </c>
      <c r="AJ557" s="17">
        <f t="shared" si="36"/>
        <v>5</v>
      </c>
      <c r="AK557" s="17">
        <f t="shared" si="37"/>
        <v>16</v>
      </c>
      <c r="AL557" s="17">
        <f t="shared" si="38"/>
        <v>0</v>
      </c>
      <c r="AM557" s="17">
        <f>VLOOKUP(AK557,Sheet1!$A$2:$B$25,2,FALSE)</f>
        <v>0</v>
      </c>
    </row>
    <row r="558" spans="1:39" s="17" customFormat="1" x14ac:dyDescent="0.25">
      <c r="A558" s="21">
        <v>44597.708333333336</v>
      </c>
      <c r="B558" s="17">
        <v>5.45</v>
      </c>
      <c r="C558" s="17">
        <v>1.46</v>
      </c>
      <c r="D558" s="17">
        <v>3.99</v>
      </c>
      <c r="E558" s="17">
        <v>0</v>
      </c>
      <c r="F558" s="17">
        <v>0</v>
      </c>
      <c r="G558" s="17">
        <v>0</v>
      </c>
      <c r="H558" s="17">
        <v>1.86</v>
      </c>
      <c r="I558" s="17">
        <v>0</v>
      </c>
      <c r="J558" s="17">
        <v>2.04</v>
      </c>
      <c r="K558" s="17">
        <v>0</v>
      </c>
      <c r="L558" s="17">
        <v>0</v>
      </c>
      <c r="M558" s="17">
        <v>0</v>
      </c>
      <c r="N558" s="17">
        <v>0</v>
      </c>
      <c r="O558" s="17">
        <v>0</v>
      </c>
      <c r="P558" s="17">
        <v>0</v>
      </c>
      <c r="Q558" s="17">
        <v>0</v>
      </c>
      <c r="R558" s="17">
        <v>0.49419999999999997</v>
      </c>
      <c r="S558" s="17">
        <v>0</v>
      </c>
      <c r="T558" s="17">
        <v>0</v>
      </c>
      <c r="U558" s="17">
        <v>2.04</v>
      </c>
      <c r="V558" s="17">
        <v>0</v>
      </c>
      <c r="W558" s="17">
        <v>1.1000000000000001</v>
      </c>
      <c r="X558" s="17">
        <v>0</v>
      </c>
      <c r="Y558" s="17">
        <v>0</v>
      </c>
      <c r="Z558" s="17">
        <v>0</v>
      </c>
      <c r="AA558" s="17">
        <v>0</v>
      </c>
      <c r="AB558" s="17">
        <v>0</v>
      </c>
      <c r="AC558" s="17">
        <v>0</v>
      </c>
      <c r="AD558" s="17">
        <v>0</v>
      </c>
      <c r="AE558" s="17">
        <v>0</v>
      </c>
      <c r="AF558" s="17">
        <v>0</v>
      </c>
      <c r="AG558" s="17">
        <v>0</v>
      </c>
      <c r="AH558" s="17">
        <v>0</v>
      </c>
      <c r="AI558" s="17">
        <f t="shared" si="35"/>
        <v>6</v>
      </c>
      <c r="AJ558" s="17">
        <f t="shared" si="36"/>
        <v>5</v>
      </c>
      <c r="AK558" s="17">
        <f t="shared" si="37"/>
        <v>17</v>
      </c>
      <c r="AL558" s="17">
        <f t="shared" si="38"/>
        <v>0</v>
      </c>
      <c r="AM558" s="17">
        <f>VLOOKUP(AK558,Sheet1!$A$2:$B$25,2,FALSE)</f>
        <v>0</v>
      </c>
    </row>
    <row r="559" spans="1:39" s="17" customFormat="1" x14ac:dyDescent="0.25">
      <c r="A559" s="21">
        <v>44597.71875</v>
      </c>
      <c r="B559" s="17">
        <v>7.02</v>
      </c>
      <c r="C559" s="17">
        <v>2.76</v>
      </c>
      <c r="D559" s="17">
        <v>4.26</v>
      </c>
      <c r="E559" s="17">
        <v>0</v>
      </c>
      <c r="F559" s="17">
        <v>0</v>
      </c>
      <c r="G559" s="17">
        <v>0</v>
      </c>
      <c r="H559" s="17">
        <v>2.0699999999999998</v>
      </c>
      <c r="I559" s="17">
        <v>0</v>
      </c>
      <c r="J559" s="17">
        <v>2.2400000000000002</v>
      </c>
      <c r="K559" s="17">
        <v>0</v>
      </c>
      <c r="L559" s="17">
        <v>0</v>
      </c>
      <c r="M559" s="17">
        <v>0</v>
      </c>
      <c r="N559" s="17">
        <v>0</v>
      </c>
      <c r="O559" s="17">
        <v>0</v>
      </c>
      <c r="P559" s="17">
        <v>0</v>
      </c>
      <c r="Q559" s="17">
        <v>0</v>
      </c>
      <c r="R559" s="17">
        <v>0.44840000000000002</v>
      </c>
      <c r="S559" s="17">
        <v>0</v>
      </c>
      <c r="T559" s="17">
        <v>0</v>
      </c>
      <c r="U559" s="17">
        <v>2.02</v>
      </c>
      <c r="V559" s="17">
        <v>0</v>
      </c>
      <c r="W559" s="17">
        <v>1.08</v>
      </c>
      <c r="X559" s="17">
        <v>0</v>
      </c>
      <c r="Y559" s="17">
        <v>0</v>
      </c>
      <c r="Z559" s="17">
        <v>0</v>
      </c>
      <c r="AA559" s="17">
        <v>0</v>
      </c>
      <c r="AB559" s="17">
        <v>0</v>
      </c>
      <c r="AC559" s="17">
        <v>0</v>
      </c>
      <c r="AD559" s="17">
        <v>0</v>
      </c>
      <c r="AE559" s="17">
        <v>0</v>
      </c>
      <c r="AF559" s="17">
        <v>0</v>
      </c>
      <c r="AG559" s="17">
        <v>0</v>
      </c>
      <c r="AH559" s="17">
        <v>0</v>
      </c>
      <c r="AI559" s="17">
        <f t="shared" si="35"/>
        <v>6</v>
      </c>
      <c r="AJ559" s="17">
        <f t="shared" si="36"/>
        <v>5</v>
      </c>
      <c r="AK559" s="17">
        <f t="shared" si="37"/>
        <v>17</v>
      </c>
      <c r="AL559" s="17">
        <f t="shared" si="38"/>
        <v>0</v>
      </c>
      <c r="AM559" s="17">
        <f>VLOOKUP(AK559,Sheet1!$A$2:$B$25,2,FALSE)</f>
        <v>0</v>
      </c>
    </row>
    <row r="560" spans="1:39" s="17" customFormat="1" x14ac:dyDescent="0.25">
      <c r="A560" s="21">
        <v>44597.729166666664</v>
      </c>
      <c r="B560" s="17">
        <v>5.14</v>
      </c>
      <c r="C560" s="17">
        <v>1.22</v>
      </c>
      <c r="D560" s="17">
        <v>3.93</v>
      </c>
      <c r="E560" s="17">
        <v>0</v>
      </c>
      <c r="F560" s="17">
        <v>0</v>
      </c>
      <c r="G560" s="17">
        <v>0</v>
      </c>
      <c r="H560" s="17">
        <v>2.08</v>
      </c>
      <c r="I560" s="17">
        <v>0</v>
      </c>
      <c r="J560" s="17">
        <v>2.2999999999999998</v>
      </c>
      <c r="K560" s="17">
        <v>0</v>
      </c>
      <c r="L560" s="17">
        <v>0</v>
      </c>
      <c r="M560" s="17">
        <v>0</v>
      </c>
      <c r="N560" s="17">
        <v>0</v>
      </c>
      <c r="O560" s="17">
        <v>0</v>
      </c>
      <c r="P560" s="17">
        <v>0</v>
      </c>
      <c r="Q560" s="17">
        <v>0</v>
      </c>
      <c r="R560" s="17">
        <v>0.50839999999999996</v>
      </c>
      <c r="S560" s="17">
        <v>0</v>
      </c>
      <c r="T560" s="17">
        <v>0</v>
      </c>
      <c r="U560" s="17">
        <v>2</v>
      </c>
      <c r="V560" s="17">
        <v>0</v>
      </c>
      <c r="W560" s="17">
        <v>1.06</v>
      </c>
      <c r="X560" s="17">
        <v>0</v>
      </c>
      <c r="Y560" s="17">
        <v>0</v>
      </c>
      <c r="Z560" s="17">
        <v>0</v>
      </c>
      <c r="AA560" s="17">
        <v>0</v>
      </c>
      <c r="AB560" s="17">
        <v>0</v>
      </c>
      <c r="AC560" s="17">
        <v>0</v>
      </c>
      <c r="AD560" s="17">
        <v>0</v>
      </c>
      <c r="AE560" s="17">
        <v>0</v>
      </c>
      <c r="AF560" s="17">
        <v>0</v>
      </c>
      <c r="AG560" s="17">
        <v>0</v>
      </c>
      <c r="AH560" s="17">
        <v>0</v>
      </c>
      <c r="AI560" s="17">
        <f t="shared" si="35"/>
        <v>6</v>
      </c>
      <c r="AJ560" s="17">
        <f t="shared" si="36"/>
        <v>5</v>
      </c>
      <c r="AK560" s="17">
        <f t="shared" si="37"/>
        <v>17</v>
      </c>
      <c r="AL560" s="17">
        <f t="shared" si="38"/>
        <v>0</v>
      </c>
      <c r="AM560" s="17">
        <f>VLOOKUP(AK560,Sheet1!$A$2:$B$25,2,FALSE)</f>
        <v>0</v>
      </c>
    </row>
    <row r="561" spans="1:39" s="17" customFormat="1" x14ac:dyDescent="0.25">
      <c r="A561" s="21">
        <v>44597.739583333336</v>
      </c>
      <c r="B561" s="17">
        <v>5.63</v>
      </c>
      <c r="C561" s="17">
        <v>1.58</v>
      </c>
      <c r="D561" s="17">
        <v>4.04</v>
      </c>
      <c r="E561" s="17">
        <v>0</v>
      </c>
      <c r="F561" s="17">
        <v>0</v>
      </c>
      <c r="G561" s="17">
        <v>0</v>
      </c>
      <c r="H561" s="17">
        <v>2.33</v>
      </c>
      <c r="I561" s="17">
        <v>0</v>
      </c>
      <c r="J561" s="17">
        <v>2.42</v>
      </c>
      <c r="K561" s="17">
        <v>0</v>
      </c>
      <c r="L561" s="17">
        <v>0</v>
      </c>
      <c r="M561" s="17">
        <v>0</v>
      </c>
      <c r="N561" s="17">
        <v>0</v>
      </c>
      <c r="O561" s="17">
        <v>0</v>
      </c>
      <c r="P561" s="17">
        <v>0</v>
      </c>
      <c r="Q561" s="17">
        <v>0</v>
      </c>
      <c r="R561" s="17">
        <v>0.73970000000000002</v>
      </c>
      <c r="S561" s="17">
        <v>0</v>
      </c>
      <c r="T561" s="17">
        <v>0</v>
      </c>
      <c r="U561" s="17">
        <v>2</v>
      </c>
      <c r="V561" s="17">
        <v>0</v>
      </c>
      <c r="W561" s="17">
        <v>1.07</v>
      </c>
      <c r="X561" s="17">
        <v>0</v>
      </c>
      <c r="Y561" s="17">
        <v>0</v>
      </c>
      <c r="Z561" s="17">
        <v>0</v>
      </c>
      <c r="AA561" s="17">
        <v>0</v>
      </c>
      <c r="AB561" s="17">
        <v>0</v>
      </c>
      <c r="AC561" s="17">
        <v>0</v>
      </c>
      <c r="AD561" s="17">
        <v>0</v>
      </c>
      <c r="AE561" s="17">
        <v>0</v>
      </c>
      <c r="AF561" s="17">
        <v>0</v>
      </c>
      <c r="AG561" s="17">
        <v>0</v>
      </c>
      <c r="AH561" s="17">
        <v>0</v>
      </c>
      <c r="AI561" s="17">
        <f t="shared" si="35"/>
        <v>6</v>
      </c>
      <c r="AJ561" s="17">
        <f t="shared" si="36"/>
        <v>5</v>
      </c>
      <c r="AK561" s="17">
        <f t="shared" si="37"/>
        <v>17</v>
      </c>
      <c r="AL561" s="17">
        <f t="shared" si="38"/>
        <v>0</v>
      </c>
      <c r="AM561" s="17">
        <f>VLOOKUP(AK561,Sheet1!$A$2:$B$25,2,FALSE)</f>
        <v>0</v>
      </c>
    </row>
    <row r="562" spans="1:39" s="17" customFormat="1" x14ac:dyDescent="0.25">
      <c r="A562" s="21">
        <v>44597.75</v>
      </c>
      <c r="B562" s="17">
        <v>4.8</v>
      </c>
      <c r="C562" s="17">
        <v>0.77449999999999997</v>
      </c>
      <c r="D562" s="17">
        <v>4.03</v>
      </c>
      <c r="E562" s="17">
        <v>0</v>
      </c>
      <c r="F562" s="17">
        <v>0</v>
      </c>
      <c r="G562" s="17">
        <v>0</v>
      </c>
      <c r="H562" s="17">
        <v>1.98</v>
      </c>
      <c r="I562" s="17">
        <v>0</v>
      </c>
      <c r="J562" s="17">
        <v>2.2599999999999998</v>
      </c>
      <c r="K562" s="17">
        <v>0</v>
      </c>
      <c r="L562" s="17">
        <v>0</v>
      </c>
      <c r="M562" s="17">
        <v>0</v>
      </c>
      <c r="N562" s="17">
        <v>0</v>
      </c>
      <c r="O562" s="17">
        <v>0</v>
      </c>
      <c r="P562" s="17">
        <v>0</v>
      </c>
      <c r="Q562" s="17">
        <v>0</v>
      </c>
      <c r="R562" s="17">
        <v>0.3553</v>
      </c>
      <c r="S562" s="17">
        <v>0</v>
      </c>
      <c r="T562" s="17">
        <v>0</v>
      </c>
      <c r="U562" s="17">
        <v>2</v>
      </c>
      <c r="V562" s="17">
        <v>0</v>
      </c>
      <c r="W562" s="17">
        <v>1.07</v>
      </c>
      <c r="X562" s="17">
        <v>0</v>
      </c>
      <c r="Y562" s="17">
        <v>0</v>
      </c>
      <c r="Z562" s="17">
        <v>0</v>
      </c>
      <c r="AA562" s="17">
        <v>0</v>
      </c>
      <c r="AB562" s="17">
        <v>0</v>
      </c>
      <c r="AC562" s="17">
        <v>0</v>
      </c>
      <c r="AD562" s="17">
        <v>0</v>
      </c>
      <c r="AE562" s="17">
        <v>0</v>
      </c>
      <c r="AF562" s="17">
        <v>0</v>
      </c>
      <c r="AG562" s="17">
        <v>0</v>
      </c>
      <c r="AH562" s="17">
        <v>0</v>
      </c>
      <c r="AI562" s="17">
        <f t="shared" si="35"/>
        <v>6</v>
      </c>
      <c r="AJ562" s="17">
        <f t="shared" si="36"/>
        <v>5</v>
      </c>
      <c r="AK562" s="17">
        <f t="shared" si="37"/>
        <v>18</v>
      </c>
      <c r="AL562" s="17">
        <f t="shared" si="38"/>
        <v>0</v>
      </c>
      <c r="AM562" s="17">
        <f>VLOOKUP(AK562,Sheet1!$A$2:$B$25,2,FALSE)</f>
        <v>0</v>
      </c>
    </row>
    <row r="563" spans="1:39" s="17" customFormat="1" x14ac:dyDescent="0.25">
      <c r="A563" s="21">
        <v>44597.760416666664</v>
      </c>
      <c r="B563" s="17">
        <v>6.67</v>
      </c>
      <c r="C563" s="17">
        <v>2.61</v>
      </c>
      <c r="D563" s="17">
        <v>4.0599999999999996</v>
      </c>
      <c r="E563" s="17">
        <v>0</v>
      </c>
      <c r="F563" s="17">
        <v>0</v>
      </c>
      <c r="G563" s="17">
        <v>0</v>
      </c>
      <c r="H563" s="17">
        <v>2.27</v>
      </c>
      <c r="I563" s="17">
        <v>0</v>
      </c>
      <c r="J563" s="17">
        <v>2.37</v>
      </c>
      <c r="K563" s="17">
        <v>0</v>
      </c>
      <c r="L563" s="17">
        <v>0</v>
      </c>
      <c r="M563" s="17">
        <v>0</v>
      </c>
      <c r="N563" s="17">
        <v>0</v>
      </c>
      <c r="O563" s="17">
        <v>0</v>
      </c>
      <c r="P563" s="17">
        <v>0</v>
      </c>
      <c r="Q563" s="17">
        <v>0</v>
      </c>
      <c r="R563" s="17">
        <v>0.44679999999999997</v>
      </c>
      <c r="S563" s="17">
        <v>0</v>
      </c>
      <c r="T563" s="17">
        <v>0</v>
      </c>
      <c r="U563" s="17">
        <v>2</v>
      </c>
      <c r="V563" s="17">
        <v>0</v>
      </c>
      <c r="W563" s="17">
        <v>1.07</v>
      </c>
      <c r="X563" s="17">
        <v>0</v>
      </c>
      <c r="Y563" s="17">
        <v>0</v>
      </c>
      <c r="Z563" s="17">
        <v>0</v>
      </c>
      <c r="AA563" s="17">
        <v>0</v>
      </c>
      <c r="AB563" s="17">
        <v>0</v>
      </c>
      <c r="AC563" s="17">
        <v>0</v>
      </c>
      <c r="AD563" s="17">
        <v>0</v>
      </c>
      <c r="AE563" s="17">
        <v>0</v>
      </c>
      <c r="AF563" s="17">
        <v>0</v>
      </c>
      <c r="AG563" s="17">
        <v>0</v>
      </c>
      <c r="AH563" s="17">
        <v>0</v>
      </c>
      <c r="AI563" s="17">
        <f t="shared" si="35"/>
        <v>6</v>
      </c>
      <c r="AJ563" s="17">
        <f t="shared" si="36"/>
        <v>5</v>
      </c>
      <c r="AK563" s="17">
        <f t="shared" si="37"/>
        <v>18</v>
      </c>
      <c r="AL563" s="17">
        <f t="shared" si="38"/>
        <v>0</v>
      </c>
      <c r="AM563" s="17">
        <f>VLOOKUP(AK563,Sheet1!$A$2:$B$25,2,FALSE)</f>
        <v>0</v>
      </c>
    </row>
    <row r="564" spans="1:39" s="17" customFormat="1" x14ac:dyDescent="0.25">
      <c r="A564" s="21">
        <v>44597.770833333336</v>
      </c>
      <c r="B564" s="17">
        <v>6.66</v>
      </c>
      <c r="C564" s="17">
        <v>2.59</v>
      </c>
      <c r="D564" s="17">
        <v>4.0599999999999996</v>
      </c>
      <c r="E564" s="17">
        <v>0</v>
      </c>
      <c r="F564" s="17">
        <v>0</v>
      </c>
      <c r="G564" s="17">
        <v>0</v>
      </c>
      <c r="H564" s="17">
        <v>2.14</v>
      </c>
      <c r="I564" s="17">
        <v>0</v>
      </c>
      <c r="J564" s="17">
        <v>2.42</v>
      </c>
      <c r="K564" s="17">
        <v>0</v>
      </c>
      <c r="L564" s="17">
        <v>0</v>
      </c>
      <c r="M564" s="17">
        <v>0</v>
      </c>
      <c r="N564" s="17">
        <v>0</v>
      </c>
      <c r="O564" s="17">
        <v>0</v>
      </c>
      <c r="P564" s="17">
        <v>0</v>
      </c>
      <c r="Q564" s="17">
        <v>0</v>
      </c>
      <c r="R564" s="17">
        <v>0.50209999999999999</v>
      </c>
      <c r="S564" s="17">
        <v>0</v>
      </c>
      <c r="T564" s="17">
        <v>0</v>
      </c>
      <c r="U564" s="17">
        <v>2.02</v>
      </c>
      <c r="V564" s="17">
        <v>0</v>
      </c>
      <c r="W564" s="17">
        <v>1.08</v>
      </c>
      <c r="X564" s="17">
        <v>0</v>
      </c>
      <c r="Y564" s="17">
        <v>0</v>
      </c>
      <c r="Z564" s="17">
        <v>0</v>
      </c>
      <c r="AA564" s="17">
        <v>0</v>
      </c>
      <c r="AB564" s="17">
        <v>0</v>
      </c>
      <c r="AC564" s="17">
        <v>0</v>
      </c>
      <c r="AD564" s="17">
        <v>0</v>
      </c>
      <c r="AE564" s="17">
        <v>0</v>
      </c>
      <c r="AF564" s="17">
        <v>0</v>
      </c>
      <c r="AG564" s="17">
        <v>0</v>
      </c>
      <c r="AH564" s="17">
        <v>0</v>
      </c>
      <c r="AI564" s="17">
        <f t="shared" si="35"/>
        <v>6</v>
      </c>
      <c r="AJ564" s="17">
        <f t="shared" si="36"/>
        <v>5</v>
      </c>
      <c r="AK564" s="17">
        <f t="shared" si="37"/>
        <v>18</v>
      </c>
      <c r="AL564" s="17">
        <f t="shared" si="38"/>
        <v>0</v>
      </c>
      <c r="AM564" s="17">
        <f>VLOOKUP(AK564,Sheet1!$A$2:$B$25,2,FALSE)</f>
        <v>0</v>
      </c>
    </row>
    <row r="565" spans="1:39" s="17" customFormat="1" x14ac:dyDescent="0.25">
      <c r="A565" s="21">
        <v>44597.78125</v>
      </c>
      <c r="B565" s="17">
        <v>5.42</v>
      </c>
      <c r="C565" s="17">
        <v>1.35</v>
      </c>
      <c r="D565" s="17">
        <v>4.07</v>
      </c>
      <c r="E565" s="17">
        <v>0</v>
      </c>
      <c r="F565" s="17">
        <v>0</v>
      </c>
      <c r="G565" s="17">
        <v>0</v>
      </c>
      <c r="H565" s="17">
        <v>2.2400000000000002</v>
      </c>
      <c r="I565" s="17">
        <v>0</v>
      </c>
      <c r="J565" s="17">
        <v>2.2799999999999998</v>
      </c>
      <c r="K565" s="17">
        <v>0</v>
      </c>
      <c r="L565" s="17">
        <v>0</v>
      </c>
      <c r="M565" s="17">
        <v>0</v>
      </c>
      <c r="N565" s="17">
        <v>0</v>
      </c>
      <c r="O565" s="17">
        <v>0</v>
      </c>
      <c r="P565" s="17">
        <v>0</v>
      </c>
      <c r="Q565" s="17">
        <v>0</v>
      </c>
      <c r="R565" s="17">
        <v>0.59050000000000002</v>
      </c>
      <c r="S565" s="17">
        <v>0</v>
      </c>
      <c r="T565" s="17">
        <v>0</v>
      </c>
      <c r="U565" s="17">
        <v>2.0099999999999998</v>
      </c>
      <c r="V565" s="17">
        <v>0</v>
      </c>
      <c r="W565" s="17">
        <v>1.08</v>
      </c>
      <c r="X565" s="17">
        <v>0</v>
      </c>
      <c r="Y565" s="17">
        <v>0</v>
      </c>
      <c r="Z565" s="17">
        <v>0</v>
      </c>
      <c r="AA565" s="17">
        <v>0</v>
      </c>
      <c r="AB565" s="17">
        <v>0</v>
      </c>
      <c r="AC565" s="17">
        <v>0</v>
      </c>
      <c r="AD565" s="17">
        <v>0</v>
      </c>
      <c r="AE565" s="17">
        <v>0</v>
      </c>
      <c r="AF565" s="17">
        <v>0</v>
      </c>
      <c r="AG565" s="17">
        <v>0</v>
      </c>
      <c r="AH565" s="17">
        <v>0</v>
      </c>
      <c r="AI565" s="17">
        <f t="shared" si="35"/>
        <v>6</v>
      </c>
      <c r="AJ565" s="17">
        <f t="shared" si="36"/>
        <v>5</v>
      </c>
      <c r="AK565" s="17">
        <f t="shared" si="37"/>
        <v>18</v>
      </c>
      <c r="AL565" s="17">
        <f t="shared" si="38"/>
        <v>0</v>
      </c>
      <c r="AM565" s="17">
        <f>VLOOKUP(AK565,Sheet1!$A$2:$B$25,2,FALSE)</f>
        <v>0</v>
      </c>
    </row>
    <row r="566" spans="1:39" s="17" customFormat="1" x14ac:dyDescent="0.25">
      <c r="A566" s="21">
        <v>44597.791666666664</v>
      </c>
      <c r="B566" s="17">
        <v>5.37</v>
      </c>
      <c r="C566" s="17">
        <v>1.25</v>
      </c>
      <c r="D566" s="17">
        <v>4.13</v>
      </c>
      <c r="E566" s="17">
        <v>0</v>
      </c>
      <c r="F566" s="17">
        <v>0</v>
      </c>
      <c r="G566" s="17">
        <v>0</v>
      </c>
      <c r="H566" s="17">
        <v>2.35</v>
      </c>
      <c r="I566" s="17">
        <v>0</v>
      </c>
      <c r="J566" s="17">
        <v>2.5299999999999998</v>
      </c>
      <c r="K566" s="17">
        <v>0</v>
      </c>
      <c r="L566" s="17">
        <v>0</v>
      </c>
      <c r="M566" s="17">
        <v>0</v>
      </c>
      <c r="N566" s="17">
        <v>0</v>
      </c>
      <c r="O566" s="17">
        <v>0</v>
      </c>
      <c r="P566" s="17">
        <v>0</v>
      </c>
      <c r="Q566" s="17">
        <v>0</v>
      </c>
      <c r="R566" s="17">
        <v>0.49809999999999999</v>
      </c>
      <c r="S566" s="17">
        <v>0</v>
      </c>
      <c r="T566" s="17">
        <v>0</v>
      </c>
      <c r="U566" s="17">
        <v>2.02</v>
      </c>
      <c r="V566" s="17">
        <v>0</v>
      </c>
      <c r="W566" s="17">
        <v>1.08</v>
      </c>
      <c r="X566" s="17">
        <v>0</v>
      </c>
      <c r="Y566" s="17">
        <v>0</v>
      </c>
      <c r="Z566" s="17">
        <v>0</v>
      </c>
      <c r="AA566" s="17">
        <v>0</v>
      </c>
      <c r="AB566" s="17">
        <v>0</v>
      </c>
      <c r="AC566" s="17">
        <v>0</v>
      </c>
      <c r="AD566" s="17">
        <v>0</v>
      </c>
      <c r="AE566" s="17">
        <v>0</v>
      </c>
      <c r="AF566" s="17">
        <v>0</v>
      </c>
      <c r="AG566" s="17">
        <v>0</v>
      </c>
      <c r="AH566" s="17">
        <v>0</v>
      </c>
      <c r="AI566" s="17">
        <f t="shared" si="35"/>
        <v>6</v>
      </c>
      <c r="AJ566" s="17">
        <f t="shared" si="36"/>
        <v>5</v>
      </c>
      <c r="AK566" s="17">
        <f t="shared" si="37"/>
        <v>19</v>
      </c>
      <c r="AL566" s="17">
        <f t="shared" si="38"/>
        <v>0</v>
      </c>
      <c r="AM566" s="17">
        <f>VLOOKUP(AK566,Sheet1!$A$2:$B$25,2,FALSE)</f>
        <v>0</v>
      </c>
    </row>
    <row r="567" spans="1:39" s="17" customFormat="1" x14ac:dyDescent="0.25">
      <c r="A567" s="21">
        <v>44597.802083333336</v>
      </c>
      <c r="B567" s="17">
        <v>7.11</v>
      </c>
      <c r="C567" s="17">
        <v>2.77</v>
      </c>
      <c r="D567" s="17">
        <v>4.34</v>
      </c>
      <c r="E567" s="17">
        <v>0</v>
      </c>
      <c r="F567" s="17">
        <v>0</v>
      </c>
      <c r="G567" s="17">
        <v>0</v>
      </c>
      <c r="H567" s="17">
        <v>2.31</v>
      </c>
      <c r="I567" s="17">
        <v>0</v>
      </c>
      <c r="J567" s="17">
        <v>2.41</v>
      </c>
      <c r="K567" s="17">
        <v>0</v>
      </c>
      <c r="L567" s="17">
        <v>0</v>
      </c>
      <c r="M567" s="17">
        <v>0</v>
      </c>
      <c r="N567" s="17">
        <v>0</v>
      </c>
      <c r="O567" s="17">
        <v>0</v>
      </c>
      <c r="P567" s="17">
        <v>0</v>
      </c>
      <c r="Q567" s="17">
        <v>0</v>
      </c>
      <c r="R567" s="17">
        <v>0.48709999999999998</v>
      </c>
      <c r="S567" s="17">
        <v>0</v>
      </c>
      <c r="T567" s="17">
        <v>0</v>
      </c>
      <c r="U567" s="17">
        <v>2.0299999999999998</v>
      </c>
      <c r="V567" s="17">
        <v>0</v>
      </c>
      <c r="W567" s="17">
        <v>1.0900000000000001</v>
      </c>
      <c r="X567" s="17">
        <v>0</v>
      </c>
      <c r="Y567" s="17">
        <v>0</v>
      </c>
      <c r="Z567" s="17">
        <v>0</v>
      </c>
      <c r="AA567" s="17">
        <v>0</v>
      </c>
      <c r="AB567" s="17">
        <v>0</v>
      </c>
      <c r="AC567" s="17">
        <v>0</v>
      </c>
      <c r="AD567" s="17">
        <v>0</v>
      </c>
      <c r="AE567" s="17">
        <v>0</v>
      </c>
      <c r="AF567" s="17">
        <v>0</v>
      </c>
      <c r="AG567" s="17">
        <v>0</v>
      </c>
      <c r="AH567" s="17">
        <v>0</v>
      </c>
      <c r="AI567" s="17">
        <f t="shared" si="35"/>
        <v>6</v>
      </c>
      <c r="AJ567" s="17">
        <f t="shared" si="36"/>
        <v>5</v>
      </c>
      <c r="AK567" s="17">
        <f t="shared" si="37"/>
        <v>19</v>
      </c>
      <c r="AL567" s="17">
        <f t="shared" si="38"/>
        <v>0</v>
      </c>
      <c r="AM567" s="17">
        <f>VLOOKUP(AK567,Sheet1!$A$2:$B$25,2,FALSE)</f>
        <v>0</v>
      </c>
    </row>
    <row r="568" spans="1:39" s="17" customFormat="1" x14ac:dyDescent="0.25">
      <c r="A568" s="21">
        <v>44597.8125</v>
      </c>
      <c r="B568" s="17">
        <v>5.38</v>
      </c>
      <c r="C568" s="17">
        <v>1.23</v>
      </c>
      <c r="D568" s="17">
        <v>4.1500000000000004</v>
      </c>
      <c r="E568" s="17">
        <v>0</v>
      </c>
      <c r="F568" s="17">
        <v>0</v>
      </c>
      <c r="G568" s="17">
        <v>0</v>
      </c>
      <c r="H568" s="17">
        <v>2.38</v>
      </c>
      <c r="I568" s="17">
        <v>0</v>
      </c>
      <c r="J568" s="17">
        <v>2.31</v>
      </c>
      <c r="K568" s="17">
        <v>0</v>
      </c>
      <c r="L568" s="17">
        <v>0</v>
      </c>
      <c r="M568" s="17">
        <v>0</v>
      </c>
      <c r="N568" s="17">
        <v>0</v>
      </c>
      <c r="O568" s="17">
        <v>0</v>
      </c>
      <c r="P568" s="17">
        <v>0</v>
      </c>
      <c r="Q568" s="17">
        <v>0</v>
      </c>
      <c r="R568" s="17">
        <v>0.4224</v>
      </c>
      <c r="S568" s="17">
        <v>0</v>
      </c>
      <c r="T568" s="17">
        <v>0</v>
      </c>
      <c r="U568" s="17">
        <v>2.0499999999999998</v>
      </c>
      <c r="V568" s="17">
        <v>0</v>
      </c>
      <c r="W568" s="17">
        <v>1.1100000000000001</v>
      </c>
      <c r="X568" s="17">
        <v>0</v>
      </c>
      <c r="Y568" s="17">
        <v>0</v>
      </c>
      <c r="Z568" s="17">
        <v>0</v>
      </c>
      <c r="AA568" s="17">
        <v>0</v>
      </c>
      <c r="AB568" s="17">
        <v>0</v>
      </c>
      <c r="AC568" s="17">
        <v>0</v>
      </c>
      <c r="AD568" s="17">
        <v>0</v>
      </c>
      <c r="AE568" s="17">
        <v>0</v>
      </c>
      <c r="AF568" s="17">
        <v>0</v>
      </c>
      <c r="AG568" s="17">
        <v>0</v>
      </c>
      <c r="AH568" s="17">
        <v>0</v>
      </c>
      <c r="AI568" s="17">
        <f t="shared" si="35"/>
        <v>6</v>
      </c>
      <c r="AJ568" s="17">
        <f t="shared" si="36"/>
        <v>5</v>
      </c>
      <c r="AK568" s="17">
        <f t="shared" si="37"/>
        <v>19</v>
      </c>
      <c r="AL568" s="17">
        <f t="shared" si="38"/>
        <v>0</v>
      </c>
      <c r="AM568" s="17">
        <f>VLOOKUP(AK568,Sheet1!$A$2:$B$25,2,FALSE)</f>
        <v>0</v>
      </c>
    </row>
    <row r="569" spans="1:39" s="17" customFormat="1" x14ac:dyDescent="0.25">
      <c r="A569" s="21">
        <v>44597.822916666664</v>
      </c>
      <c r="B569" s="17">
        <v>7.71</v>
      </c>
      <c r="C569" s="17">
        <v>3.43</v>
      </c>
      <c r="D569" s="17">
        <v>4.28</v>
      </c>
      <c r="E569" s="17">
        <v>0</v>
      </c>
      <c r="F569" s="17">
        <v>0</v>
      </c>
      <c r="G569" s="17">
        <v>0</v>
      </c>
      <c r="H569" s="17">
        <v>2.35</v>
      </c>
      <c r="I569" s="17">
        <v>0</v>
      </c>
      <c r="J569" s="17">
        <v>2.2599999999999998</v>
      </c>
      <c r="K569" s="17">
        <v>0</v>
      </c>
      <c r="L569" s="17">
        <v>0</v>
      </c>
      <c r="M569" s="17">
        <v>0</v>
      </c>
      <c r="N569" s="17">
        <v>0</v>
      </c>
      <c r="O569" s="17">
        <v>0</v>
      </c>
      <c r="P569" s="17">
        <v>0</v>
      </c>
      <c r="Q569" s="17">
        <v>0</v>
      </c>
      <c r="R569" s="17">
        <v>0.60160000000000002</v>
      </c>
      <c r="S569" s="17">
        <v>0</v>
      </c>
      <c r="T569" s="17">
        <v>0</v>
      </c>
      <c r="U569" s="17">
        <v>2.06</v>
      </c>
      <c r="V569" s="17">
        <v>0</v>
      </c>
      <c r="W569" s="17">
        <v>1.1200000000000001</v>
      </c>
      <c r="X569" s="17">
        <v>0</v>
      </c>
      <c r="Y569" s="17">
        <v>0</v>
      </c>
      <c r="Z569" s="17">
        <v>0</v>
      </c>
      <c r="AA569" s="17">
        <v>0</v>
      </c>
      <c r="AB569" s="17">
        <v>0</v>
      </c>
      <c r="AC569" s="17">
        <v>0</v>
      </c>
      <c r="AD569" s="17">
        <v>0</v>
      </c>
      <c r="AE569" s="17">
        <v>0</v>
      </c>
      <c r="AF569" s="17">
        <v>0</v>
      </c>
      <c r="AG569" s="17">
        <v>0</v>
      </c>
      <c r="AH569" s="17">
        <v>0</v>
      </c>
      <c r="AI569" s="17">
        <f t="shared" si="35"/>
        <v>6</v>
      </c>
      <c r="AJ569" s="17">
        <f t="shared" si="36"/>
        <v>5</v>
      </c>
      <c r="AK569" s="17">
        <f t="shared" si="37"/>
        <v>19</v>
      </c>
      <c r="AL569" s="17">
        <f t="shared" si="38"/>
        <v>0</v>
      </c>
      <c r="AM569" s="17">
        <f>VLOOKUP(AK569,Sheet1!$A$2:$B$25,2,FALSE)</f>
        <v>0</v>
      </c>
    </row>
    <row r="570" spans="1:39" s="17" customFormat="1" x14ac:dyDescent="0.25">
      <c r="A570" s="21">
        <v>44597.833333333336</v>
      </c>
      <c r="B570" s="17">
        <v>4.6900000000000004</v>
      </c>
      <c r="C570" s="17">
        <v>0.52180000000000004</v>
      </c>
      <c r="D570" s="17">
        <v>4.17</v>
      </c>
      <c r="E570" s="17">
        <v>0</v>
      </c>
      <c r="F570" s="17">
        <v>0</v>
      </c>
      <c r="G570" s="17">
        <v>0</v>
      </c>
      <c r="H570" s="17">
        <v>2.2599999999999998</v>
      </c>
      <c r="I570" s="17">
        <v>0</v>
      </c>
      <c r="J570" s="17">
        <v>2.31</v>
      </c>
      <c r="K570" s="17">
        <v>0</v>
      </c>
      <c r="L570" s="17">
        <v>0</v>
      </c>
      <c r="M570" s="17">
        <v>0</v>
      </c>
      <c r="N570" s="17">
        <v>0</v>
      </c>
      <c r="O570" s="17">
        <v>0</v>
      </c>
      <c r="P570" s="17">
        <v>0</v>
      </c>
      <c r="Q570" s="17">
        <v>0</v>
      </c>
      <c r="R570" s="17">
        <v>0.2432</v>
      </c>
      <c r="S570" s="17">
        <v>0</v>
      </c>
      <c r="T570" s="17">
        <v>0</v>
      </c>
      <c r="U570" s="17">
        <v>2.08</v>
      </c>
      <c r="V570" s="17">
        <v>0</v>
      </c>
      <c r="W570" s="17">
        <v>1.1299999999999999</v>
      </c>
      <c r="X570" s="17">
        <v>0</v>
      </c>
      <c r="Y570" s="17">
        <v>0</v>
      </c>
      <c r="Z570" s="17">
        <v>0</v>
      </c>
      <c r="AA570" s="17">
        <v>0</v>
      </c>
      <c r="AB570" s="17">
        <v>0</v>
      </c>
      <c r="AC570" s="17">
        <v>0</v>
      </c>
      <c r="AD570" s="17">
        <v>0</v>
      </c>
      <c r="AE570" s="17">
        <v>0</v>
      </c>
      <c r="AF570" s="17">
        <v>0</v>
      </c>
      <c r="AG570" s="17">
        <v>0</v>
      </c>
      <c r="AH570" s="17">
        <v>0</v>
      </c>
      <c r="AI570" s="17">
        <f t="shared" si="35"/>
        <v>6</v>
      </c>
      <c r="AJ570" s="17">
        <f t="shared" si="36"/>
        <v>5</v>
      </c>
      <c r="AK570" s="17">
        <f t="shared" si="37"/>
        <v>20</v>
      </c>
      <c r="AL570" s="17">
        <f t="shared" si="38"/>
        <v>0</v>
      </c>
      <c r="AM570" s="17">
        <f>VLOOKUP(AK570,Sheet1!$A$2:$B$25,2,FALSE)</f>
        <v>0</v>
      </c>
    </row>
    <row r="571" spans="1:39" s="17" customFormat="1" x14ac:dyDescent="0.25">
      <c r="A571" s="21">
        <v>44597.84375</v>
      </c>
      <c r="B571" s="17">
        <v>6</v>
      </c>
      <c r="C571" s="17">
        <v>1.75</v>
      </c>
      <c r="D571" s="17">
        <v>4.25</v>
      </c>
      <c r="E571" s="17">
        <v>0</v>
      </c>
      <c r="F571" s="17">
        <v>0</v>
      </c>
      <c r="G571" s="17">
        <v>0</v>
      </c>
      <c r="H571" s="17">
        <v>2.2000000000000002</v>
      </c>
      <c r="I571" s="17">
        <v>0</v>
      </c>
      <c r="J571" s="17">
        <v>2.34</v>
      </c>
      <c r="K571" s="17">
        <v>0</v>
      </c>
      <c r="L571" s="17">
        <v>0</v>
      </c>
      <c r="M571" s="17">
        <v>0</v>
      </c>
      <c r="N571" s="17">
        <v>0</v>
      </c>
      <c r="O571" s="17">
        <v>0</v>
      </c>
      <c r="P571" s="17">
        <v>0</v>
      </c>
      <c r="Q571" s="17">
        <v>0</v>
      </c>
      <c r="R571" s="17">
        <v>0.47289999999999999</v>
      </c>
      <c r="S571" s="17">
        <v>0</v>
      </c>
      <c r="T571" s="17">
        <v>0</v>
      </c>
      <c r="U571" s="17">
        <v>2.09</v>
      </c>
      <c r="V571" s="17">
        <v>0</v>
      </c>
      <c r="W571" s="17">
        <v>1.1399999999999999</v>
      </c>
      <c r="X571" s="17">
        <v>0</v>
      </c>
      <c r="Y571" s="17">
        <v>0</v>
      </c>
      <c r="Z571" s="17">
        <v>0</v>
      </c>
      <c r="AA571" s="17">
        <v>0</v>
      </c>
      <c r="AB571" s="17">
        <v>0</v>
      </c>
      <c r="AC571" s="17">
        <v>0</v>
      </c>
      <c r="AD571" s="17">
        <v>0</v>
      </c>
      <c r="AE571" s="17">
        <v>0</v>
      </c>
      <c r="AF571" s="17">
        <v>0</v>
      </c>
      <c r="AG571" s="17">
        <v>0</v>
      </c>
      <c r="AH571" s="17">
        <v>0</v>
      </c>
      <c r="AI571" s="17">
        <f t="shared" si="35"/>
        <v>6</v>
      </c>
      <c r="AJ571" s="17">
        <f t="shared" si="36"/>
        <v>5</v>
      </c>
      <c r="AK571" s="17">
        <f t="shared" si="37"/>
        <v>20</v>
      </c>
      <c r="AL571" s="17">
        <f t="shared" si="38"/>
        <v>0</v>
      </c>
      <c r="AM571" s="17">
        <f>VLOOKUP(AK571,Sheet1!$A$2:$B$25,2,FALSE)</f>
        <v>0</v>
      </c>
    </row>
    <row r="572" spans="1:39" s="17" customFormat="1" x14ac:dyDescent="0.25">
      <c r="A572" s="21">
        <v>44597.854166666664</v>
      </c>
      <c r="B572" s="17">
        <v>6.39</v>
      </c>
      <c r="C572" s="17">
        <v>1.9</v>
      </c>
      <c r="D572" s="17">
        <v>4.4800000000000004</v>
      </c>
      <c r="E572" s="17">
        <v>0</v>
      </c>
      <c r="F572" s="17">
        <v>0</v>
      </c>
      <c r="G572" s="17">
        <v>0</v>
      </c>
      <c r="H572" s="17">
        <v>2.31</v>
      </c>
      <c r="I572" s="17">
        <v>0</v>
      </c>
      <c r="J572" s="17">
        <v>2.33</v>
      </c>
      <c r="K572" s="17">
        <v>0</v>
      </c>
      <c r="L572" s="17">
        <v>0</v>
      </c>
      <c r="M572" s="17">
        <v>0</v>
      </c>
      <c r="N572" s="17">
        <v>0</v>
      </c>
      <c r="O572" s="17">
        <v>0</v>
      </c>
      <c r="P572" s="17">
        <v>0</v>
      </c>
      <c r="Q572" s="17">
        <v>0</v>
      </c>
      <c r="R572" s="17">
        <v>0.72789999999999999</v>
      </c>
      <c r="S572" s="17">
        <v>0</v>
      </c>
      <c r="T572" s="17">
        <v>0</v>
      </c>
      <c r="U572" s="17">
        <v>2.09</v>
      </c>
      <c r="V572" s="17">
        <v>0</v>
      </c>
      <c r="W572" s="17">
        <v>1.1499999999999999</v>
      </c>
      <c r="X572" s="17">
        <v>0</v>
      </c>
      <c r="Y572" s="17">
        <v>0</v>
      </c>
      <c r="Z572" s="17">
        <v>0</v>
      </c>
      <c r="AA572" s="17">
        <v>0</v>
      </c>
      <c r="AB572" s="17">
        <v>0</v>
      </c>
      <c r="AC572" s="17">
        <v>0</v>
      </c>
      <c r="AD572" s="17">
        <v>0</v>
      </c>
      <c r="AE572" s="17">
        <v>0</v>
      </c>
      <c r="AF572" s="17">
        <v>0</v>
      </c>
      <c r="AG572" s="17">
        <v>0</v>
      </c>
      <c r="AH572" s="17">
        <v>0</v>
      </c>
      <c r="AI572" s="17">
        <f t="shared" si="35"/>
        <v>6</v>
      </c>
      <c r="AJ572" s="17">
        <f t="shared" si="36"/>
        <v>5</v>
      </c>
      <c r="AK572" s="17">
        <f t="shared" si="37"/>
        <v>20</v>
      </c>
      <c r="AL572" s="17">
        <f t="shared" si="38"/>
        <v>0</v>
      </c>
      <c r="AM572" s="17">
        <f>VLOOKUP(AK572,Sheet1!$A$2:$B$25,2,FALSE)</f>
        <v>0</v>
      </c>
    </row>
    <row r="573" spans="1:39" s="17" customFormat="1" x14ac:dyDescent="0.25">
      <c r="A573" s="21">
        <v>44597.864583333336</v>
      </c>
      <c r="B573" s="17">
        <v>5.84</v>
      </c>
      <c r="C573" s="17">
        <v>1.64</v>
      </c>
      <c r="D573" s="17">
        <v>4.2</v>
      </c>
      <c r="E573" s="17">
        <v>0</v>
      </c>
      <c r="F573" s="17">
        <v>0</v>
      </c>
      <c r="G573" s="17">
        <v>0</v>
      </c>
      <c r="H573" s="17">
        <v>2.2599999999999998</v>
      </c>
      <c r="I573" s="17">
        <v>0</v>
      </c>
      <c r="J573" s="17">
        <v>2.35</v>
      </c>
      <c r="K573" s="17">
        <v>0</v>
      </c>
      <c r="L573" s="17">
        <v>0</v>
      </c>
      <c r="M573" s="17">
        <v>0</v>
      </c>
      <c r="N573" s="17">
        <v>0</v>
      </c>
      <c r="O573" s="17">
        <v>0</v>
      </c>
      <c r="P573" s="17">
        <v>0</v>
      </c>
      <c r="Q573" s="17">
        <v>0</v>
      </c>
      <c r="R573" s="17">
        <v>0.35049999999999998</v>
      </c>
      <c r="S573" s="17">
        <v>0</v>
      </c>
      <c r="T573" s="17">
        <v>0</v>
      </c>
      <c r="U573" s="17">
        <v>2.1</v>
      </c>
      <c r="V573" s="17">
        <v>0</v>
      </c>
      <c r="W573" s="17">
        <v>1.1599999999999999</v>
      </c>
      <c r="X573" s="17">
        <v>0</v>
      </c>
      <c r="Y573" s="17">
        <v>0</v>
      </c>
      <c r="Z573" s="17">
        <v>0</v>
      </c>
      <c r="AA573" s="17">
        <v>0</v>
      </c>
      <c r="AB573" s="17">
        <v>0</v>
      </c>
      <c r="AC573" s="17">
        <v>0</v>
      </c>
      <c r="AD573" s="17">
        <v>0</v>
      </c>
      <c r="AE573" s="17">
        <v>0</v>
      </c>
      <c r="AF573" s="17">
        <v>0</v>
      </c>
      <c r="AG573" s="17">
        <v>0</v>
      </c>
      <c r="AH573" s="17">
        <v>0</v>
      </c>
      <c r="AI573" s="17">
        <f t="shared" si="35"/>
        <v>6</v>
      </c>
      <c r="AJ573" s="17">
        <f t="shared" si="36"/>
        <v>5</v>
      </c>
      <c r="AK573" s="17">
        <f t="shared" si="37"/>
        <v>20</v>
      </c>
      <c r="AL573" s="17">
        <f t="shared" si="38"/>
        <v>0</v>
      </c>
      <c r="AM573" s="17">
        <f>VLOOKUP(AK573,Sheet1!$A$2:$B$25,2,FALSE)</f>
        <v>0</v>
      </c>
    </row>
    <row r="574" spans="1:39" s="17" customFormat="1" x14ac:dyDescent="0.25">
      <c r="A574" s="21">
        <v>44597.875</v>
      </c>
      <c r="B574" s="17">
        <v>6.21</v>
      </c>
      <c r="C574" s="17">
        <v>1.85</v>
      </c>
      <c r="D574" s="17">
        <v>4.3600000000000003</v>
      </c>
      <c r="E574" s="17">
        <v>0</v>
      </c>
      <c r="F574" s="17">
        <v>0</v>
      </c>
      <c r="G574" s="17">
        <v>0</v>
      </c>
      <c r="H574" s="17">
        <v>2.36</v>
      </c>
      <c r="I574" s="17">
        <v>0</v>
      </c>
      <c r="J574" s="17">
        <v>2.33</v>
      </c>
      <c r="K574" s="17">
        <v>0</v>
      </c>
      <c r="L574" s="17">
        <v>0</v>
      </c>
      <c r="M574" s="17">
        <v>0</v>
      </c>
      <c r="N574" s="17">
        <v>0</v>
      </c>
      <c r="O574" s="17">
        <v>0</v>
      </c>
      <c r="P574" s="17">
        <v>0</v>
      </c>
      <c r="Q574" s="17">
        <v>0</v>
      </c>
      <c r="R574" s="17">
        <v>0.53680000000000005</v>
      </c>
      <c r="S574" s="17">
        <v>0</v>
      </c>
      <c r="T574" s="17">
        <v>0</v>
      </c>
      <c r="U574" s="17">
        <v>2.1</v>
      </c>
      <c r="V574" s="17">
        <v>0</v>
      </c>
      <c r="W574" s="17">
        <v>1.1599999999999999</v>
      </c>
      <c r="X574" s="17">
        <v>0</v>
      </c>
      <c r="Y574" s="17">
        <v>0</v>
      </c>
      <c r="Z574" s="17">
        <v>0</v>
      </c>
      <c r="AA574" s="17">
        <v>0</v>
      </c>
      <c r="AB574" s="17">
        <v>0</v>
      </c>
      <c r="AC574" s="17">
        <v>0</v>
      </c>
      <c r="AD574" s="17">
        <v>0</v>
      </c>
      <c r="AE574" s="17">
        <v>0</v>
      </c>
      <c r="AF574" s="17">
        <v>0</v>
      </c>
      <c r="AG574" s="17">
        <v>0</v>
      </c>
      <c r="AH574" s="17">
        <v>0</v>
      </c>
      <c r="AI574" s="17">
        <f t="shared" si="35"/>
        <v>6</v>
      </c>
      <c r="AJ574" s="17">
        <f t="shared" si="36"/>
        <v>5</v>
      </c>
      <c r="AK574" s="17">
        <f t="shared" si="37"/>
        <v>21</v>
      </c>
      <c r="AL574" s="17">
        <f t="shared" si="38"/>
        <v>0</v>
      </c>
      <c r="AM574" s="17">
        <f>VLOOKUP(AK574,Sheet1!$A$2:$B$25,2,FALSE)</f>
        <v>0</v>
      </c>
    </row>
    <row r="575" spans="1:39" s="17" customFormat="1" x14ac:dyDescent="0.25">
      <c r="A575" s="21">
        <v>44597.885416666664</v>
      </c>
      <c r="B575" s="17">
        <v>7.52</v>
      </c>
      <c r="C575" s="17">
        <v>2.98</v>
      </c>
      <c r="D575" s="17">
        <v>4.54</v>
      </c>
      <c r="E575" s="17">
        <v>0</v>
      </c>
      <c r="F575" s="17">
        <v>0</v>
      </c>
      <c r="G575" s="17">
        <v>0</v>
      </c>
      <c r="H575" s="17">
        <v>2.23</v>
      </c>
      <c r="I575" s="17">
        <v>0</v>
      </c>
      <c r="J575" s="17">
        <v>2.36</v>
      </c>
      <c r="K575" s="17">
        <v>0</v>
      </c>
      <c r="L575" s="17">
        <v>0</v>
      </c>
      <c r="M575" s="17">
        <v>0</v>
      </c>
      <c r="N575" s="17">
        <v>0</v>
      </c>
      <c r="O575" s="17">
        <v>0</v>
      </c>
      <c r="P575" s="17">
        <v>0</v>
      </c>
      <c r="Q575" s="17">
        <v>0</v>
      </c>
      <c r="R575" s="17">
        <v>0.67179999999999995</v>
      </c>
      <c r="S575" s="17">
        <v>0</v>
      </c>
      <c r="T575" s="17">
        <v>0</v>
      </c>
      <c r="U575" s="17">
        <v>2.14</v>
      </c>
      <c r="V575" s="17">
        <v>0</v>
      </c>
      <c r="W575" s="17">
        <v>1.18</v>
      </c>
      <c r="X575" s="17">
        <v>0</v>
      </c>
      <c r="Y575" s="17">
        <v>0</v>
      </c>
      <c r="Z575" s="17">
        <v>0</v>
      </c>
      <c r="AA575" s="17">
        <v>0</v>
      </c>
      <c r="AB575" s="17">
        <v>0</v>
      </c>
      <c r="AC575" s="17">
        <v>0</v>
      </c>
      <c r="AD575" s="17">
        <v>0</v>
      </c>
      <c r="AE575" s="17">
        <v>0</v>
      </c>
      <c r="AF575" s="17">
        <v>0</v>
      </c>
      <c r="AG575" s="17">
        <v>0</v>
      </c>
      <c r="AH575" s="17">
        <v>0</v>
      </c>
      <c r="AI575" s="17">
        <f t="shared" si="35"/>
        <v>6</v>
      </c>
      <c r="AJ575" s="17">
        <f t="shared" si="36"/>
        <v>5</v>
      </c>
      <c r="AK575" s="17">
        <f t="shared" si="37"/>
        <v>21</v>
      </c>
      <c r="AL575" s="17">
        <f t="shared" si="38"/>
        <v>0</v>
      </c>
      <c r="AM575" s="17">
        <f>VLOOKUP(AK575,Sheet1!$A$2:$B$25,2,FALSE)</f>
        <v>0</v>
      </c>
    </row>
    <row r="576" spans="1:39" s="17" customFormat="1" x14ac:dyDescent="0.25">
      <c r="A576" s="21">
        <v>44597.895833333336</v>
      </c>
      <c r="B576" s="17">
        <v>7.72</v>
      </c>
      <c r="C576" s="17">
        <v>3.36</v>
      </c>
      <c r="D576" s="17">
        <v>4.3600000000000003</v>
      </c>
      <c r="E576" s="17">
        <v>0</v>
      </c>
      <c r="F576" s="17">
        <v>0</v>
      </c>
      <c r="G576" s="17">
        <v>0</v>
      </c>
      <c r="H576" s="17">
        <v>2.08</v>
      </c>
      <c r="I576" s="17">
        <v>0</v>
      </c>
      <c r="J576" s="17">
        <v>2.2599999999999998</v>
      </c>
      <c r="K576" s="17">
        <v>0</v>
      </c>
      <c r="L576" s="17">
        <v>0</v>
      </c>
      <c r="M576" s="17">
        <v>0</v>
      </c>
      <c r="N576" s="17">
        <v>0</v>
      </c>
      <c r="O576" s="17">
        <v>0</v>
      </c>
      <c r="P576" s="17">
        <v>0</v>
      </c>
      <c r="Q576" s="17">
        <v>0</v>
      </c>
      <c r="R576" s="17">
        <v>0.33310000000000001</v>
      </c>
      <c r="S576" s="17">
        <v>0</v>
      </c>
      <c r="T576" s="17">
        <v>0</v>
      </c>
      <c r="U576" s="17">
        <v>2.12</v>
      </c>
      <c r="V576" s="17">
        <v>0</v>
      </c>
      <c r="W576" s="17">
        <v>1.17</v>
      </c>
      <c r="X576" s="17">
        <v>0</v>
      </c>
      <c r="Y576" s="17">
        <v>0</v>
      </c>
      <c r="Z576" s="17">
        <v>0</v>
      </c>
      <c r="AA576" s="17">
        <v>0</v>
      </c>
      <c r="AB576" s="17">
        <v>0</v>
      </c>
      <c r="AC576" s="17">
        <v>0</v>
      </c>
      <c r="AD576" s="17">
        <v>0</v>
      </c>
      <c r="AE576" s="17">
        <v>0</v>
      </c>
      <c r="AF576" s="17">
        <v>0</v>
      </c>
      <c r="AG576" s="17">
        <v>0</v>
      </c>
      <c r="AH576" s="17">
        <v>0</v>
      </c>
      <c r="AI576" s="17">
        <f t="shared" si="35"/>
        <v>6</v>
      </c>
      <c r="AJ576" s="17">
        <f t="shared" si="36"/>
        <v>5</v>
      </c>
      <c r="AK576" s="17">
        <f t="shared" si="37"/>
        <v>21</v>
      </c>
      <c r="AL576" s="17">
        <f t="shared" si="38"/>
        <v>0</v>
      </c>
      <c r="AM576" s="17">
        <f>VLOOKUP(AK576,Sheet1!$A$2:$B$25,2,FALSE)</f>
        <v>0</v>
      </c>
    </row>
    <row r="577" spans="1:39" s="17" customFormat="1" x14ac:dyDescent="0.25">
      <c r="A577" s="21">
        <v>44597.90625</v>
      </c>
      <c r="B577" s="17">
        <v>5.4</v>
      </c>
      <c r="C577" s="17">
        <v>1.2</v>
      </c>
      <c r="D577" s="17">
        <v>4.2</v>
      </c>
      <c r="E577" s="17">
        <v>0</v>
      </c>
      <c r="F577" s="17">
        <v>0</v>
      </c>
      <c r="G577" s="17">
        <v>0</v>
      </c>
      <c r="H577" s="17">
        <v>2.06</v>
      </c>
      <c r="I577" s="17">
        <v>0</v>
      </c>
      <c r="J577" s="17">
        <v>2.15</v>
      </c>
      <c r="K577" s="17">
        <v>0</v>
      </c>
      <c r="L577" s="17">
        <v>0</v>
      </c>
      <c r="M577" s="17">
        <v>0</v>
      </c>
      <c r="N577" s="17">
        <v>0</v>
      </c>
      <c r="O577" s="17">
        <v>0</v>
      </c>
      <c r="P577" s="17">
        <v>0</v>
      </c>
      <c r="Q577" s="17">
        <v>0</v>
      </c>
      <c r="R577" s="17">
        <v>0.40100000000000002</v>
      </c>
      <c r="S577" s="17">
        <v>0</v>
      </c>
      <c r="T577" s="17">
        <v>0</v>
      </c>
      <c r="U577" s="17">
        <v>2.12</v>
      </c>
      <c r="V577" s="17">
        <v>0</v>
      </c>
      <c r="W577" s="17">
        <v>1.1599999999999999</v>
      </c>
      <c r="X577" s="17">
        <v>0</v>
      </c>
      <c r="Y577" s="17">
        <v>0</v>
      </c>
      <c r="Z577" s="17">
        <v>0</v>
      </c>
      <c r="AA577" s="17">
        <v>0</v>
      </c>
      <c r="AB577" s="17">
        <v>0</v>
      </c>
      <c r="AC577" s="17">
        <v>0</v>
      </c>
      <c r="AD577" s="17">
        <v>0</v>
      </c>
      <c r="AE577" s="17">
        <v>0</v>
      </c>
      <c r="AF577" s="17">
        <v>0</v>
      </c>
      <c r="AG577" s="17">
        <v>0</v>
      </c>
      <c r="AH577" s="17">
        <v>0</v>
      </c>
      <c r="AI577" s="17">
        <f t="shared" si="35"/>
        <v>6</v>
      </c>
      <c r="AJ577" s="17">
        <f t="shared" si="36"/>
        <v>5</v>
      </c>
      <c r="AK577" s="17">
        <f t="shared" si="37"/>
        <v>21</v>
      </c>
      <c r="AL577" s="17">
        <f t="shared" si="38"/>
        <v>0</v>
      </c>
      <c r="AM577" s="17">
        <f>VLOOKUP(AK577,Sheet1!$A$2:$B$25,2,FALSE)</f>
        <v>0</v>
      </c>
    </row>
    <row r="578" spans="1:39" s="17" customFormat="1" x14ac:dyDescent="0.25">
      <c r="A578" s="21">
        <v>44597.916666666664</v>
      </c>
      <c r="B578" s="17">
        <v>5.73</v>
      </c>
      <c r="C578" s="17">
        <v>1.54</v>
      </c>
      <c r="D578" s="17">
        <v>4.2</v>
      </c>
      <c r="E578" s="17">
        <v>0</v>
      </c>
      <c r="F578" s="17">
        <v>0</v>
      </c>
      <c r="G578" s="17">
        <v>0</v>
      </c>
      <c r="H578" s="17">
        <v>2.0099999999999998</v>
      </c>
      <c r="I578" s="17">
        <v>0</v>
      </c>
      <c r="J578" s="17">
        <v>2.0699999999999998</v>
      </c>
      <c r="K578" s="17">
        <v>0</v>
      </c>
      <c r="L578" s="17">
        <v>0</v>
      </c>
      <c r="M578" s="17">
        <v>0</v>
      </c>
      <c r="N578" s="17">
        <v>0</v>
      </c>
      <c r="O578" s="17">
        <v>0</v>
      </c>
      <c r="P578" s="17">
        <v>0</v>
      </c>
      <c r="Q578" s="17">
        <v>0</v>
      </c>
      <c r="R578" s="17">
        <v>0.43890000000000001</v>
      </c>
      <c r="S578" s="17">
        <v>0</v>
      </c>
      <c r="T578" s="17">
        <v>0</v>
      </c>
      <c r="U578" s="17">
        <v>2.11</v>
      </c>
      <c r="V578" s="17">
        <v>0</v>
      </c>
      <c r="W578" s="17">
        <v>1.1599999999999999</v>
      </c>
      <c r="X578" s="17">
        <v>0</v>
      </c>
      <c r="Y578" s="17">
        <v>0</v>
      </c>
      <c r="Z578" s="17">
        <v>0</v>
      </c>
      <c r="AA578" s="17">
        <v>0</v>
      </c>
      <c r="AB578" s="17">
        <v>0</v>
      </c>
      <c r="AC578" s="17">
        <v>0</v>
      </c>
      <c r="AD578" s="17">
        <v>0</v>
      </c>
      <c r="AE578" s="17">
        <v>0</v>
      </c>
      <c r="AF578" s="17">
        <v>0</v>
      </c>
      <c r="AG578" s="17">
        <v>0</v>
      </c>
      <c r="AH578" s="17">
        <v>0</v>
      </c>
      <c r="AI578" s="17">
        <f t="shared" si="35"/>
        <v>6</v>
      </c>
      <c r="AJ578" s="17">
        <f t="shared" si="36"/>
        <v>5</v>
      </c>
      <c r="AK578" s="17">
        <f t="shared" si="37"/>
        <v>22</v>
      </c>
      <c r="AL578" s="17">
        <f t="shared" si="38"/>
        <v>0</v>
      </c>
      <c r="AM578" s="17">
        <f>VLOOKUP(AK578,Sheet1!$A$2:$B$25,2,FALSE)</f>
        <v>0</v>
      </c>
    </row>
    <row r="579" spans="1:39" s="17" customFormat="1" x14ac:dyDescent="0.25">
      <c r="A579" s="21">
        <v>44597.927083333336</v>
      </c>
      <c r="B579" s="17">
        <v>6.87</v>
      </c>
      <c r="C579" s="17">
        <v>2.5099999999999998</v>
      </c>
      <c r="D579" s="17">
        <v>4.3600000000000003</v>
      </c>
      <c r="E579" s="17">
        <v>0</v>
      </c>
      <c r="F579" s="17">
        <v>0</v>
      </c>
      <c r="G579" s="17">
        <v>0</v>
      </c>
      <c r="H579" s="17">
        <v>1.98</v>
      </c>
      <c r="I579" s="17">
        <v>0</v>
      </c>
      <c r="J579" s="17">
        <v>1.92</v>
      </c>
      <c r="K579" s="17">
        <v>0</v>
      </c>
      <c r="L579" s="17">
        <v>0</v>
      </c>
      <c r="M579" s="17">
        <v>0</v>
      </c>
      <c r="N579" s="17">
        <v>0</v>
      </c>
      <c r="O579" s="17">
        <v>0</v>
      </c>
      <c r="P579" s="17">
        <v>0</v>
      </c>
      <c r="Q579" s="17">
        <v>0</v>
      </c>
      <c r="R579" s="17">
        <v>0.53600000000000003</v>
      </c>
      <c r="S579" s="17">
        <v>0</v>
      </c>
      <c r="T579" s="17">
        <v>0</v>
      </c>
      <c r="U579" s="17">
        <v>2.09</v>
      </c>
      <c r="V579" s="17">
        <v>0</v>
      </c>
      <c r="W579" s="17">
        <v>1.1399999999999999</v>
      </c>
      <c r="X579" s="17">
        <v>0</v>
      </c>
      <c r="Y579" s="17">
        <v>0</v>
      </c>
      <c r="Z579" s="17">
        <v>0</v>
      </c>
      <c r="AA579" s="17">
        <v>0</v>
      </c>
      <c r="AB579" s="17">
        <v>0</v>
      </c>
      <c r="AC579" s="17">
        <v>0</v>
      </c>
      <c r="AD579" s="17">
        <v>0</v>
      </c>
      <c r="AE579" s="17">
        <v>0</v>
      </c>
      <c r="AF579" s="17">
        <v>0</v>
      </c>
      <c r="AG579" s="17">
        <v>0</v>
      </c>
      <c r="AH579" s="17">
        <v>0</v>
      </c>
      <c r="AI579" s="17">
        <f t="shared" si="35"/>
        <v>6</v>
      </c>
      <c r="AJ579" s="17">
        <f t="shared" si="36"/>
        <v>5</v>
      </c>
      <c r="AK579" s="17">
        <f t="shared" si="37"/>
        <v>22</v>
      </c>
      <c r="AL579" s="17">
        <f t="shared" si="38"/>
        <v>0</v>
      </c>
      <c r="AM579" s="17">
        <f>VLOOKUP(AK579,Sheet1!$A$2:$B$25,2,FALSE)</f>
        <v>0</v>
      </c>
    </row>
    <row r="580" spans="1:39" s="17" customFormat="1" x14ac:dyDescent="0.25">
      <c r="A580" s="21">
        <v>44597.9375</v>
      </c>
      <c r="B580" s="17">
        <v>7.46</v>
      </c>
      <c r="C580" s="17">
        <v>3.2</v>
      </c>
      <c r="D580" s="17">
        <v>4.25</v>
      </c>
      <c r="E580" s="17">
        <v>0</v>
      </c>
      <c r="F580" s="17">
        <v>0</v>
      </c>
      <c r="G580" s="17">
        <v>0</v>
      </c>
      <c r="H580" s="17">
        <v>1.94</v>
      </c>
      <c r="I580" s="17">
        <v>0</v>
      </c>
      <c r="J580" s="17">
        <v>2</v>
      </c>
      <c r="K580" s="17">
        <v>0</v>
      </c>
      <c r="L580" s="17">
        <v>0</v>
      </c>
      <c r="M580" s="17">
        <v>0</v>
      </c>
      <c r="N580" s="17">
        <v>0</v>
      </c>
      <c r="O580" s="17">
        <v>0</v>
      </c>
      <c r="P580" s="17">
        <v>0</v>
      </c>
      <c r="Q580" s="17">
        <v>0</v>
      </c>
      <c r="R580" s="17">
        <v>0.34420000000000001</v>
      </c>
      <c r="S580" s="17">
        <v>0</v>
      </c>
      <c r="T580" s="17">
        <v>0</v>
      </c>
      <c r="U580" s="17">
        <v>2.08</v>
      </c>
      <c r="V580" s="17">
        <v>0</v>
      </c>
      <c r="W580" s="17">
        <v>1.1299999999999999</v>
      </c>
      <c r="X580" s="17">
        <v>0</v>
      </c>
      <c r="Y580" s="17">
        <v>0</v>
      </c>
      <c r="Z580" s="17">
        <v>0</v>
      </c>
      <c r="AA580" s="17">
        <v>0</v>
      </c>
      <c r="AB580" s="17">
        <v>0</v>
      </c>
      <c r="AC580" s="17">
        <v>0</v>
      </c>
      <c r="AD580" s="17">
        <v>0</v>
      </c>
      <c r="AE580" s="17">
        <v>0</v>
      </c>
      <c r="AF580" s="17">
        <v>0</v>
      </c>
      <c r="AG580" s="17">
        <v>0</v>
      </c>
      <c r="AH580" s="17">
        <v>0</v>
      </c>
      <c r="AI580" s="17">
        <f t="shared" si="35"/>
        <v>6</v>
      </c>
      <c r="AJ580" s="17">
        <f t="shared" si="36"/>
        <v>5</v>
      </c>
      <c r="AK580" s="17">
        <f t="shared" si="37"/>
        <v>22</v>
      </c>
      <c r="AL580" s="17">
        <f t="shared" si="38"/>
        <v>0</v>
      </c>
      <c r="AM580" s="17">
        <f>VLOOKUP(AK580,Sheet1!$A$2:$B$25,2,FALSE)</f>
        <v>0</v>
      </c>
    </row>
    <row r="581" spans="1:39" s="17" customFormat="1" x14ac:dyDescent="0.25">
      <c r="A581" s="21">
        <v>44597.947916666664</v>
      </c>
      <c r="B581" s="17">
        <v>6.71</v>
      </c>
      <c r="C581" s="17">
        <v>2.4500000000000002</v>
      </c>
      <c r="D581" s="17">
        <v>4.26</v>
      </c>
      <c r="E581" s="17">
        <v>0</v>
      </c>
      <c r="F581" s="17">
        <v>0</v>
      </c>
      <c r="G581" s="17">
        <v>0</v>
      </c>
      <c r="H581" s="17">
        <v>1.99</v>
      </c>
      <c r="I581" s="17">
        <v>0</v>
      </c>
      <c r="J581" s="17">
        <v>1.98</v>
      </c>
      <c r="K581" s="17">
        <v>0</v>
      </c>
      <c r="L581" s="17">
        <v>0</v>
      </c>
      <c r="M581" s="17">
        <v>0</v>
      </c>
      <c r="N581" s="17">
        <v>0</v>
      </c>
      <c r="O581" s="17">
        <v>0</v>
      </c>
      <c r="P581" s="17">
        <v>0</v>
      </c>
      <c r="Q581" s="17">
        <v>0</v>
      </c>
      <c r="R581" s="17">
        <v>0.52739999999999998</v>
      </c>
      <c r="S581" s="17">
        <v>0</v>
      </c>
      <c r="T581" s="17">
        <v>0</v>
      </c>
      <c r="U581" s="17">
        <v>2.06</v>
      </c>
      <c r="V581" s="17">
        <v>0</v>
      </c>
      <c r="W581" s="17">
        <v>1.1100000000000001</v>
      </c>
      <c r="X581" s="17">
        <v>0</v>
      </c>
      <c r="Y581" s="17">
        <v>0</v>
      </c>
      <c r="Z581" s="17">
        <v>0</v>
      </c>
      <c r="AA581" s="17">
        <v>0</v>
      </c>
      <c r="AB581" s="17">
        <v>0</v>
      </c>
      <c r="AC581" s="17">
        <v>0</v>
      </c>
      <c r="AD581" s="17">
        <v>0</v>
      </c>
      <c r="AE581" s="17">
        <v>0</v>
      </c>
      <c r="AF581" s="17">
        <v>0</v>
      </c>
      <c r="AG581" s="17">
        <v>0</v>
      </c>
      <c r="AH581" s="17">
        <v>0</v>
      </c>
      <c r="AI581" s="17">
        <f t="shared" si="35"/>
        <v>6</v>
      </c>
      <c r="AJ581" s="17">
        <f t="shared" si="36"/>
        <v>5</v>
      </c>
      <c r="AK581" s="17">
        <f t="shared" si="37"/>
        <v>22</v>
      </c>
      <c r="AL581" s="17">
        <f t="shared" si="38"/>
        <v>0</v>
      </c>
      <c r="AM581" s="17">
        <f>VLOOKUP(AK581,Sheet1!$A$2:$B$25,2,FALSE)</f>
        <v>0</v>
      </c>
    </row>
    <row r="582" spans="1:39" s="17" customFormat="1" x14ac:dyDescent="0.25">
      <c r="A582" s="21">
        <v>44597.958333333336</v>
      </c>
      <c r="B582" s="17">
        <v>5.15</v>
      </c>
      <c r="C582" s="17">
        <v>1.01</v>
      </c>
      <c r="D582" s="17">
        <v>4.1399999999999997</v>
      </c>
      <c r="E582" s="17">
        <v>0</v>
      </c>
      <c r="F582" s="17">
        <v>0</v>
      </c>
      <c r="G582" s="17">
        <v>0</v>
      </c>
      <c r="H582" s="17">
        <v>1.9</v>
      </c>
      <c r="I582" s="17">
        <v>0</v>
      </c>
      <c r="J582" s="17">
        <v>1.91</v>
      </c>
      <c r="K582" s="17">
        <v>0</v>
      </c>
      <c r="L582" s="17">
        <v>0</v>
      </c>
      <c r="M582" s="17">
        <v>0</v>
      </c>
      <c r="N582" s="17">
        <v>0</v>
      </c>
      <c r="O582" s="17">
        <v>0</v>
      </c>
      <c r="P582" s="17">
        <v>0</v>
      </c>
      <c r="Q582" s="17">
        <v>0</v>
      </c>
      <c r="R582" s="17">
        <v>0.53759999999999997</v>
      </c>
      <c r="S582" s="17">
        <v>0</v>
      </c>
      <c r="T582" s="17">
        <v>0</v>
      </c>
      <c r="U582" s="17">
        <v>2.0499999999999998</v>
      </c>
      <c r="V582" s="17">
        <v>0</v>
      </c>
      <c r="W582" s="17">
        <v>1.1000000000000001</v>
      </c>
      <c r="X582" s="17">
        <v>0</v>
      </c>
      <c r="Y582" s="17">
        <v>0</v>
      </c>
      <c r="Z582" s="17">
        <v>0</v>
      </c>
      <c r="AA582" s="17">
        <v>0</v>
      </c>
      <c r="AB582" s="17">
        <v>0</v>
      </c>
      <c r="AC582" s="17">
        <v>0</v>
      </c>
      <c r="AD582" s="17">
        <v>0</v>
      </c>
      <c r="AE582" s="17">
        <v>0</v>
      </c>
      <c r="AF582" s="17">
        <v>0</v>
      </c>
      <c r="AG582" s="17">
        <v>0</v>
      </c>
      <c r="AH582" s="17">
        <v>0</v>
      </c>
      <c r="AI582" s="17">
        <f t="shared" si="35"/>
        <v>6</v>
      </c>
      <c r="AJ582" s="17">
        <f t="shared" si="36"/>
        <v>5</v>
      </c>
      <c r="AK582" s="17">
        <f t="shared" si="37"/>
        <v>23</v>
      </c>
      <c r="AL582" s="17">
        <f t="shared" si="38"/>
        <v>0</v>
      </c>
      <c r="AM582" s="17">
        <f>VLOOKUP(AK582,Sheet1!$A$2:$B$25,2,FALSE)</f>
        <v>0</v>
      </c>
    </row>
    <row r="583" spans="1:39" s="17" customFormat="1" x14ac:dyDescent="0.25">
      <c r="A583" s="21">
        <v>44597.96875</v>
      </c>
      <c r="B583" s="17">
        <v>5.93</v>
      </c>
      <c r="C583" s="17">
        <v>1.69</v>
      </c>
      <c r="D583" s="17">
        <v>4.24</v>
      </c>
      <c r="E583" s="17">
        <v>0</v>
      </c>
      <c r="F583" s="17">
        <v>0</v>
      </c>
      <c r="G583" s="17">
        <v>0</v>
      </c>
      <c r="H583" s="17">
        <v>1.9</v>
      </c>
      <c r="I583" s="17">
        <v>0</v>
      </c>
      <c r="J583" s="17">
        <v>1.95</v>
      </c>
      <c r="K583" s="17">
        <v>0</v>
      </c>
      <c r="L583" s="17">
        <v>0</v>
      </c>
      <c r="M583" s="17">
        <v>0</v>
      </c>
      <c r="N583" s="17">
        <v>0</v>
      </c>
      <c r="O583" s="17">
        <v>0</v>
      </c>
      <c r="P583" s="17">
        <v>0</v>
      </c>
      <c r="Q583" s="17">
        <v>0</v>
      </c>
      <c r="R583" s="17">
        <v>0.24629999999999999</v>
      </c>
      <c r="S583" s="17">
        <v>0</v>
      </c>
      <c r="T583" s="17">
        <v>0</v>
      </c>
      <c r="U583" s="17">
        <v>2.0499999999999998</v>
      </c>
      <c r="V583" s="17">
        <v>0</v>
      </c>
      <c r="W583" s="17">
        <v>1.1000000000000001</v>
      </c>
      <c r="X583" s="17">
        <v>0</v>
      </c>
      <c r="Y583" s="17">
        <v>0</v>
      </c>
      <c r="Z583" s="17">
        <v>0</v>
      </c>
      <c r="AA583" s="17">
        <v>0</v>
      </c>
      <c r="AB583" s="17">
        <v>0</v>
      </c>
      <c r="AC583" s="17">
        <v>0</v>
      </c>
      <c r="AD583" s="17">
        <v>0</v>
      </c>
      <c r="AE583" s="17">
        <v>0</v>
      </c>
      <c r="AF583" s="17">
        <v>0</v>
      </c>
      <c r="AG583" s="17">
        <v>0</v>
      </c>
      <c r="AH583" s="17">
        <v>0</v>
      </c>
      <c r="AI583" s="17">
        <f t="shared" si="35"/>
        <v>6</v>
      </c>
      <c r="AJ583" s="17">
        <f t="shared" si="36"/>
        <v>5</v>
      </c>
      <c r="AK583" s="17">
        <f t="shared" si="37"/>
        <v>23</v>
      </c>
      <c r="AL583" s="17">
        <f t="shared" si="38"/>
        <v>0</v>
      </c>
      <c r="AM583" s="17">
        <f>VLOOKUP(AK583,Sheet1!$A$2:$B$25,2,FALSE)</f>
        <v>0</v>
      </c>
    </row>
    <row r="584" spans="1:39" s="17" customFormat="1" x14ac:dyDescent="0.25">
      <c r="A584" s="21">
        <v>44597.979166666664</v>
      </c>
      <c r="B584" s="17">
        <v>6.69</v>
      </c>
      <c r="C584" s="17">
        <v>2.57</v>
      </c>
      <c r="D584" s="17">
        <v>4.12</v>
      </c>
      <c r="E584" s="17">
        <v>0</v>
      </c>
      <c r="F584" s="17">
        <v>0</v>
      </c>
      <c r="G584" s="17">
        <v>0</v>
      </c>
      <c r="H584" s="17">
        <v>1.85</v>
      </c>
      <c r="I584" s="17">
        <v>0</v>
      </c>
      <c r="J584" s="17">
        <v>1.86</v>
      </c>
      <c r="K584" s="17">
        <v>0</v>
      </c>
      <c r="L584" s="17">
        <v>0</v>
      </c>
      <c r="M584" s="17">
        <v>0</v>
      </c>
      <c r="N584" s="17">
        <v>0</v>
      </c>
      <c r="O584" s="17">
        <v>0</v>
      </c>
      <c r="P584" s="17">
        <v>0</v>
      </c>
      <c r="Q584" s="17">
        <v>0</v>
      </c>
      <c r="R584" s="17">
        <v>0.435</v>
      </c>
      <c r="S584" s="17">
        <v>0</v>
      </c>
      <c r="T584" s="17">
        <v>0</v>
      </c>
      <c r="U584" s="17">
        <v>2.06</v>
      </c>
      <c r="V584" s="17">
        <v>0</v>
      </c>
      <c r="W584" s="17">
        <v>1.1000000000000001</v>
      </c>
      <c r="X584" s="17">
        <v>0</v>
      </c>
      <c r="Y584" s="17">
        <v>0</v>
      </c>
      <c r="Z584" s="17">
        <v>0</v>
      </c>
      <c r="AA584" s="17">
        <v>0</v>
      </c>
      <c r="AB584" s="17">
        <v>0</v>
      </c>
      <c r="AC584" s="17">
        <v>0</v>
      </c>
      <c r="AD584" s="17">
        <v>0</v>
      </c>
      <c r="AE584" s="17">
        <v>0</v>
      </c>
      <c r="AF584" s="17">
        <v>0</v>
      </c>
      <c r="AG584" s="17">
        <v>0</v>
      </c>
      <c r="AH584" s="17">
        <v>0</v>
      </c>
      <c r="AI584" s="17">
        <f t="shared" si="35"/>
        <v>6</v>
      </c>
      <c r="AJ584" s="17">
        <f t="shared" si="36"/>
        <v>5</v>
      </c>
      <c r="AK584" s="17">
        <f t="shared" si="37"/>
        <v>23</v>
      </c>
      <c r="AL584" s="17">
        <f t="shared" si="38"/>
        <v>0</v>
      </c>
      <c r="AM584" s="17">
        <f>VLOOKUP(AK584,Sheet1!$A$2:$B$25,2,FALSE)</f>
        <v>0</v>
      </c>
    </row>
    <row r="585" spans="1:39" s="17" customFormat="1" x14ac:dyDescent="0.25">
      <c r="A585" s="21">
        <v>44597.989583333336</v>
      </c>
      <c r="B585" s="17">
        <v>6.31</v>
      </c>
      <c r="C585" s="17">
        <v>2.33</v>
      </c>
      <c r="D585" s="17">
        <v>3.98</v>
      </c>
      <c r="E585" s="17">
        <v>0</v>
      </c>
      <c r="F585" s="17">
        <v>0</v>
      </c>
      <c r="G585" s="17">
        <v>0</v>
      </c>
      <c r="H585" s="17">
        <v>1.87</v>
      </c>
      <c r="I585" s="17">
        <v>0</v>
      </c>
      <c r="J585" s="17">
        <v>1.9</v>
      </c>
      <c r="K585" s="17">
        <v>0</v>
      </c>
      <c r="L585" s="17">
        <v>0</v>
      </c>
      <c r="M585" s="17">
        <v>0</v>
      </c>
      <c r="N585" s="17">
        <v>0</v>
      </c>
      <c r="O585" s="17">
        <v>0</v>
      </c>
      <c r="P585" s="17">
        <v>0</v>
      </c>
      <c r="Q585" s="17">
        <v>0</v>
      </c>
      <c r="R585" s="17">
        <v>0.39389999999999997</v>
      </c>
      <c r="S585" s="17">
        <v>0</v>
      </c>
      <c r="T585" s="17">
        <v>0</v>
      </c>
      <c r="U585" s="17">
        <v>2.0499999999999998</v>
      </c>
      <c r="V585" s="17">
        <v>0</v>
      </c>
      <c r="W585" s="17">
        <v>1.0900000000000001</v>
      </c>
      <c r="X585" s="17">
        <v>0</v>
      </c>
      <c r="Y585" s="17">
        <v>0</v>
      </c>
      <c r="Z585" s="17">
        <v>0</v>
      </c>
      <c r="AA585" s="17">
        <v>0</v>
      </c>
      <c r="AB585" s="17">
        <v>0</v>
      </c>
      <c r="AC585" s="17">
        <v>0</v>
      </c>
      <c r="AD585" s="17">
        <v>0</v>
      </c>
      <c r="AE585" s="17">
        <v>0</v>
      </c>
      <c r="AF585" s="17">
        <v>0</v>
      </c>
      <c r="AG585" s="17">
        <v>0</v>
      </c>
      <c r="AH585" s="17">
        <v>0</v>
      </c>
      <c r="AI585" s="17">
        <f t="shared" si="35"/>
        <v>6</v>
      </c>
      <c r="AJ585" s="17">
        <f t="shared" si="36"/>
        <v>5</v>
      </c>
      <c r="AK585" s="17">
        <f t="shared" si="37"/>
        <v>23</v>
      </c>
      <c r="AL585" s="17">
        <f t="shared" si="38"/>
        <v>0</v>
      </c>
      <c r="AM585" s="17">
        <f>VLOOKUP(AK585,Sheet1!$A$2:$B$25,2,FALSE)</f>
        <v>0</v>
      </c>
    </row>
    <row r="586" spans="1:39" s="25" customFormat="1" x14ac:dyDescent="0.25">
      <c r="A586" s="24">
        <f>MAX(B587:B682)</f>
        <v>8.07</v>
      </c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</row>
    <row r="587" spans="1:39" s="17" customFormat="1" x14ac:dyDescent="0.25">
      <c r="A587" s="21">
        <v>44598</v>
      </c>
      <c r="B587" s="17">
        <v>5.52</v>
      </c>
      <c r="C587" s="17">
        <v>1.36</v>
      </c>
      <c r="D587" s="17">
        <v>4.1500000000000004</v>
      </c>
      <c r="E587" s="17">
        <v>0</v>
      </c>
      <c r="F587" s="17">
        <v>0</v>
      </c>
      <c r="G587" s="17">
        <v>0</v>
      </c>
      <c r="H587" s="17">
        <v>1.84</v>
      </c>
      <c r="I587" s="17">
        <v>0</v>
      </c>
      <c r="J587" s="17">
        <v>1.85</v>
      </c>
      <c r="K587" s="17">
        <v>0</v>
      </c>
      <c r="L587" s="17">
        <v>0</v>
      </c>
      <c r="M587" s="17">
        <v>0</v>
      </c>
      <c r="N587" s="17">
        <v>0</v>
      </c>
      <c r="O587" s="17">
        <v>0</v>
      </c>
      <c r="P587" s="17">
        <v>0</v>
      </c>
      <c r="Q587" s="17">
        <v>0</v>
      </c>
      <c r="R587" s="17">
        <v>0.39389999999999997</v>
      </c>
      <c r="S587" s="17">
        <v>0</v>
      </c>
      <c r="T587" s="17">
        <v>0</v>
      </c>
      <c r="U587" s="17">
        <v>2.04</v>
      </c>
      <c r="V587" s="17">
        <v>0</v>
      </c>
      <c r="W587" s="17">
        <v>1.0900000000000001</v>
      </c>
      <c r="X587" s="17">
        <v>0</v>
      </c>
      <c r="Y587" s="17">
        <v>0</v>
      </c>
      <c r="Z587" s="17">
        <v>0</v>
      </c>
      <c r="AA587" s="17">
        <v>0</v>
      </c>
      <c r="AB587" s="17">
        <v>0</v>
      </c>
      <c r="AC587" s="17">
        <v>0</v>
      </c>
      <c r="AD587" s="17">
        <v>0</v>
      </c>
      <c r="AE587" s="17">
        <v>0</v>
      </c>
      <c r="AF587" s="17">
        <v>0</v>
      </c>
      <c r="AG587" s="17">
        <v>0</v>
      </c>
      <c r="AH587" s="17">
        <v>0</v>
      </c>
      <c r="AI587" s="17">
        <f t="shared" ref="AI587:AI650" si="39">WEEKDAY(A587,2)</f>
        <v>7</v>
      </c>
      <c r="AJ587" s="17">
        <f t="shared" ref="AJ587:AJ650" si="40">DAY(A587)</f>
        <v>6</v>
      </c>
      <c r="AK587" s="17">
        <f t="shared" ref="AK587:AK650" si="41">HOUR(A587)</f>
        <v>0</v>
      </c>
      <c r="AL587" s="17">
        <f t="shared" ref="AL587:AL650" si="42">IF(AI587&gt;=6,0,1)</f>
        <v>0</v>
      </c>
      <c r="AM587" s="17">
        <f>VLOOKUP(AK587,Sheet1!$A$2:$B$25,2,FALSE)</f>
        <v>0</v>
      </c>
    </row>
    <row r="588" spans="1:39" s="17" customFormat="1" x14ac:dyDescent="0.25">
      <c r="A588" s="21">
        <v>44598.010416666664</v>
      </c>
      <c r="B588" s="17">
        <v>7.37</v>
      </c>
      <c r="C588" s="17">
        <v>3.25</v>
      </c>
      <c r="D588" s="17">
        <v>4.12</v>
      </c>
      <c r="E588" s="17">
        <v>0</v>
      </c>
      <c r="F588" s="17">
        <v>0</v>
      </c>
      <c r="G588" s="17">
        <v>0</v>
      </c>
      <c r="H588" s="17">
        <v>1.84</v>
      </c>
      <c r="I588" s="17">
        <v>0</v>
      </c>
      <c r="J588" s="17">
        <v>1.87</v>
      </c>
      <c r="K588" s="17">
        <v>0</v>
      </c>
      <c r="L588" s="17">
        <v>0</v>
      </c>
      <c r="M588" s="17">
        <v>0</v>
      </c>
      <c r="N588" s="17">
        <v>0</v>
      </c>
      <c r="O588" s="17">
        <v>0</v>
      </c>
      <c r="P588" s="17">
        <v>0</v>
      </c>
      <c r="Q588" s="17">
        <v>0</v>
      </c>
      <c r="R588" s="17">
        <v>0.4239</v>
      </c>
      <c r="S588" s="17">
        <v>0</v>
      </c>
      <c r="T588" s="17">
        <v>0</v>
      </c>
      <c r="U588" s="17">
        <v>2.06</v>
      </c>
      <c r="V588" s="17">
        <v>0</v>
      </c>
      <c r="W588" s="17">
        <v>1.1100000000000001</v>
      </c>
      <c r="X588" s="17">
        <v>0</v>
      </c>
      <c r="Y588" s="17">
        <v>0</v>
      </c>
      <c r="Z588" s="17">
        <v>0</v>
      </c>
      <c r="AA588" s="17">
        <v>0</v>
      </c>
      <c r="AB588" s="17">
        <v>0</v>
      </c>
      <c r="AC588" s="17">
        <v>0</v>
      </c>
      <c r="AD588" s="17">
        <v>0</v>
      </c>
      <c r="AE588" s="17">
        <v>0</v>
      </c>
      <c r="AF588" s="17">
        <v>0</v>
      </c>
      <c r="AG588" s="17">
        <v>0</v>
      </c>
      <c r="AH588" s="17">
        <v>0</v>
      </c>
      <c r="AI588" s="17">
        <f t="shared" si="39"/>
        <v>7</v>
      </c>
      <c r="AJ588" s="17">
        <f t="shared" si="40"/>
        <v>6</v>
      </c>
      <c r="AK588" s="17">
        <f t="shared" si="41"/>
        <v>0</v>
      </c>
      <c r="AL588" s="17">
        <f t="shared" si="42"/>
        <v>0</v>
      </c>
      <c r="AM588" s="17">
        <f>VLOOKUP(AK588,Sheet1!$A$2:$B$25,2,FALSE)</f>
        <v>0</v>
      </c>
    </row>
    <row r="589" spans="1:39" s="17" customFormat="1" x14ac:dyDescent="0.25">
      <c r="A589" s="21">
        <v>44598.020833333336</v>
      </c>
      <c r="B589" s="17">
        <v>6.05</v>
      </c>
      <c r="C589" s="17">
        <v>1.98</v>
      </c>
      <c r="D589" s="17">
        <v>4.07</v>
      </c>
      <c r="E589" s="17">
        <v>0</v>
      </c>
      <c r="F589" s="17">
        <v>0</v>
      </c>
      <c r="G589" s="17">
        <v>0</v>
      </c>
      <c r="H589" s="17">
        <v>1.82</v>
      </c>
      <c r="I589" s="17">
        <v>0</v>
      </c>
      <c r="J589" s="17">
        <v>1.9</v>
      </c>
      <c r="K589" s="17">
        <v>0</v>
      </c>
      <c r="L589" s="17">
        <v>0</v>
      </c>
      <c r="M589" s="17">
        <v>0</v>
      </c>
      <c r="N589" s="17">
        <v>0</v>
      </c>
      <c r="O589" s="17">
        <v>0</v>
      </c>
      <c r="P589" s="17">
        <v>0</v>
      </c>
      <c r="Q589" s="17">
        <v>0</v>
      </c>
      <c r="R589" s="17">
        <v>0.57079999999999997</v>
      </c>
      <c r="S589" s="17">
        <v>0</v>
      </c>
      <c r="T589" s="17">
        <v>0</v>
      </c>
      <c r="U589" s="17">
        <v>2.06</v>
      </c>
      <c r="V589" s="17">
        <v>0</v>
      </c>
      <c r="W589" s="17">
        <v>1.1000000000000001</v>
      </c>
      <c r="X589" s="17">
        <v>0</v>
      </c>
      <c r="Y589" s="17">
        <v>0</v>
      </c>
      <c r="Z589" s="17">
        <v>0</v>
      </c>
      <c r="AA589" s="17">
        <v>0</v>
      </c>
      <c r="AB589" s="17">
        <v>0</v>
      </c>
      <c r="AC589" s="17">
        <v>0</v>
      </c>
      <c r="AD589" s="17">
        <v>0</v>
      </c>
      <c r="AE589" s="17">
        <v>0</v>
      </c>
      <c r="AF589" s="17">
        <v>0</v>
      </c>
      <c r="AG589" s="17">
        <v>0</v>
      </c>
      <c r="AH589" s="17">
        <v>0</v>
      </c>
      <c r="AI589" s="17">
        <f t="shared" si="39"/>
        <v>7</v>
      </c>
      <c r="AJ589" s="17">
        <f t="shared" si="40"/>
        <v>6</v>
      </c>
      <c r="AK589" s="17">
        <f t="shared" si="41"/>
        <v>0</v>
      </c>
      <c r="AL589" s="17">
        <f t="shared" si="42"/>
        <v>0</v>
      </c>
      <c r="AM589" s="17">
        <f>VLOOKUP(AK589,Sheet1!$A$2:$B$25,2,FALSE)</f>
        <v>0</v>
      </c>
    </row>
    <row r="590" spans="1:39" s="17" customFormat="1" x14ac:dyDescent="0.25">
      <c r="A590" s="21">
        <v>44598.03125</v>
      </c>
      <c r="B590" s="17">
        <v>6.08</v>
      </c>
      <c r="C590" s="17">
        <v>2.04</v>
      </c>
      <c r="D590" s="17">
        <v>4.03</v>
      </c>
      <c r="E590" s="17">
        <v>0</v>
      </c>
      <c r="F590" s="17">
        <v>0</v>
      </c>
      <c r="G590" s="17">
        <v>0</v>
      </c>
      <c r="H590" s="17">
        <v>1.83</v>
      </c>
      <c r="I590" s="17">
        <v>0</v>
      </c>
      <c r="J590" s="17">
        <v>1.83</v>
      </c>
      <c r="K590" s="17">
        <v>0</v>
      </c>
      <c r="L590" s="17">
        <v>0</v>
      </c>
      <c r="M590" s="17">
        <v>0</v>
      </c>
      <c r="N590" s="17">
        <v>0</v>
      </c>
      <c r="O590" s="17">
        <v>0</v>
      </c>
      <c r="P590" s="17">
        <v>0</v>
      </c>
      <c r="Q590" s="17">
        <v>0</v>
      </c>
      <c r="R590" s="17">
        <v>0.44519999999999998</v>
      </c>
      <c r="S590" s="17">
        <v>0</v>
      </c>
      <c r="T590" s="17">
        <v>0</v>
      </c>
      <c r="U590" s="17">
        <v>2.04</v>
      </c>
      <c r="V590" s="17">
        <v>0</v>
      </c>
      <c r="W590" s="17">
        <v>1.0900000000000001</v>
      </c>
      <c r="X590" s="17">
        <v>0</v>
      </c>
      <c r="Y590" s="17">
        <v>0</v>
      </c>
      <c r="Z590" s="17">
        <v>0</v>
      </c>
      <c r="AA590" s="17">
        <v>0</v>
      </c>
      <c r="AB590" s="17">
        <v>0</v>
      </c>
      <c r="AC590" s="17">
        <v>0</v>
      </c>
      <c r="AD590" s="17">
        <v>0</v>
      </c>
      <c r="AE590" s="17">
        <v>0</v>
      </c>
      <c r="AF590" s="17">
        <v>0</v>
      </c>
      <c r="AG590" s="17">
        <v>0</v>
      </c>
      <c r="AH590" s="17">
        <v>0</v>
      </c>
      <c r="AI590" s="17">
        <f t="shared" si="39"/>
        <v>7</v>
      </c>
      <c r="AJ590" s="17">
        <f t="shared" si="40"/>
        <v>6</v>
      </c>
      <c r="AK590" s="17">
        <f t="shared" si="41"/>
        <v>0</v>
      </c>
      <c r="AL590" s="17">
        <f t="shared" si="42"/>
        <v>0</v>
      </c>
      <c r="AM590" s="17">
        <f>VLOOKUP(AK590,Sheet1!$A$2:$B$25,2,FALSE)</f>
        <v>0</v>
      </c>
    </row>
    <row r="591" spans="1:39" s="17" customFormat="1" x14ac:dyDescent="0.25">
      <c r="A591" s="21">
        <v>44598.041666666664</v>
      </c>
      <c r="B591" s="17">
        <v>4.5199999999999996</v>
      </c>
      <c r="C591" s="17">
        <v>0.4713</v>
      </c>
      <c r="D591" s="17">
        <v>4.05</v>
      </c>
      <c r="E591" s="17">
        <v>0</v>
      </c>
      <c r="F591" s="17">
        <v>0</v>
      </c>
      <c r="G591" s="17">
        <v>0</v>
      </c>
      <c r="H591" s="17">
        <v>1.81</v>
      </c>
      <c r="I591" s="17">
        <v>0</v>
      </c>
      <c r="J591" s="17">
        <v>1.83</v>
      </c>
      <c r="K591" s="17">
        <v>0</v>
      </c>
      <c r="L591" s="17">
        <v>0</v>
      </c>
      <c r="M591" s="17">
        <v>0</v>
      </c>
      <c r="N591" s="17">
        <v>0</v>
      </c>
      <c r="O591" s="17">
        <v>0</v>
      </c>
      <c r="P591" s="17">
        <v>0</v>
      </c>
      <c r="Q591" s="17">
        <v>0</v>
      </c>
      <c r="R591" s="17">
        <v>0.4476</v>
      </c>
      <c r="S591" s="17">
        <v>0</v>
      </c>
      <c r="T591" s="17">
        <v>0</v>
      </c>
      <c r="U591" s="17">
        <v>2.0499999999999998</v>
      </c>
      <c r="V591" s="17">
        <v>0</v>
      </c>
      <c r="W591" s="17">
        <v>1.0900000000000001</v>
      </c>
      <c r="X591" s="17">
        <v>0</v>
      </c>
      <c r="Y591" s="17">
        <v>0</v>
      </c>
      <c r="Z591" s="17">
        <v>0</v>
      </c>
      <c r="AA591" s="17">
        <v>0</v>
      </c>
      <c r="AB591" s="17">
        <v>0</v>
      </c>
      <c r="AC591" s="17">
        <v>0</v>
      </c>
      <c r="AD591" s="17">
        <v>0</v>
      </c>
      <c r="AE591" s="17">
        <v>0</v>
      </c>
      <c r="AF591" s="17">
        <v>0</v>
      </c>
      <c r="AG591" s="17">
        <v>0</v>
      </c>
      <c r="AH591" s="17">
        <v>0</v>
      </c>
      <c r="AI591" s="17">
        <f t="shared" si="39"/>
        <v>7</v>
      </c>
      <c r="AJ591" s="17">
        <f t="shared" si="40"/>
        <v>6</v>
      </c>
      <c r="AK591" s="17">
        <f t="shared" si="41"/>
        <v>1</v>
      </c>
      <c r="AL591" s="17">
        <f t="shared" si="42"/>
        <v>0</v>
      </c>
      <c r="AM591" s="17">
        <f>VLOOKUP(AK591,Sheet1!$A$2:$B$25,2,FALSE)</f>
        <v>0</v>
      </c>
    </row>
    <row r="592" spans="1:39" s="17" customFormat="1" x14ac:dyDescent="0.25">
      <c r="A592" s="21">
        <v>44598.052083333336</v>
      </c>
      <c r="B592" s="17">
        <v>5.43</v>
      </c>
      <c r="C592" s="17">
        <v>1.43</v>
      </c>
      <c r="D592" s="17">
        <v>4</v>
      </c>
      <c r="E592" s="17">
        <v>0</v>
      </c>
      <c r="F592" s="17">
        <v>0</v>
      </c>
      <c r="G592" s="17">
        <v>0</v>
      </c>
      <c r="H592" s="17">
        <v>1.88</v>
      </c>
      <c r="I592" s="17">
        <v>0</v>
      </c>
      <c r="J592" s="17">
        <v>1.9</v>
      </c>
      <c r="K592" s="17">
        <v>0</v>
      </c>
      <c r="L592" s="17">
        <v>0</v>
      </c>
      <c r="M592" s="17">
        <v>0</v>
      </c>
      <c r="N592" s="17">
        <v>0</v>
      </c>
      <c r="O592" s="17">
        <v>0</v>
      </c>
      <c r="P592" s="17">
        <v>0</v>
      </c>
      <c r="Q592" s="17">
        <v>0</v>
      </c>
      <c r="R592" s="17">
        <v>0.57630000000000003</v>
      </c>
      <c r="S592" s="17">
        <v>0</v>
      </c>
      <c r="T592" s="17">
        <v>0</v>
      </c>
      <c r="U592" s="17">
        <v>2.0299999999999998</v>
      </c>
      <c r="V592" s="17">
        <v>0</v>
      </c>
      <c r="W592" s="17">
        <v>1.08</v>
      </c>
      <c r="X592" s="17">
        <v>0</v>
      </c>
      <c r="Y592" s="17">
        <v>0</v>
      </c>
      <c r="Z592" s="17">
        <v>0</v>
      </c>
      <c r="AA592" s="17">
        <v>0</v>
      </c>
      <c r="AB592" s="17">
        <v>0</v>
      </c>
      <c r="AC592" s="17">
        <v>0</v>
      </c>
      <c r="AD592" s="17">
        <v>0</v>
      </c>
      <c r="AE592" s="17">
        <v>0</v>
      </c>
      <c r="AF592" s="17">
        <v>0</v>
      </c>
      <c r="AG592" s="17">
        <v>0</v>
      </c>
      <c r="AH592" s="17">
        <v>0</v>
      </c>
      <c r="AI592" s="17">
        <f t="shared" si="39"/>
        <v>7</v>
      </c>
      <c r="AJ592" s="17">
        <f t="shared" si="40"/>
        <v>6</v>
      </c>
      <c r="AK592" s="17">
        <f t="shared" si="41"/>
        <v>1</v>
      </c>
      <c r="AL592" s="17">
        <f t="shared" si="42"/>
        <v>0</v>
      </c>
      <c r="AM592" s="17">
        <f>VLOOKUP(AK592,Sheet1!$A$2:$B$25,2,FALSE)</f>
        <v>0</v>
      </c>
    </row>
    <row r="593" spans="1:39" s="17" customFormat="1" x14ac:dyDescent="0.25">
      <c r="A593" s="21">
        <v>44598.0625</v>
      </c>
      <c r="B593" s="17">
        <v>6.65</v>
      </c>
      <c r="C593" s="17">
        <v>2.61</v>
      </c>
      <c r="D593" s="17">
        <v>4.04</v>
      </c>
      <c r="E593" s="17">
        <v>0</v>
      </c>
      <c r="F593" s="17">
        <v>0</v>
      </c>
      <c r="G593" s="17">
        <v>0</v>
      </c>
      <c r="H593" s="17">
        <v>1.84</v>
      </c>
      <c r="I593" s="17">
        <v>0</v>
      </c>
      <c r="J593" s="17">
        <v>1.85</v>
      </c>
      <c r="K593" s="17">
        <v>0</v>
      </c>
      <c r="L593" s="17">
        <v>0</v>
      </c>
      <c r="M593" s="17">
        <v>0</v>
      </c>
      <c r="N593" s="17">
        <v>0</v>
      </c>
      <c r="O593" s="17">
        <v>0</v>
      </c>
      <c r="P593" s="17">
        <v>0</v>
      </c>
      <c r="Q593" s="17">
        <v>0</v>
      </c>
      <c r="R593" s="17">
        <v>0.45079999999999998</v>
      </c>
      <c r="S593" s="17">
        <v>0</v>
      </c>
      <c r="T593" s="17">
        <v>0</v>
      </c>
      <c r="U593" s="17">
        <v>2.0299999999999998</v>
      </c>
      <c r="V593" s="17">
        <v>0</v>
      </c>
      <c r="W593" s="17">
        <v>1.0900000000000001</v>
      </c>
      <c r="X593" s="17">
        <v>0</v>
      </c>
      <c r="Y593" s="17">
        <v>0</v>
      </c>
      <c r="Z593" s="17">
        <v>0</v>
      </c>
      <c r="AA593" s="17">
        <v>0</v>
      </c>
      <c r="AB593" s="17">
        <v>0</v>
      </c>
      <c r="AC593" s="17">
        <v>0</v>
      </c>
      <c r="AD593" s="17">
        <v>0</v>
      </c>
      <c r="AE593" s="17">
        <v>0</v>
      </c>
      <c r="AF593" s="17">
        <v>0</v>
      </c>
      <c r="AG593" s="17">
        <v>0</v>
      </c>
      <c r="AH593" s="17">
        <v>0</v>
      </c>
      <c r="AI593" s="17">
        <f t="shared" si="39"/>
        <v>7</v>
      </c>
      <c r="AJ593" s="17">
        <f t="shared" si="40"/>
        <v>6</v>
      </c>
      <c r="AK593" s="17">
        <f t="shared" si="41"/>
        <v>1</v>
      </c>
      <c r="AL593" s="17">
        <f t="shared" si="42"/>
        <v>0</v>
      </c>
      <c r="AM593" s="17">
        <f>VLOOKUP(AK593,Sheet1!$A$2:$B$25,2,FALSE)</f>
        <v>0</v>
      </c>
    </row>
    <row r="594" spans="1:39" s="17" customFormat="1" x14ac:dyDescent="0.25">
      <c r="A594" s="21">
        <v>44598.072916666664</v>
      </c>
      <c r="B594" s="17">
        <v>5.98</v>
      </c>
      <c r="C594" s="17">
        <v>1.89</v>
      </c>
      <c r="D594" s="17">
        <v>4.09</v>
      </c>
      <c r="E594" s="17">
        <v>0</v>
      </c>
      <c r="F594" s="17">
        <v>0</v>
      </c>
      <c r="G594" s="17">
        <v>0</v>
      </c>
      <c r="H594" s="17">
        <v>1.77</v>
      </c>
      <c r="I594" s="17">
        <v>0</v>
      </c>
      <c r="J594" s="17">
        <v>1.8</v>
      </c>
      <c r="K594" s="17">
        <v>0</v>
      </c>
      <c r="L594" s="17">
        <v>0</v>
      </c>
      <c r="M594" s="17">
        <v>0</v>
      </c>
      <c r="N594" s="17">
        <v>0</v>
      </c>
      <c r="O594" s="17">
        <v>0</v>
      </c>
      <c r="P594" s="17">
        <v>0</v>
      </c>
      <c r="Q594" s="17">
        <v>0</v>
      </c>
      <c r="R594" s="17">
        <v>0.30309999999999998</v>
      </c>
      <c r="S594" s="17">
        <v>0</v>
      </c>
      <c r="T594" s="17">
        <v>0</v>
      </c>
      <c r="U594" s="17">
        <v>2.02</v>
      </c>
      <c r="V594" s="17">
        <v>0</v>
      </c>
      <c r="W594" s="17">
        <v>1.07</v>
      </c>
      <c r="X594" s="17">
        <v>0</v>
      </c>
      <c r="Y594" s="17">
        <v>0</v>
      </c>
      <c r="Z594" s="17">
        <v>0</v>
      </c>
      <c r="AA594" s="17">
        <v>0</v>
      </c>
      <c r="AB594" s="17">
        <v>0</v>
      </c>
      <c r="AC594" s="17">
        <v>0</v>
      </c>
      <c r="AD594" s="17">
        <v>0</v>
      </c>
      <c r="AE594" s="17">
        <v>0</v>
      </c>
      <c r="AF594" s="17">
        <v>0</v>
      </c>
      <c r="AG594" s="17">
        <v>0</v>
      </c>
      <c r="AH594" s="17">
        <v>0</v>
      </c>
      <c r="AI594" s="17">
        <f t="shared" si="39"/>
        <v>7</v>
      </c>
      <c r="AJ594" s="17">
        <f t="shared" si="40"/>
        <v>6</v>
      </c>
      <c r="AK594" s="17">
        <f t="shared" si="41"/>
        <v>1</v>
      </c>
      <c r="AL594" s="17">
        <f t="shared" si="42"/>
        <v>0</v>
      </c>
      <c r="AM594" s="17">
        <f>VLOOKUP(AK594,Sheet1!$A$2:$B$25,2,FALSE)</f>
        <v>0</v>
      </c>
    </row>
    <row r="595" spans="1:39" s="17" customFormat="1" x14ac:dyDescent="0.25">
      <c r="A595" s="21">
        <v>44598.083333333336</v>
      </c>
      <c r="B595" s="17">
        <v>6.29</v>
      </c>
      <c r="C595" s="17">
        <v>2.09</v>
      </c>
      <c r="D595" s="17">
        <v>4.2</v>
      </c>
      <c r="E595" s="17">
        <v>0</v>
      </c>
      <c r="F595" s="17">
        <v>0</v>
      </c>
      <c r="G595" s="17">
        <v>0</v>
      </c>
      <c r="H595" s="17">
        <v>1.83</v>
      </c>
      <c r="I595" s="17">
        <v>0</v>
      </c>
      <c r="J595" s="17">
        <v>1.88</v>
      </c>
      <c r="K595" s="17">
        <v>0</v>
      </c>
      <c r="L595" s="17">
        <v>0</v>
      </c>
      <c r="M595" s="17">
        <v>0</v>
      </c>
      <c r="N595" s="17">
        <v>0</v>
      </c>
      <c r="O595" s="17">
        <v>0</v>
      </c>
      <c r="P595" s="17">
        <v>0</v>
      </c>
      <c r="Q595" s="17">
        <v>0</v>
      </c>
      <c r="R595" s="17">
        <v>0.3347</v>
      </c>
      <c r="S595" s="17">
        <v>0</v>
      </c>
      <c r="T595" s="17">
        <v>0</v>
      </c>
      <c r="U595" s="17">
        <v>2.04</v>
      </c>
      <c r="V595" s="17">
        <v>0</v>
      </c>
      <c r="W595" s="17">
        <v>1.08</v>
      </c>
      <c r="X595" s="17">
        <v>0</v>
      </c>
      <c r="Y595" s="17">
        <v>0</v>
      </c>
      <c r="Z595" s="17">
        <v>0</v>
      </c>
      <c r="AA595" s="17">
        <v>0</v>
      </c>
      <c r="AB595" s="17">
        <v>0</v>
      </c>
      <c r="AC595" s="17">
        <v>0</v>
      </c>
      <c r="AD595" s="17">
        <v>0</v>
      </c>
      <c r="AE595" s="17">
        <v>0</v>
      </c>
      <c r="AF595" s="17">
        <v>0</v>
      </c>
      <c r="AG595" s="17">
        <v>0</v>
      </c>
      <c r="AH595" s="17">
        <v>0</v>
      </c>
      <c r="AI595" s="17">
        <f t="shared" si="39"/>
        <v>7</v>
      </c>
      <c r="AJ595" s="17">
        <f t="shared" si="40"/>
        <v>6</v>
      </c>
      <c r="AK595" s="17">
        <f t="shared" si="41"/>
        <v>2</v>
      </c>
      <c r="AL595" s="17">
        <f t="shared" si="42"/>
        <v>0</v>
      </c>
      <c r="AM595" s="17">
        <f>VLOOKUP(AK595,Sheet1!$A$2:$B$25,2,FALSE)</f>
        <v>0</v>
      </c>
    </row>
    <row r="596" spans="1:39" s="17" customFormat="1" x14ac:dyDescent="0.25">
      <c r="A596" s="21">
        <v>44598.09375</v>
      </c>
      <c r="B596" s="17">
        <v>4.6100000000000003</v>
      </c>
      <c r="C596" s="17">
        <v>0.72389999999999999</v>
      </c>
      <c r="D596" s="17">
        <v>3.88</v>
      </c>
      <c r="E596" s="17">
        <v>0</v>
      </c>
      <c r="F596" s="17">
        <v>0</v>
      </c>
      <c r="G596" s="17">
        <v>0</v>
      </c>
      <c r="H596" s="17">
        <v>1.89</v>
      </c>
      <c r="I596" s="17">
        <v>0</v>
      </c>
      <c r="J596" s="17">
        <v>1.92</v>
      </c>
      <c r="K596" s="17">
        <v>0</v>
      </c>
      <c r="L596" s="17">
        <v>0</v>
      </c>
      <c r="M596" s="17">
        <v>0</v>
      </c>
      <c r="N596" s="17">
        <v>0</v>
      </c>
      <c r="O596" s="17">
        <v>0</v>
      </c>
      <c r="P596" s="17">
        <v>0</v>
      </c>
      <c r="Q596" s="17">
        <v>0</v>
      </c>
      <c r="R596" s="17">
        <v>0.2913</v>
      </c>
      <c r="S596" s="17">
        <v>0</v>
      </c>
      <c r="T596" s="17">
        <v>0</v>
      </c>
      <c r="U596" s="17">
        <v>2.04</v>
      </c>
      <c r="V596" s="17">
        <v>0</v>
      </c>
      <c r="W596" s="17">
        <v>1.0900000000000001</v>
      </c>
      <c r="X596" s="17">
        <v>0</v>
      </c>
      <c r="Y596" s="17">
        <v>0</v>
      </c>
      <c r="Z596" s="17">
        <v>0</v>
      </c>
      <c r="AA596" s="17">
        <v>0</v>
      </c>
      <c r="AB596" s="17">
        <v>0</v>
      </c>
      <c r="AC596" s="17">
        <v>0</v>
      </c>
      <c r="AD596" s="17">
        <v>0</v>
      </c>
      <c r="AE596" s="17">
        <v>0</v>
      </c>
      <c r="AF596" s="17">
        <v>0</v>
      </c>
      <c r="AG596" s="17">
        <v>0</v>
      </c>
      <c r="AH596" s="17">
        <v>0</v>
      </c>
      <c r="AI596" s="17">
        <f t="shared" si="39"/>
        <v>7</v>
      </c>
      <c r="AJ596" s="17">
        <f t="shared" si="40"/>
        <v>6</v>
      </c>
      <c r="AK596" s="17">
        <f t="shared" si="41"/>
        <v>2</v>
      </c>
      <c r="AL596" s="17">
        <f t="shared" si="42"/>
        <v>0</v>
      </c>
      <c r="AM596" s="17">
        <f>VLOOKUP(AK596,Sheet1!$A$2:$B$25,2,FALSE)</f>
        <v>0</v>
      </c>
    </row>
    <row r="597" spans="1:39" s="17" customFormat="1" x14ac:dyDescent="0.25">
      <c r="A597" s="21">
        <v>44598.104166666664</v>
      </c>
      <c r="B597" s="17">
        <v>6.27</v>
      </c>
      <c r="C597" s="17">
        <v>2.3199999999999998</v>
      </c>
      <c r="D597" s="17">
        <v>3.95</v>
      </c>
      <c r="E597" s="17">
        <v>0</v>
      </c>
      <c r="F597" s="17">
        <v>0</v>
      </c>
      <c r="G597" s="17">
        <v>0</v>
      </c>
      <c r="H597" s="17">
        <v>1.8</v>
      </c>
      <c r="I597" s="17">
        <v>0</v>
      </c>
      <c r="J597" s="17">
        <v>1.83</v>
      </c>
      <c r="K597" s="17">
        <v>0</v>
      </c>
      <c r="L597" s="17">
        <v>0</v>
      </c>
      <c r="M597" s="17">
        <v>0</v>
      </c>
      <c r="N597" s="17">
        <v>0</v>
      </c>
      <c r="O597" s="17">
        <v>0</v>
      </c>
      <c r="P597" s="17">
        <v>0</v>
      </c>
      <c r="Q597" s="17">
        <v>0</v>
      </c>
      <c r="R597" s="17">
        <v>0.68520000000000003</v>
      </c>
      <c r="S597" s="17">
        <v>0</v>
      </c>
      <c r="T597" s="17">
        <v>0</v>
      </c>
      <c r="U597" s="17">
        <v>2.02</v>
      </c>
      <c r="V597" s="17">
        <v>0</v>
      </c>
      <c r="W597" s="17">
        <v>1.08</v>
      </c>
      <c r="X597" s="17">
        <v>0</v>
      </c>
      <c r="Y597" s="17">
        <v>0</v>
      </c>
      <c r="Z597" s="17">
        <v>0</v>
      </c>
      <c r="AA597" s="17">
        <v>0</v>
      </c>
      <c r="AB597" s="17">
        <v>0</v>
      </c>
      <c r="AC597" s="17">
        <v>0</v>
      </c>
      <c r="AD597" s="17">
        <v>0</v>
      </c>
      <c r="AE597" s="17">
        <v>0</v>
      </c>
      <c r="AF597" s="17">
        <v>0</v>
      </c>
      <c r="AG597" s="17">
        <v>0</v>
      </c>
      <c r="AH597" s="17">
        <v>0</v>
      </c>
      <c r="AI597" s="17">
        <f t="shared" si="39"/>
        <v>7</v>
      </c>
      <c r="AJ597" s="17">
        <f t="shared" si="40"/>
        <v>6</v>
      </c>
      <c r="AK597" s="17">
        <f t="shared" si="41"/>
        <v>2</v>
      </c>
      <c r="AL597" s="17">
        <f t="shared" si="42"/>
        <v>0</v>
      </c>
      <c r="AM597" s="17">
        <f>VLOOKUP(AK597,Sheet1!$A$2:$B$25,2,FALSE)</f>
        <v>0</v>
      </c>
    </row>
    <row r="598" spans="1:39" s="17" customFormat="1" x14ac:dyDescent="0.25">
      <c r="A598" s="21">
        <v>44598.114583333336</v>
      </c>
      <c r="B598" s="17">
        <v>5.38</v>
      </c>
      <c r="C598" s="17">
        <v>1.36</v>
      </c>
      <c r="D598" s="17">
        <v>4.0199999999999996</v>
      </c>
      <c r="E598" s="17">
        <v>0</v>
      </c>
      <c r="F598" s="17">
        <v>0</v>
      </c>
      <c r="G598" s="17">
        <v>0</v>
      </c>
      <c r="H598" s="17">
        <v>1.81</v>
      </c>
      <c r="I598" s="17">
        <v>0</v>
      </c>
      <c r="J598" s="17">
        <v>1.82</v>
      </c>
      <c r="K598" s="17">
        <v>0</v>
      </c>
      <c r="L598" s="17">
        <v>0</v>
      </c>
      <c r="M598" s="17">
        <v>0</v>
      </c>
      <c r="N598" s="17">
        <v>0</v>
      </c>
      <c r="O598" s="17">
        <v>0</v>
      </c>
      <c r="P598" s="17">
        <v>0</v>
      </c>
      <c r="Q598" s="17">
        <v>0</v>
      </c>
      <c r="R598" s="17">
        <v>0.39240000000000003</v>
      </c>
      <c r="S598" s="17">
        <v>0</v>
      </c>
      <c r="T598" s="17">
        <v>0</v>
      </c>
      <c r="U598" s="17">
        <v>2.02</v>
      </c>
      <c r="V598" s="17">
        <v>0</v>
      </c>
      <c r="W598" s="17">
        <v>1.07</v>
      </c>
      <c r="X598" s="17">
        <v>0</v>
      </c>
      <c r="Y598" s="17">
        <v>0</v>
      </c>
      <c r="Z598" s="17">
        <v>0</v>
      </c>
      <c r="AA598" s="17">
        <v>0</v>
      </c>
      <c r="AB598" s="17">
        <v>0</v>
      </c>
      <c r="AC598" s="17">
        <v>0</v>
      </c>
      <c r="AD598" s="17">
        <v>0</v>
      </c>
      <c r="AE598" s="17">
        <v>0</v>
      </c>
      <c r="AF598" s="17">
        <v>0</v>
      </c>
      <c r="AG598" s="17">
        <v>0</v>
      </c>
      <c r="AH598" s="17">
        <v>0</v>
      </c>
      <c r="AI598" s="17">
        <f t="shared" si="39"/>
        <v>7</v>
      </c>
      <c r="AJ598" s="17">
        <f t="shared" si="40"/>
        <v>6</v>
      </c>
      <c r="AK598" s="17">
        <f t="shared" si="41"/>
        <v>2</v>
      </c>
      <c r="AL598" s="17">
        <f t="shared" si="42"/>
        <v>0</v>
      </c>
      <c r="AM598" s="17">
        <f>VLOOKUP(AK598,Sheet1!$A$2:$B$25,2,FALSE)</f>
        <v>0</v>
      </c>
    </row>
    <row r="599" spans="1:39" s="17" customFormat="1" x14ac:dyDescent="0.25">
      <c r="A599" s="21">
        <v>44598.125</v>
      </c>
      <c r="B599" s="17">
        <v>5.82</v>
      </c>
      <c r="C599" s="17">
        <v>1.86</v>
      </c>
      <c r="D599" s="17">
        <v>3.96</v>
      </c>
      <c r="E599" s="17">
        <v>0</v>
      </c>
      <c r="F599" s="17">
        <v>0</v>
      </c>
      <c r="G599" s="17">
        <v>0</v>
      </c>
      <c r="H599" s="17">
        <v>1.86</v>
      </c>
      <c r="I599" s="17">
        <v>0</v>
      </c>
      <c r="J599" s="17">
        <v>1.91</v>
      </c>
      <c r="K599" s="17">
        <v>0</v>
      </c>
      <c r="L599" s="17">
        <v>0</v>
      </c>
      <c r="M599" s="17">
        <v>0</v>
      </c>
      <c r="N599" s="17">
        <v>0</v>
      </c>
      <c r="O599" s="17">
        <v>0</v>
      </c>
      <c r="P599" s="17">
        <v>0</v>
      </c>
      <c r="Q599" s="17">
        <v>0</v>
      </c>
      <c r="R599" s="17">
        <v>0.49099999999999999</v>
      </c>
      <c r="S599" s="17">
        <v>0</v>
      </c>
      <c r="T599" s="17">
        <v>0</v>
      </c>
      <c r="U599" s="17">
        <v>2.04</v>
      </c>
      <c r="V599" s="17">
        <v>0</v>
      </c>
      <c r="W599" s="17">
        <v>1.0900000000000001</v>
      </c>
      <c r="X599" s="17">
        <v>0</v>
      </c>
      <c r="Y599" s="17">
        <v>0</v>
      </c>
      <c r="Z599" s="17">
        <v>0</v>
      </c>
      <c r="AA599" s="17">
        <v>0</v>
      </c>
      <c r="AB599" s="17">
        <v>0</v>
      </c>
      <c r="AC599" s="17">
        <v>0</v>
      </c>
      <c r="AD599" s="17">
        <v>0</v>
      </c>
      <c r="AE599" s="17">
        <v>0</v>
      </c>
      <c r="AF599" s="17">
        <v>0</v>
      </c>
      <c r="AG599" s="17">
        <v>0</v>
      </c>
      <c r="AH599" s="17">
        <v>0</v>
      </c>
      <c r="AI599" s="17">
        <f t="shared" si="39"/>
        <v>7</v>
      </c>
      <c r="AJ599" s="17">
        <f t="shared" si="40"/>
        <v>6</v>
      </c>
      <c r="AK599" s="17">
        <f t="shared" si="41"/>
        <v>3</v>
      </c>
      <c r="AL599" s="17">
        <f t="shared" si="42"/>
        <v>0</v>
      </c>
      <c r="AM599" s="17">
        <f>VLOOKUP(AK599,Sheet1!$A$2:$B$25,2,FALSE)</f>
        <v>0</v>
      </c>
    </row>
    <row r="600" spans="1:39" s="17" customFormat="1" x14ac:dyDescent="0.25">
      <c r="A600" s="21">
        <v>44598.135416666664</v>
      </c>
      <c r="B600" s="17">
        <v>5.91</v>
      </c>
      <c r="C600" s="17">
        <v>1.96</v>
      </c>
      <c r="D600" s="17">
        <v>3.95</v>
      </c>
      <c r="E600" s="17">
        <v>0</v>
      </c>
      <c r="F600" s="17">
        <v>0</v>
      </c>
      <c r="G600" s="17">
        <v>0</v>
      </c>
      <c r="H600" s="17">
        <v>1.8</v>
      </c>
      <c r="I600" s="17">
        <v>0</v>
      </c>
      <c r="J600" s="17">
        <v>1.86</v>
      </c>
      <c r="K600" s="17">
        <v>0</v>
      </c>
      <c r="L600" s="17">
        <v>0</v>
      </c>
      <c r="M600" s="17">
        <v>0</v>
      </c>
      <c r="N600" s="17">
        <v>0</v>
      </c>
      <c r="O600" s="17">
        <v>0</v>
      </c>
      <c r="P600" s="17">
        <v>0</v>
      </c>
      <c r="Q600" s="17">
        <v>0</v>
      </c>
      <c r="R600" s="17">
        <v>0.43890000000000001</v>
      </c>
      <c r="S600" s="17">
        <v>0</v>
      </c>
      <c r="T600" s="17">
        <v>0</v>
      </c>
      <c r="U600" s="17">
        <v>2.04</v>
      </c>
      <c r="V600" s="17">
        <v>0</v>
      </c>
      <c r="W600" s="17">
        <v>1.0900000000000001</v>
      </c>
      <c r="X600" s="17">
        <v>0</v>
      </c>
      <c r="Y600" s="17">
        <v>0</v>
      </c>
      <c r="Z600" s="17">
        <v>0</v>
      </c>
      <c r="AA600" s="17">
        <v>0</v>
      </c>
      <c r="AB600" s="17">
        <v>0</v>
      </c>
      <c r="AC600" s="17">
        <v>0</v>
      </c>
      <c r="AD600" s="17">
        <v>0</v>
      </c>
      <c r="AE600" s="17">
        <v>0</v>
      </c>
      <c r="AF600" s="17">
        <v>0</v>
      </c>
      <c r="AG600" s="17">
        <v>0</v>
      </c>
      <c r="AH600" s="17">
        <v>0</v>
      </c>
      <c r="AI600" s="17">
        <f t="shared" si="39"/>
        <v>7</v>
      </c>
      <c r="AJ600" s="17">
        <f t="shared" si="40"/>
        <v>6</v>
      </c>
      <c r="AK600" s="17">
        <f t="shared" si="41"/>
        <v>3</v>
      </c>
      <c r="AL600" s="17">
        <f t="shared" si="42"/>
        <v>0</v>
      </c>
      <c r="AM600" s="17">
        <f>VLOOKUP(AK600,Sheet1!$A$2:$B$25,2,FALSE)</f>
        <v>0</v>
      </c>
    </row>
    <row r="601" spans="1:39" s="17" customFormat="1" x14ac:dyDescent="0.25">
      <c r="A601" s="21">
        <v>44598.145833333336</v>
      </c>
      <c r="B601" s="17">
        <v>5.48</v>
      </c>
      <c r="C601" s="17">
        <v>1.43</v>
      </c>
      <c r="D601" s="17">
        <v>4.05</v>
      </c>
      <c r="E601" s="17">
        <v>0</v>
      </c>
      <c r="F601" s="17">
        <v>0</v>
      </c>
      <c r="G601" s="17">
        <v>0</v>
      </c>
      <c r="H601" s="17">
        <v>1.8</v>
      </c>
      <c r="I601" s="17">
        <v>0</v>
      </c>
      <c r="J601" s="17">
        <v>1.82</v>
      </c>
      <c r="K601" s="17">
        <v>0</v>
      </c>
      <c r="L601" s="17">
        <v>0</v>
      </c>
      <c r="M601" s="17">
        <v>0</v>
      </c>
      <c r="N601" s="17">
        <v>0</v>
      </c>
      <c r="O601" s="17">
        <v>0</v>
      </c>
      <c r="P601" s="17">
        <v>0</v>
      </c>
      <c r="Q601" s="17">
        <v>0</v>
      </c>
      <c r="R601" s="17">
        <v>0.64339999999999997</v>
      </c>
      <c r="S601" s="17">
        <v>0</v>
      </c>
      <c r="T601" s="17">
        <v>0</v>
      </c>
      <c r="U601" s="17">
        <v>2.0299999999999998</v>
      </c>
      <c r="V601" s="17">
        <v>0</v>
      </c>
      <c r="W601" s="17">
        <v>1.08</v>
      </c>
      <c r="X601" s="17">
        <v>0</v>
      </c>
      <c r="Y601" s="17">
        <v>0</v>
      </c>
      <c r="Z601" s="17">
        <v>0</v>
      </c>
      <c r="AA601" s="17">
        <v>0</v>
      </c>
      <c r="AB601" s="17">
        <v>0</v>
      </c>
      <c r="AC601" s="17">
        <v>0</v>
      </c>
      <c r="AD601" s="17">
        <v>0</v>
      </c>
      <c r="AE601" s="17">
        <v>0</v>
      </c>
      <c r="AF601" s="17">
        <v>0</v>
      </c>
      <c r="AG601" s="17">
        <v>0</v>
      </c>
      <c r="AH601" s="17">
        <v>0</v>
      </c>
      <c r="AI601" s="17">
        <f t="shared" si="39"/>
        <v>7</v>
      </c>
      <c r="AJ601" s="17">
        <f t="shared" si="40"/>
        <v>6</v>
      </c>
      <c r="AK601" s="17">
        <f t="shared" si="41"/>
        <v>3</v>
      </c>
      <c r="AL601" s="17">
        <f t="shared" si="42"/>
        <v>0</v>
      </c>
      <c r="AM601" s="17">
        <f>VLOOKUP(AK601,Sheet1!$A$2:$B$25,2,FALSE)</f>
        <v>0</v>
      </c>
    </row>
    <row r="602" spans="1:39" s="17" customFormat="1" x14ac:dyDescent="0.25">
      <c r="A602" s="21">
        <v>44598.15625</v>
      </c>
      <c r="B602" s="17">
        <v>6.82</v>
      </c>
      <c r="C602" s="17">
        <v>2.9</v>
      </c>
      <c r="D602" s="17">
        <v>3.91</v>
      </c>
      <c r="E602" s="17">
        <v>0</v>
      </c>
      <c r="F602" s="17">
        <v>0</v>
      </c>
      <c r="G602" s="17">
        <v>0</v>
      </c>
      <c r="H602" s="17">
        <v>1.81</v>
      </c>
      <c r="I602" s="17">
        <v>0</v>
      </c>
      <c r="J602" s="17">
        <v>1.82</v>
      </c>
      <c r="K602" s="17">
        <v>0</v>
      </c>
      <c r="L602" s="17">
        <v>0</v>
      </c>
      <c r="M602" s="17">
        <v>0</v>
      </c>
      <c r="N602" s="17">
        <v>0</v>
      </c>
      <c r="O602" s="17">
        <v>0</v>
      </c>
      <c r="P602" s="17">
        <v>0</v>
      </c>
      <c r="Q602" s="17">
        <v>0</v>
      </c>
      <c r="R602" s="17">
        <v>0.42549999999999999</v>
      </c>
      <c r="S602" s="17">
        <v>0</v>
      </c>
      <c r="T602" s="17">
        <v>0</v>
      </c>
      <c r="U602" s="17">
        <v>2.02</v>
      </c>
      <c r="V602" s="17">
        <v>0</v>
      </c>
      <c r="W602" s="17">
        <v>1.07</v>
      </c>
      <c r="X602" s="17">
        <v>0</v>
      </c>
      <c r="Y602" s="17">
        <v>0</v>
      </c>
      <c r="Z602" s="17">
        <v>0</v>
      </c>
      <c r="AA602" s="17">
        <v>0</v>
      </c>
      <c r="AB602" s="17">
        <v>0</v>
      </c>
      <c r="AC602" s="17">
        <v>0</v>
      </c>
      <c r="AD602" s="17">
        <v>0</v>
      </c>
      <c r="AE602" s="17">
        <v>0</v>
      </c>
      <c r="AF602" s="17">
        <v>0</v>
      </c>
      <c r="AG602" s="17">
        <v>0</v>
      </c>
      <c r="AH602" s="17">
        <v>0</v>
      </c>
      <c r="AI602" s="17">
        <f t="shared" si="39"/>
        <v>7</v>
      </c>
      <c r="AJ602" s="17">
        <f t="shared" si="40"/>
        <v>6</v>
      </c>
      <c r="AK602" s="17">
        <f t="shared" si="41"/>
        <v>3</v>
      </c>
      <c r="AL602" s="17">
        <f t="shared" si="42"/>
        <v>0</v>
      </c>
      <c r="AM602" s="17">
        <f>VLOOKUP(AK602,Sheet1!$A$2:$B$25,2,FALSE)</f>
        <v>0</v>
      </c>
    </row>
    <row r="603" spans="1:39" s="17" customFormat="1" x14ac:dyDescent="0.25">
      <c r="A603" s="21">
        <v>44598.166666666664</v>
      </c>
      <c r="B603" s="17">
        <v>6.14</v>
      </c>
      <c r="C603" s="17">
        <v>2.0699999999999998</v>
      </c>
      <c r="D603" s="17">
        <v>4.07</v>
      </c>
      <c r="E603" s="17">
        <v>0</v>
      </c>
      <c r="F603" s="17">
        <v>0</v>
      </c>
      <c r="G603" s="17">
        <v>0</v>
      </c>
      <c r="H603" s="17">
        <v>1.76</v>
      </c>
      <c r="I603" s="17">
        <v>0</v>
      </c>
      <c r="J603" s="17">
        <v>1.78</v>
      </c>
      <c r="K603" s="17">
        <v>0</v>
      </c>
      <c r="L603" s="17">
        <v>0</v>
      </c>
      <c r="M603" s="17">
        <v>0</v>
      </c>
      <c r="N603" s="17">
        <v>0</v>
      </c>
      <c r="O603" s="17">
        <v>0</v>
      </c>
      <c r="P603" s="17">
        <v>0</v>
      </c>
      <c r="Q603" s="17">
        <v>0</v>
      </c>
      <c r="R603" s="17">
        <v>0.39389999999999997</v>
      </c>
      <c r="S603" s="17">
        <v>0</v>
      </c>
      <c r="T603" s="17">
        <v>0</v>
      </c>
      <c r="U603" s="17">
        <v>2.0299999999999998</v>
      </c>
      <c r="V603" s="17">
        <v>0</v>
      </c>
      <c r="W603" s="17">
        <v>1.07</v>
      </c>
      <c r="X603" s="17">
        <v>0</v>
      </c>
      <c r="Y603" s="17">
        <v>0</v>
      </c>
      <c r="Z603" s="17">
        <v>0</v>
      </c>
      <c r="AA603" s="17">
        <v>0</v>
      </c>
      <c r="AB603" s="17">
        <v>0</v>
      </c>
      <c r="AC603" s="17">
        <v>0</v>
      </c>
      <c r="AD603" s="17">
        <v>0</v>
      </c>
      <c r="AE603" s="17">
        <v>0</v>
      </c>
      <c r="AF603" s="17">
        <v>0</v>
      </c>
      <c r="AG603" s="17">
        <v>0</v>
      </c>
      <c r="AH603" s="17">
        <v>0</v>
      </c>
      <c r="AI603" s="17">
        <f t="shared" si="39"/>
        <v>7</v>
      </c>
      <c r="AJ603" s="17">
        <f t="shared" si="40"/>
        <v>6</v>
      </c>
      <c r="AK603" s="17">
        <f t="shared" si="41"/>
        <v>4</v>
      </c>
      <c r="AL603" s="17">
        <f t="shared" si="42"/>
        <v>0</v>
      </c>
      <c r="AM603" s="17">
        <f>VLOOKUP(AK603,Sheet1!$A$2:$B$25,2,FALSE)</f>
        <v>1</v>
      </c>
    </row>
    <row r="604" spans="1:39" s="17" customFormat="1" x14ac:dyDescent="0.25">
      <c r="A604" s="21">
        <v>44598.177083333336</v>
      </c>
      <c r="B604" s="17">
        <v>6.21</v>
      </c>
      <c r="C604" s="17">
        <v>2.15</v>
      </c>
      <c r="D604" s="17">
        <v>4.07</v>
      </c>
      <c r="E604" s="17">
        <v>0</v>
      </c>
      <c r="F604" s="17">
        <v>0</v>
      </c>
      <c r="G604" s="17">
        <v>0</v>
      </c>
      <c r="H604" s="17">
        <v>1.87</v>
      </c>
      <c r="I604" s="17">
        <v>0</v>
      </c>
      <c r="J604" s="17">
        <v>1.79</v>
      </c>
      <c r="K604" s="17">
        <v>0</v>
      </c>
      <c r="L604" s="17">
        <v>0</v>
      </c>
      <c r="M604" s="17">
        <v>0</v>
      </c>
      <c r="N604" s="17">
        <v>0</v>
      </c>
      <c r="O604" s="17">
        <v>0</v>
      </c>
      <c r="P604" s="17">
        <v>0</v>
      </c>
      <c r="Q604" s="17">
        <v>0</v>
      </c>
      <c r="R604" s="17">
        <v>0.34499999999999997</v>
      </c>
      <c r="S604" s="17">
        <v>0</v>
      </c>
      <c r="T604" s="17">
        <v>0</v>
      </c>
      <c r="U604" s="17">
        <v>2.04</v>
      </c>
      <c r="V604" s="17">
        <v>0</v>
      </c>
      <c r="W604" s="17">
        <v>1.0900000000000001</v>
      </c>
      <c r="X604" s="17">
        <v>0</v>
      </c>
      <c r="Y604" s="17">
        <v>0</v>
      </c>
      <c r="Z604" s="17">
        <v>0</v>
      </c>
      <c r="AA604" s="17">
        <v>0</v>
      </c>
      <c r="AB604" s="17">
        <v>0</v>
      </c>
      <c r="AC604" s="17">
        <v>0</v>
      </c>
      <c r="AD604" s="17">
        <v>0</v>
      </c>
      <c r="AE604" s="17">
        <v>0</v>
      </c>
      <c r="AF604" s="17">
        <v>0</v>
      </c>
      <c r="AG604" s="17">
        <v>0</v>
      </c>
      <c r="AH604" s="17">
        <v>0</v>
      </c>
      <c r="AI604" s="17">
        <f t="shared" si="39"/>
        <v>7</v>
      </c>
      <c r="AJ604" s="17">
        <f t="shared" si="40"/>
        <v>6</v>
      </c>
      <c r="AK604" s="17">
        <f t="shared" si="41"/>
        <v>4</v>
      </c>
      <c r="AL604" s="17">
        <f t="shared" si="42"/>
        <v>0</v>
      </c>
      <c r="AM604" s="17">
        <f>VLOOKUP(AK604,Sheet1!$A$2:$B$25,2,FALSE)</f>
        <v>1</v>
      </c>
    </row>
    <row r="605" spans="1:39" s="17" customFormat="1" x14ac:dyDescent="0.25">
      <c r="A605" s="21">
        <v>44598.1875</v>
      </c>
      <c r="B605" s="17">
        <v>5.46</v>
      </c>
      <c r="C605" s="17">
        <v>1.18</v>
      </c>
      <c r="D605" s="17">
        <v>4.28</v>
      </c>
      <c r="E605" s="17">
        <v>0</v>
      </c>
      <c r="F605" s="17">
        <v>0</v>
      </c>
      <c r="G605" s="17">
        <v>0</v>
      </c>
      <c r="H605" s="17">
        <v>1.85</v>
      </c>
      <c r="I605" s="17">
        <v>0</v>
      </c>
      <c r="J605" s="17">
        <v>1.82</v>
      </c>
      <c r="K605" s="17">
        <v>0</v>
      </c>
      <c r="L605" s="17">
        <v>0</v>
      </c>
      <c r="M605" s="17">
        <v>0</v>
      </c>
      <c r="N605" s="17">
        <v>0</v>
      </c>
      <c r="O605" s="17">
        <v>0</v>
      </c>
      <c r="P605" s="17">
        <v>0</v>
      </c>
      <c r="Q605" s="17">
        <v>0</v>
      </c>
      <c r="R605" s="17">
        <v>0.49340000000000001</v>
      </c>
      <c r="S605" s="17">
        <v>0</v>
      </c>
      <c r="T605" s="17">
        <v>0</v>
      </c>
      <c r="U605" s="17">
        <v>2.0499999999999998</v>
      </c>
      <c r="V605" s="17">
        <v>0</v>
      </c>
      <c r="W605" s="17">
        <v>1.1100000000000001</v>
      </c>
      <c r="X605" s="17">
        <v>0</v>
      </c>
      <c r="Y605" s="17">
        <v>0</v>
      </c>
      <c r="Z605" s="17">
        <v>0</v>
      </c>
      <c r="AA605" s="17">
        <v>0</v>
      </c>
      <c r="AB605" s="17">
        <v>0</v>
      </c>
      <c r="AC605" s="17">
        <v>0</v>
      </c>
      <c r="AD605" s="17">
        <v>0</v>
      </c>
      <c r="AE605" s="17">
        <v>0</v>
      </c>
      <c r="AF605" s="17">
        <v>0</v>
      </c>
      <c r="AG605" s="17">
        <v>0</v>
      </c>
      <c r="AH605" s="17">
        <v>0</v>
      </c>
      <c r="AI605" s="17">
        <f t="shared" si="39"/>
        <v>7</v>
      </c>
      <c r="AJ605" s="17">
        <f t="shared" si="40"/>
        <v>6</v>
      </c>
      <c r="AK605" s="17">
        <f t="shared" si="41"/>
        <v>4</v>
      </c>
      <c r="AL605" s="17">
        <f t="shared" si="42"/>
        <v>0</v>
      </c>
      <c r="AM605" s="17">
        <f>VLOOKUP(AK605,Sheet1!$A$2:$B$25,2,FALSE)</f>
        <v>1</v>
      </c>
    </row>
    <row r="606" spans="1:39" s="17" customFormat="1" x14ac:dyDescent="0.25">
      <c r="A606" s="21">
        <v>44598.197916666664</v>
      </c>
      <c r="B606" s="17">
        <v>6.49</v>
      </c>
      <c r="C606" s="17">
        <v>2.2799999999999998</v>
      </c>
      <c r="D606" s="17">
        <v>4.21</v>
      </c>
      <c r="E606" s="17">
        <v>0</v>
      </c>
      <c r="F606" s="17">
        <v>0</v>
      </c>
      <c r="G606" s="17">
        <v>0</v>
      </c>
      <c r="H606" s="17">
        <v>1.8</v>
      </c>
      <c r="I606" s="17">
        <v>0</v>
      </c>
      <c r="J606" s="17">
        <v>1.78</v>
      </c>
      <c r="K606" s="17">
        <v>0</v>
      </c>
      <c r="L606" s="17">
        <v>0</v>
      </c>
      <c r="M606" s="17">
        <v>0</v>
      </c>
      <c r="N606" s="17">
        <v>0</v>
      </c>
      <c r="O606" s="17">
        <v>0</v>
      </c>
      <c r="P606" s="17">
        <v>0</v>
      </c>
      <c r="Q606" s="17">
        <v>0</v>
      </c>
      <c r="R606" s="17">
        <v>0.29680000000000001</v>
      </c>
      <c r="S606" s="17">
        <v>0</v>
      </c>
      <c r="T606" s="17">
        <v>0</v>
      </c>
      <c r="U606" s="17">
        <v>2.0499999999999998</v>
      </c>
      <c r="V606" s="17">
        <v>0</v>
      </c>
      <c r="W606" s="17">
        <v>1.0900000000000001</v>
      </c>
      <c r="X606" s="17">
        <v>0</v>
      </c>
      <c r="Y606" s="17">
        <v>0</v>
      </c>
      <c r="Z606" s="17">
        <v>0</v>
      </c>
      <c r="AA606" s="17">
        <v>0</v>
      </c>
      <c r="AB606" s="17">
        <v>0</v>
      </c>
      <c r="AC606" s="17">
        <v>0</v>
      </c>
      <c r="AD606" s="17">
        <v>0</v>
      </c>
      <c r="AE606" s="17">
        <v>0</v>
      </c>
      <c r="AF606" s="17">
        <v>0</v>
      </c>
      <c r="AG606" s="17">
        <v>0</v>
      </c>
      <c r="AH606" s="17">
        <v>0</v>
      </c>
      <c r="AI606" s="17">
        <f t="shared" si="39"/>
        <v>7</v>
      </c>
      <c r="AJ606" s="17">
        <f t="shared" si="40"/>
        <v>6</v>
      </c>
      <c r="AK606" s="17">
        <f t="shared" si="41"/>
        <v>4</v>
      </c>
      <c r="AL606" s="17">
        <f t="shared" si="42"/>
        <v>0</v>
      </c>
      <c r="AM606" s="17">
        <f>VLOOKUP(AK606,Sheet1!$A$2:$B$25,2,FALSE)</f>
        <v>1</v>
      </c>
    </row>
    <row r="607" spans="1:39" s="17" customFormat="1" x14ac:dyDescent="0.25">
      <c r="A607" s="21">
        <v>44598.208333333336</v>
      </c>
      <c r="B607" s="17">
        <v>6.77</v>
      </c>
      <c r="C607" s="17">
        <v>2.59</v>
      </c>
      <c r="D607" s="17">
        <v>4.18</v>
      </c>
      <c r="E607" s="17">
        <v>0</v>
      </c>
      <c r="F607" s="17">
        <v>0</v>
      </c>
      <c r="G607" s="17">
        <v>0</v>
      </c>
      <c r="H607" s="17">
        <v>1.86</v>
      </c>
      <c r="I607" s="17">
        <v>0</v>
      </c>
      <c r="J607" s="17">
        <v>1.83</v>
      </c>
      <c r="K607" s="17">
        <v>0</v>
      </c>
      <c r="L607" s="17">
        <v>0</v>
      </c>
      <c r="M607" s="17">
        <v>0</v>
      </c>
      <c r="N607" s="17">
        <v>0</v>
      </c>
      <c r="O607" s="17">
        <v>0</v>
      </c>
      <c r="P607" s="17">
        <v>0</v>
      </c>
      <c r="Q607" s="17">
        <v>0</v>
      </c>
      <c r="R607" s="17">
        <v>0.19500000000000001</v>
      </c>
      <c r="S607" s="17">
        <v>0</v>
      </c>
      <c r="T607" s="17">
        <v>0</v>
      </c>
      <c r="U607" s="17">
        <v>2.08</v>
      </c>
      <c r="V607" s="17">
        <v>0</v>
      </c>
      <c r="W607" s="17">
        <v>1.1200000000000001</v>
      </c>
      <c r="X607" s="17">
        <v>0</v>
      </c>
      <c r="Y607" s="17">
        <v>0</v>
      </c>
      <c r="Z607" s="17">
        <v>0</v>
      </c>
      <c r="AA607" s="17">
        <v>0</v>
      </c>
      <c r="AB607" s="17">
        <v>0</v>
      </c>
      <c r="AC607" s="17">
        <v>0</v>
      </c>
      <c r="AD607" s="17">
        <v>0</v>
      </c>
      <c r="AE607" s="17">
        <v>0</v>
      </c>
      <c r="AF607" s="17">
        <v>0</v>
      </c>
      <c r="AG607" s="17">
        <v>0</v>
      </c>
      <c r="AH607" s="17">
        <v>0</v>
      </c>
      <c r="AI607" s="17">
        <f t="shared" si="39"/>
        <v>7</v>
      </c>
      <c r="AJ607" s="17">
        <f t="shared" si="40"/>
        <v>6</v>
      </c>
      <c r="AK607" s="17">
        <f t="shared" si="41"/>
        <v>5</v>
      </c>
      <c r="AL607" s="17">
        <f t="shared" si="42"/>
        <v>0</v>
      </c>
      <c r="AM607" s="17">
        <f>VLOOKUP(AK607,Sheet1!$A$2:$B$25,2,FALSE)</f>
        <v>1</v>
      </c>
    </row>
    <row r="608" spans="1:39" s="17" customFormat="1" x14ac:dyDescent="0.25">
      <c r="A608" s="21">
        <v>44598.21875</v>
      </c>
      <c r="B608" s="17">
        <v>5.47</v>
      </c>
      <c r="C608" s="17">
        <v>1.38</v>
      </c>
      <c r="D608" s="17">
        <v>4.0999999999999996</v>
      </c>
      <c r="E608" s="17">
        <v>0</v>
      </c>
      <c r="F608" s="17">
        <v>0</v>
      </c>
      <c r="G608" s="17">
        <v>0</v>
      </c>
      <c r="H608" s="17">
        <v>1.88</v>
      </c>
      <c r="I608" s="17">
        <v>0</v>
      </c>
      <c r="J608" s="17">
        <v>1.86</v>
      </c>
      <c r="K608" s="17">
        <v>0</v>
      </c>
      <c r="L608" s="17">
        <v>0</v>
      </c>
      <c r="M608" s="17">
        <v>0</v>
      </c>
      <c r="N608" s="17">
        <v>0</v>
      </c>
      <c r="O608" s="17">
        <v>0</v>
      </c>
      <c r="P608" s="17">
        <v>0</v>
      </c>
      <c r="Q608" s="17">
        <v>0</v>
      </c>
      <c r="R608" s="17">
        <v>0.24629999999999999</v>
      </c>
      <c r="S608" s="17">
        <v>0</v>
      </c>
      <c r="T608" s="17">
        <v>0</v>
      </c>
      <c r="U608" s="17">
        <v>2.0499999999999998</v>
      </c>
      <c r="V608" s="17">
        <v>0</v>
      </c>
      <c r="W608" s="17">
        <v>1.1000000000000001</v>
      </c>
      <c r="X608" s="17">
        <v>0</v>
      </c>
      <c r="Y608" s="17">
        <v>0</v>
      </c>
      <c r="Z608" s="17">
        <v>0</v>
      </c>
      <c r="AA608" s="17">
        <v>0</v>
      </c>
      <c r="AB608" s="17">
        <v>0</v>
      </c>
      <c r="AC608" s="17">
        <v>0</v>
      </c>
      <c r="AD608" s="17">
        <v>0</v>
      </c>
      <c r="AE608" s="17">
        <v>0</v>
      </c>
      <c r="AF608" s="17">
        <v>0</v>
      </c>
      <c r="AG608" s="17">
        <v>0</v>
      </c>
      <c r="AH608" s="17">
        <v>0</v>
      </c>
      <c r="AI608" s="17">
        <f t="shared" si="39"/>
        <v>7</v>
      </c>
      <c r="AJ608" s="17">
        <f t="shared" si="40"/>
        <v>6</v>
      </c>
      <c r="AK608" s="17">
        <f t="shared" si="41"/>
        <v>5</v>
      </c>
      <c r="AL608" s="17">
        <f t="shared" si="42"/>
        <v>0</v>
      </c>
      <c r="AM608" s="17">
        <f>VLOOKUP(AK608,Sheet1!$A$2:$B$25,2,FALSE)</f>
        <v>1</v>
      </c>
    </row>
    <row r="609" spans="1:39" s="17" customFormat="1" x14ac:dyDescent="0.25">
      <c r="A609" s="21">
        <v>44598.229166666664</v>
      </c>
      <c r="B609" s="17">
        <v>5.71</v>
      </c>
      <c r="C609" s="17">
        <v>1.61</v>
      </c>
      <c r="D609" s="17">
        <v>4.1100000000000003</v>
      </c>
      <c r="E609" s="17">
        <v>0</v>
      </c>
      <c r="F609" s="17">
        <v>0</v>
      </c>
      <c r="G609" s="17">
        <v>0</v>
      </c>
      <c r="H609" s="17">
        <v>1.83</v>
      </c>
      <c r="I609" s="17">
        <v>0</v>
      </c>
      <c r="J609" s="17">
        <v>1.9</v>
      </c>
      <c r="K609" s="17">
        <v>0</v>
      </c>
      <c r="L609" s="17">
        <v>0</v>
      </c>
      <c r="M609" s="17">
        <v>0</v>
      </c>
      <c r="N609" s="17">
        <v>0</v>
      </c>
      <c r="O609" s="17">
        <v>0</v>
      </c>
      <c r="P609" s="17">
        <v>0</v>
      </c>
      <c r="Q609" s="17">
        <v>0</v>
      </c>
      <c r="R609" s="17">
        <v>0.61260000000000003</v>
      </c>
      <c r="S609" s="17">
        <v>0</v>
      </c>
      <c r="T609" s="17">
        <v>0</v>
      </c>
      <c r="U609" s="17">
        <v>2.06</v>
      </c>
      <c r="V609" s="17">
        <v>0</v>
      </c>
      <c r="W609" s="17">
        <v>1.1000000000000001</v>
      </c>
      <c r="X609" s="17">
        <v>0</v>
      </c>
      <c r="Y609" s="17">
        <v>0</v>
      </c>
      <c r="Z609" s="17">
        <v>0</v>
      </c>
      <c r="AA609" s="17">
        <v>0</v>
      </c>
      <c r="AB609" s="17">
        <v>0</v>
      </c>
      <c r="AC609" s="17">
        <v>0</v>
      </c>
      <c r="AD609" s="17">
        <v>0</v>
      </c>
      <c r="AE609" s="17">
        <v>0</v>
      </c>
      <c r="AF609" s="17">
        <v>0</v>
      </c>
      <c r="AG609" s="17">
        <v>0</v>
      </c>
      <c r="AH609" s="17">
        <v>0</v>
      </c>
      <c r="AI609" s="17">
        <f t="shared" si="39"/>
        <v>7</v>
      </c>
      <c r="AJ609" s="17">
        <f t="shared" si="40"/>
        <v>6</v>
      </c>
      <c r="AK609" s="17">
        <f t="shared" si="41"/>
        <v>5</v>
      </c>
      <c r="AL609" s="17">
        <f t="shared" si="42"/>
        <v>0</v>
      </c>
      <c r="AM609" s="17">
        <f>VLOOKUP(AK609,Sheet1!$A$2:$B$25,2,FALSE)</f>
        <v>1</v>
      </c>
    </row>
    <row r="610" spans="1:39" s="17" customFormat="1" x14ac:dyDescent="0.25">
      <c r="A610" s="21">
        <v>44598.239583333336</v>
      </c>
      <c r="B610" s="17">
        <v>6.2</v>
      </c>
      <c r="C610" s="17">
        <v>2.14</v>
      </c>
      <c r="D610" s="17">
        <v>4.0599999999999996</v>
      </c>
      <c r="E610" s="17">
        <v>0</v>
      </c>
      <c r="F610" s="17">
        <v>0</v>
      </c>
      <c r="G610" s="17">
        <v>0</v>
      </c>
      <c r="H610" s="17">
        <v>1.76</v>
      </c>
      <c r="I610" s="17">
        <v>0</v>
      </c>
      <c r="J610" s="17">
        <v>1.81</v>
      </c>
      <c r="K610" s="17">
        <v>0</v>
      </c>
      <c r="L610" s="17">
        <v>0</v>
      </c>
      <c r="M610" s="17">
        <v>0</v>
      </c>
      <c r="N610" s="17">
        <v>0</v>
      </c>
      <c r="O610" s="17">
        <v>0</v>
      </c>
      <c r="P610" s="17">
        <v>0</v>
      </c>
      <c r="Q610" s="17">
        <v>0</v>
      </c>
      <c r="R610" s="17">
        <v>0.33789999999999998</v>
      </c>
      <c r="S610" s="17">
        <v>0</v>
      </c>
      <c r="T610" s="17">
        <v>0</v>
      </c>
      <c r="U610" s="17">
        <v>2.06</v>
      </c>
      <c r="V610" s="17">
        <v>0</v>
      </c>
      <c r="W610" s="17">
        <v>1.1000000000000001</v>
      </c>
      <c r="X610" s="17">
        <v>0</v>
      </c>
      <c r="Y610" s="17">
        <v>0</v>
      </c>
      <c r="Z610" s="17">
        <v>0</v>
      </c>
      <c r="AA610" s="17">
        <v>0</v>
      </c>
      <c r="AB610" s="17">
        <v>0</v>
      </c>
      <c r="AC610" s="17">
        <v>0</v>
      </c>
      <c r="AD610" s="17">
        <v>0</v>
      </c>
      <c r="AE610" s="17">
        <v>0</v>
      </c>
      <c r="AF610" s="17">
        <v>0</v>
      </c>
      <c r="AG610" s="17">
        <v>0</v>
      </c>
      <c r="AH610" s="17">
        <v>0</v>
      </c>
      <c r="AI610" s="17">
        <f t="shared" si="39"/>
        <v>7</v>
      </c>
      <c r="AJ610" s="17">
        <f t="shared" si="40"/>
        <v>6</v>
      </c>
      <c r="AK610" s="17">
        <f t="shared" si="41"/>
        <v>5</v>
      </c>
      <c r="AL610" s="17">
        <f t="shared" si="42"/>
        <v>0</v>
      </c>
      <c r="AM610" s="17">
        <f>VLOOKUP(AK610,Sheet1!$A$2:$B$25,2,FALSE)</f>
        <v>1</v>
      </c>
    </row>
    <row r="611" spans="1:39" s="17" customFormat="1" x14ac:dyDescent="0.25">
      <c r="A611" s="21">
        <v>44598.25</v>
      </c>
      <c r="B611" s="17">
        <v>6.21</v>
      </c>
      <c r="C611" s="17">
        <v>2.13</v>
      </c>
      <c r="D611" s="17">
        <v>4.08</v>
      </c>
      <c r="E611" s="17">
        <v>0</v>
      </c>
      <c r="F611" s="17">
        <v>0</v>
      </c>
      <c r="G611" s="17">
        <v>0</v>
      </c>
      <c r="H611" s="17">
        <v>1.85</v>
      </c>
      <c r="I611" s="17">
        <v>0</v>
      </c>
      <c r="J611" s="17">
        <v>1.91</v>
      </c>
      <c r="K611" s="17">
        <v>0</v>
      </c>
      <c r="L611" s="17">
        <v>0</v>
      </c>
      <c r="M611" s="17">
        <v>0</v>
      </c>
      <c r="N611" s="17">
        <v>0</v>
      </c>
      <c r="O611" s="17">
        <v>0</v>
      </c>
      <c r="P611" s="17">
        <v>0</v>
      </c>
      <c r="Q611" s="17">
        <v>0</v>
      </c>
      <c r="R611" s="17">
        <v>0.39</v>
      </c>
      <c r="S611" s="17">
        <v>0</v>
      </c>
      <c r="T611" s="17">
        <v>0</v>
      </c>
      <c r="U611" s="17">
        <v>2.0499999999999998</v>
      </c>
      <c r="V611" s="17">
        <v>0</v>
      </c>
      <c r="W611" s="17">
        <v>1.1100000000000001</v>
      </c>
      <c r="X611" s="17">
        <v>0</v>
      </c>
      <c r="Y611" s="17">
        <v>0</v>
      </c>
      <c r="Z611" s="17">
        <v>0</v>
      </c>
      <c r="AA611" s="17">
        <v>0</v>
      </c>
      <c r="AB611" s="17">
        <v>0</v>
      </c>
      <c r="AC611" s="17">
        <v>0</v>
      </c>
      <c r="AD611" s="17">
        <v>0</v>
      </c>
      <c r="AE611" s="17">
        <v>0</v>
      </c>
      <c r="AF611" s="17">
        <v>0</v>
      </c>
      <c r="AG611" s="17">
        <v>0</v>
      </c>
      <c r="AH611" s="17">
        <v>0</v>
      </c>
      <c r="AI611" s="17">
        <f t="shared" si="39"/>
        <v>7</v>
      </c>
      <c r="AJ611" s="17">
        <f t="shared" si="40"/>
        <v>6</v>
      </c>
      <c r="AK611" s="17">
        <f t="shared" si="41"/>
        <v>6</v>
      </c>
      <c r="AL611" s="17">
        <f t="shared" si="42"/>
        <v>0</v>
      </c>
      <c r="AM611" s="17">
        <f>VLOOKUP(AK611,Sheet1!$A$2:$B$25,2,FALSE)</f>
        <v>1</v>
      </c>
    </row>
    <row r="612" spans="1:39" s="17" customFormat="1" x14ac:dyDescent="0.25">
      <c r="A612" s="21">
        <v>44598.260416666664</v>
      </c>
      <c r="B612" s="17">
        <v>5.89</v>
      </c>
      <c r="C612" s="17">
        <v>1.65</v>
      </c>
      <c r="D612" s="17">
        <v>4.24</v>
      </c>
      <c r="E612" s="17">
        <v>0</v>
      </c>
      <c r="F612" s="17">
        <v>0</v>
      </c>
      <c r="G612" s="17">
        <v>0</v>
      </c>
      <c r="H612" s="17">
        <v>1.77</v>
      </c>
      <c r="I612" s="17">
        <v>0</v>
      </c>
      <c r="J612" s="17">
        <v>1.83</v>
      </c>
      <c r="K612" s="17">
        <v>0</v>
      </c>
      <c r="L612" s="17">
        <v>0</v>
      </c>
      <c r="M612" s="17">
        <v>0</v>
      </c>
      <c r="N612" s="17">
        <v>0</v>
      </c>
      <c r="O612" s="17">
        <v>0</v>
      </c>
      <c r="P612" s="17">
        <v>0</v>
      </c>
      <c r="Q612" s="17">
        <v>0</v>
      </c>
      <c r="R612" s="17">
        <v>0.43259999999999998</v>
      </c>
      <c r="S612" s="17">
        <v>0</v>
      </c>
      <c r="T612" s="17">
        <v>0</v>
      </c>
      <c r="U612" s="17">
        <v>2.09</v>
      </c>
      <c r="V612" s="17">
        <v>0</v>
      </c>
      <c r="W612" s="17">
        <v>1.1299999999999999</v>
      </c>
      <c r="X612" s="17">
        <v>0</v>
      </c>
      <c r="Y612" s="17">
        <v>0</v>
      </c>
      <c r="Z612" s="17">
        <v>0</v>
      </c>
      <c r="AA612" s="17">
        <v>0</v>
      </c>
      <c r="AB612" s="17">
        <v>0</v>
      </c>
      <c r="AC612" s="17">
        <v>0</v>
      </c>
      <c r="AD612" s="17">
        <v>0</v>
      </c>
      <c r="AE612" s="17">
        <v>0</v>
      </c>
      <c r="AF612" s="17">
        <v>0</v>
      </c>
      <c r="AG612" s="17">
        <v>0</v>
      </c>
      <c r="AH612" s="17">
        <v>0</v>
      </c>
      <c r="AI612" s="17">
        <f t="shared" si="39"/>
        <v>7</v>
      </c>
      <c r="AJ612" s="17">
        <f t="shared" si="40"/>
        <v>6</v>
      </c>
      <c r="AK612" s="17">
        <f t="shared" si="41"/>
        <v>6</v>
      </c>
      <c r="AL612" s="17">
        <f t="shared" si="42"/>
        <v>0</v>
      </c>
      <c r="AM612" s="17">
        <f>VLOOKUP(AK612,Sheet1!$A$2:$B$25,2,FALSE)</f>
        <v>1</v>
      </c>
    </row>
    <row r="613" spans="1:39" s="17" customFormat="1" x14ac:dyDescent="0.25">
      <c r="A613" s="21">
        <v>44598.270833333336</v>
      </c>
      <c r="B613" s="17">
        <v>5.61</v>
      </c>
      <c r="C613" s="17">
        <v>1.5</v>
      </c>
      <c r="D613" s="17">
        <v>4.0999999999999996</v>
      </c>
      <c r="E613" s="17">
        <v>0</v>
      </c>
      <c r="F613" s="17">
        <v>0</v>
      </c>
      <c r="G613" s="17">
        <v>0</v>
      </c>
      <c r="H613" s="17">
        <v>1.9</v>
      </c>
      <c r="I613" s="17">
        <v>0</v>
      </c>
      <c r="J613" s="17">
        <v>2.0299999999999998</v>
      </c>
      <c r="K613" s="17">
        <v>0</v>
      </c>
      <c r="L613" s="17">
        <v>0</v>
      </c>
      <c r="M613" s="17">
        <v>0</v>
      </c>
      <c r="N613" s="17">
        <v>0</v>
      </c>
      <c r="O613" s="17">
        <v>0</v>
      </c>
      <c r="P613" s="17">
        <v>0</v>
      </c>
      <c r="Q613" s="17">
        <v>0</v>
      </c>
      <c r="R613" s="17">
        <v>0.43890000000000001</v>
      </c>
      <c r="S613" s="17">
        <v>0</v>
      </c>
      <c r="T613" s="17">
        <v>0</v>
      </c>
      <c r="U613" s="17">
        <v>2.1</v>
      </c>
      <c r="V613" s="17">
        <v>0</v>
      </c>
      <c r="W613" s="17">
        <v>1.1399999999999999</v>
      </c>
      <c r="X613" s="17">
        <v>0</v>
      </c>
      <c r="Y613" s="17">
        <v>0</v>
      </c>
      <c r="Z613" s="17">
        <v>0</v>
      </c>
      <c r="AA613" s="17">
        <v>0</v>
      </c>
      <c r="AB613" s="17">
        <v>0</v>
      </c>
      <c r="AC613" s="17">
        <v>0</v>
      </c>
      <c r="AD613" s="17">
        <v>0</v>
      </c>
      <c r="AE613" s="17">
        <v>0</v>
      </c>
      <c r="AF613" s="17">
        <v>0</v>
      </c>
      <c r="AG613" s="17">
        <v>0</v>
      </c>
      <c r="AH613" s="17">
        <v>0</v>
      </c>
      <c r="AI613" s="17">
        <f t="shared" si="39"/>
        <v>7</v>
      </c>
      <c r="AJ613" s="17">
        <f t="shared" si="40"/>
        <v>6</v>
      </c>
      <c r="AK613" s="17">
        <f t="shared" si="41"/>
        <v>6</v>
      </c>
      <c r="AL613" s="17">
        <f t="shared" si="42"/>
        <v>0</v>
      </c>
      <c r="AM613" s="17">
        <f>VLOOKUP(AK613,Sheet1!$A$2:$B$25,2,FALSE)</f>
        <v>1</v>
      </c>
    </row>
    <row r="614" spans="1:39" s="17" customFormat="1" x14ac:dyDescent="0.25">
      <c r="A614" s="21">
        <v>44598.28125</v>
      </c>
      <c r="B614" s="17">
        <v>5.49</v>
      </c>
      <c r="C614" s="17">
        <v>1.41</v>
      </c>
      <c r="D614" s="17">
        <v>4.08</v>
      </c>
      <c r="E614" s="17">
        <v>0</v>
      </c>
      <c r="F614" s="17">
        <v>0</v>
      </c>
      <c r="G614" s="17">
        <v>0</v>
      </c>
      <c r="H614" s="17">
        <v>1.87</v>
      </c>
      <c r="I614" s="17">
        <v>0</v>
      </c>
      <c r="J614" s="17">
        <v>1.93</v>
      </c>
      <c r="K614" s="17">
        <v>0</v>
      </c>
      <c r="L614" s="17">
        <v>0</v>
      </c>
      <c r="M614" s="17">
        <v>0</v>
      </c>
      <c r="N614" s="17">
        <v>0</v>
      </c>
      <c r="O614" s="17">
        <v>0</v>
      </c>
      <c r="P614" s="17">
        <v>0</v>
      </c>
      <c r="Q614" s="17">
        <v>0</v>
      </c>
      <c r="R614" s="17">
        <v>0.4476</v>
      </c>
      <c r="S614" s="17">
        <v>0</v>
      </c>
      <c r="T614" s="17">
        <v>0</v>
      </c>
      <c r="U614" s="17">
        <v>2.09</v>
      </c>
      <c r="V614" s="17">
        <v>0</v>
      </c>
      <c r="W614" s="17">
        <v>1.1399999999999999</v>
      </c>
      <c r="X614" s="17">
        <v>0</v>
      </c>
      <c r="Y614" s="17">
        <v>0</v>
      </c>
      <c r="Z614" s="17">
        <v>0</v>
      </c>
      <c r="AA614" s="17">
        <v>0</v>
      </c>
      <c r="AB614" s="17">
        <v>0</v>
      </c>
      <c r="AC614" s="17">
        <v>0</v>
      </c>
      <c r="AD614" s="17">
        <v>0</v>
      </c>
      <c r="AE614" s="17">
        <v>0</v>
      </c>
      <c r="AF614" s="17">
        <v>0</v>
      </c>
      <c r="AG614" s="17">
        <v>0</v>
      </c>
      <c r="AH614" s="17">
        <v>0</v>
      </c>
      <c r="AI614" s="17">
        <f t="shared" si="39"/>
        <v>7</v>
      </c>
      <c r="AJ614" s="17">
        <f t="shared" si="40"/>
        <v>6</v>
      </c>
      <c r="AK614" s="17">
        <f t="shared" si="41"/>
        <v>6</v>
      </c>
      <c r="AL614" s="17">
        <f t="shared" si="42"/>
        <v>0</v>
      </c>
      <c r="AM614" s="17">
        <f>VLOOKUP(AK614,Sheet1!$A$2:$B$25,2,FALSE)</f>
        <v>1</v>
      </c>
    </row>
    <row r="615" spans="1:39" s="17" customFormat="1" x14ac:dyDescent="0.25">
      <c r="A615" s="21">
        <v>44598.291666666664</v>
      </c>
      <c r="B615" s="17">
        <v>5.88</v>
      </c>
      <c r="C615" s="17">
        <v>1.75</v>
      </c>
      <c r="D615" s="17">
        <v>4.13</v>
      </c>
      <c r="E615" s="17">
        <v>0</v>
      </c>
      <c r="F615" s="17">
        <v>0</v>
      </c>
      <c r="G615" s="17">
        <v>0</v>
      </c>
      <c r="H615" s="17">
        <v>1.87</v>
      </c>
      <c r="I615" s="17">
        <v>0</v>
      </c>
      <c r="J615" s="17">
        <v>1.45</v>
      </c>
      <c r="K615" s="17">
        <v>0</v>
      </c>
      <c r="L615" s="17">
        <v>0</v>
      </c>
      <c r="M615" s="17">
        <v>0</v>
      </c>
      <c r="N615" s="17">
        <v>0</v>
      </c>
      <c r="O615" s="17">
        <v>0</v>
      </c>
      <c r="P615" s="17">
        <v>0</v>
      </c>
      <c r="Q615" s="17">
        <v>0</v>
      </c>
      <c r="R615" s="17">
        <v>0.49419999999999997</v>
      </c>
      <c r="S615" s="17">
        <v>0</v>
      </c>
      <c r="T615" s="17">
        <v>0</v>
      </c>
      <c r="U615" s="17">
        <v>2.12</v>
      </c>
      <c r="V615" s="17">
        <v>0</v>
      </c>
      <c r="W615" s="17">
        <v>1.1599999999999999</v>
      </c>
      <c r="X615" s="17">
        <v>0</v>
      </c>
      <c r="Y615" s="17">
        <v>0</v>
      </c>
      <c r="Z615" s="17">
        <v>0</v>
      </c>
      <c r="AA615" s="17">
        <v>0</v>
      </c>
      <c r="AB615" s="17">
        <v>0</v>
      </c>
      <c r="AC615" s="17">
        <v>0</v>
      </c>
      <c r="AD615" s="17">
        <v>0</v>
      </c>
      <c r="AE615" s="17">
        <v>0</v>
      </c>
      <c r="AF615" s="17">
        <v>0</v>
      </c>
      <c r="AG615" s="17">
        <v>0</v>
      </c>
      <c r="AH615" s="17">
        <v>0</v>
      </c>
      <c r="AI615" s="17">
        <f t="shared" si="39"/>
        <v>7</v>
      </c>
      <c r="AJ615" s="17">
        <f t="shared" si="40"/>
        <v>6</v>
      </c>
      <c r="AK615" s="17">
        <f t="shared" si="41"/>
        <v>7</v>
      </c>
      <c r="AL615" s="17">
        <f t="shared" si="42"/>
        <v>0</v>
      </c>
      <c r="AM615" s="17">
        <f>VLOOKUP(AK615,Sheet1!$A$2:$B$25,2,FALSE)</f>
        <v>1</v>
      </c>
    </row>
    <row r="616" spans="1:39" s="17" customFormat="1" x14ac:dyDescent="0.25">
      <c r="A616" s="21">
        <v>44598.302083333336</v>
      </c>
      <c r="B616" s="17">
        <v>5.46</v>
      </c>
      <c r="C616" s="17">
        <v>1.25</v>
      </c>
      <c r="D616" s="17">
        <v>4.22</v>
      </c>
      <c r="E616" s="17">
        <v>0</v>
      </c>
      <c r="F616" s="17">
        <v>0</v>
      </c>
      <c r="G616" s="17">
        <v>0</v>
      </c>
      <c r="H616" s="17">
        <v>1.91</v>
      </c>
      <c r="I616" s="17">
        <v>0</v>
      </c>
      <c r="J616" s="17">
        <v>1.82</v>
      </c>
      <c r="K616" s="17">
        <v>0</v>
      </c>
      <c r="L616" s="17">
        <v>0</v>
      </c>
      <c r="M616" s="17">
        <v>0</v>
      </c>
      <c r="N616" s="17">
        <v>0</v>
      </c>
      <c r="O616" s="17">
        <v>0</v>
      </c>
      <c r="P616" s="17">
        <v>0</v>
      </c>
      <c r="Q616" s="17">
        <v>0</v>
      </c>
      <c r="R616" s="17">
        <v>0.53520000000000001</v>
      </c>
      <c r="S616" s="17">
        <v>0</v>
      </c>
      <c r="T616" s="17">
        <v>0</v>
      </c>
      <c r="U616" s="17">
        <v>2.13</v>
      </c>
      <c r="V616" s="17">
        <v>0</v>
      </c>
      <c r="W616" s="17">
        <v>1.17</v>
      </c>
      <c r="X616" s="17">
        <v>0</v>
      </c>
      <c r="Y616" s="17">
        <v>0</v>
      </c>
      <c r="Z616" s="17">
        <v>0</v>
      </c>
      <c r="AA616" s="17">
        <v>0</v>
      </c>
      <c r="AB616" s="17">
        <v>0</v>
      </c>
      <c r="AC616" s="17">
        <v>0</v>
      </c>
      <c r="AD616" s="17">
        <v>0</v>
      </c>
      <c r="AE616" s="17">
        <v>0</v>
      </c>
      <c r="AF616" s="17">
        <v>0</v>
      </c>
      <c r="AG616" s="17">
        <v>0</v>
      </c>
      <c r="AH616" s="17">
        <v>0</v>
      </c>
      <c r="AI616" s="17">
        <f t="shared" si="39"/>
        <v>7</v>
      </c>
      <c r="AJ616" s="17">
        <f t="shared" si="40"/>
        <v>6</v>
      </c>
      <c r="AK616" s="17">
        <f t="shared" si="41"/>
        <v>7</v>
      </c>
      <c r="AL616" s="17">
        <f t="shared" si="42"/>
        <v>0</v>
      </c>
      <c r="AM616" s="17">
        <f>VLOOKUP(AK616,Sheet1!$A$2:$B$25,2,FALSE)</f>
        <v>1</v>
      </c>
    </row>
    <row r="617" spans="1:39" s="17" customFormat="1" x14ac:dyDescent="0.25">
      <c r="A617" s="21">
        <v>44598.3125</v>
      </c>
      <c r="B617" s="17">
        <v>5.83</v>
      </c>
      <c r="C617" s="17">
        <v>1.62</v>
      </c>
      <c r="D617" s="17">
        <v>4.21</v>
      </c>
      <c r="E617" s="17">
        <v>0</v>
      </c>
      <c r="F617" s="17">
        <v>0</v>
      </c>
      <c r="G617" s="17">
        <v>0</v>
      </c>
      <c r="H617" s="17">
        <v>1.74</v>
      </c>
      <c r="I617" s="17">
        <v>0</v>
      </c>
      <c r="J617" s="17">
        <v>1.74</v>
      </c>
      <c r="K617" s="17">
        <v>0</v>
      </c>
      <c r="L617" s="17">
        <v>0</v>
      </c>
      <c r="M617" s="17">
        <v>0</v>
      </c>
      <c r="N617" s="17">
        <v>0</v>
      </c>
      <c r="O617" s="17">
        <v>0</v>
      </c>
      <c r="P617" s="17">
        <v>0</v>
      </c>
      <c r="Q617" s="17">
        <v>0</v>
      </c>
      <c r="R617" s="17">
        <v>0.45079999999999998</v>
      </c>
      <c r="S617" s="17">
        <v>0</v>
      </c>
      <c r="T617" s="17">
        <v>0</v>
      </c>
      <c r="U617" s="17">
        <v>2.11</v>
      </c>
      <c r="V617" s="17">
        <v>0</v>
      </c>
      <c r="W617" s="17">
        <v>1.1499999999999999</v>
      </c>
      <c r="X617" s="17">
        <v>0</v>
      </c>
      <c r="Y617" s="17">
        <v>0</v>
      </c>
      <c r="Z617" s="17">
        <v>0</v>
      </c>
      <c r="AA617" s="17">
        <v>0</v>
      </c>
      <c r="AB617" s="17">
        <v>0</v>
      </c>
      <c r="AC617" s="17">
        <v>0</v>
      </c>
      <c r="AD617" s="17">
        <v>0</v>
      </c>
      <c r="AE617" s="17">
        <v>0</v>
      </c>
      <c r="AF617" s="17">
        <v>0</v>
      </c>
      <c r="AG617" s="17">
        <v>0</v>
      </c>
      <c r="AH617" s="17">
        <v>0</v>
      </c>
      <c r="AI617" s="17">
        <f t="shared" si="39"/>
        <v>7</v>
      </c>
      <c r="AJ617" s="17">
        <f t="shared" si="40"/>
        <v>6</v>
      </c>
      <c r="AK617" s="17">
        <f t="shared" si="41"/>
        <v>7</v>
      </c>
      <c r="AL617" s="17">
        <f t="shared" si="42"/>
        <v>0</v>
      </c>
      <c r="AM617" s="17">
        <f>VLOOKUP(AK617,Sheet1!$A$2:$B$25,2,FALSE)</f>
        <v>1</v>
      </c>
    </row>
    <row r="618" spans="1:39" s="17" customFormat="1" x14ac:dyDescent="0.25">
      <c r="A618" s="21">
        <v>44598.322916666664</v>
      </c>
      <c r="B618" s="17">
        <v>7.07</v>
      </c>
      <c r="C618" s="17">
        <v>2.77</v>
      </c>
      <c r="D618" s="17">
        <v>4.3</v>
      </c>
      <c r="E618" s="17">
        <v>0</v>
      </c>
      <c r="F618" s="17">
        <v>0</v>
      </c>
      <c r="G618" s="17">
        <v>0</v>
      </c>
      <c r="H618" s="17">
        <v>1.86</v>
      </c>
      <c r="I618" s="17">
        <v>0</v>
      </c>
      <c r="J618" s="17">
        <v>1.81</v>
      </c>
      <c r="K618" s="17">
        <v>0</v>
      </c>
      <c r="L618" s="17">
        <v>0</v>
      </c>
      <c r="M618" s="17">
        <v>0</v>
      </c>
      <c r="N618" s="17">
        <v>0</v>
      </c>
      <c r="O618" s="17">
        <v>0</v>
      </c>
      <c r="P618" s="17">
        <v>0</v>
      </c>
      <c r="Q618" s="17">
        <v>0</v>
      </c>
      <c r="R618" s="17">
        <v>0.24390000000000001</v>
      </c>
      <c r="S618" s="17">
        <v>0</v>
      </c>
      <c r="T618" s="17">
        <v>0</v>
      </c>
      <c r="U618" s="17">
        <v>2.14</v>
      </c>
      <c r="V618" s="17">
        <v>0</v>
      </c>
      <c r="W618" s="17">
        <v>1.17</v>
      </c>
      <c r="X618" s="17">
        <v>0</v>
      </c>
      <c r="Y618" s="17">
        <v>0</v>
      </c>
      <c r="Z618" s="17">
        <v>0</v>
      </c>
      <c r="AA618" s="17">
        <v>0</v>
      </c>
      <c r="AB618" s="17">
        <v>0</v>
      </c>
      <c r="AC618" s="17">
        <v>0</v>
      </c>
      <c r="AD618" s="17">
        <v>0</v>
      </c>
      <c r="AE618" s="17">
        <v>0</v>
      </c>
      <c r="AF618" s="17">
        <v>0</v>
      </c>
      <c r="AG618" s="17">
        <v>0</v>
      </c>
      <c r="AH618" s="17">
        <v>0</v>
      </c>
      <c r="AI618" s="17">
        <f t="shared" si="39"/>
        <v>7</v>
      </c>
      <c r="AJ618" s="17">
        <f t="shared" si="40"/>
        <v>6</v>
      </c>
      <c r="AK618" s="17">
        <f t="shared" si="41"/>
        <v>7</v>
      </c>
      <c r="AL618" s="17">
        <f t="shared" si="42"/>
        <v>0</v>
      </c>
      <c r="AM618" s="17">
        <f>VLOOKUP(AK618,Sheet1!$A$2:$B$25,2,FALSE)</f>
        <v>1</v>
      </c>
    </row>
    <row r="619" spans="1:39" s="17" customFormat="1" x14ac:dyDescent="0.25">
      <c r="A619" s="21">
        <v>44598.333333333336</v>
      </c>
      <c r="B619" s="17">
        <v>6.36</v>
      </c>
      <c r="C619" s="17">
        <v>2.16</v>
      </c>
      <c r="D619" s="17">
        <v>4.2</v>
      </c>
      <c r="E619" s="17">
        <v>0</v>
      </c>
      <c r="F619" s="17">
        <v>0</v>
      </c>
      <c r="G619" s="17">
        <v>0</v>
      </c>
      <c r="H619" s="17">
        <v>1.74</v>
      </c>
      <c r="I619" s="17">
        <v>0</v>
      </c>
      <c r="J619" s="17">
        <v>1.68</v>
      </c>
      <c r="K619" s="17">
        <v>0</v>
      </c>
      <c r="L619" s="17">
        <v>0</v>
      </c>
      <c r="M619" s="17">
        <v>0</v>
      </c>
      <c r="N619" s="17">
        <v>0</v>
      </c>
      <c r="O619" s="17">
        <v>0</v>
      </c>
      <c r="P619" s="17">
        <v>0</v>
      </c>
      <c r="Q619" s="17">
        <v>0</v>
      </c>
      <c r="R619" s="17">
        <v>0.4224</v>
      </c>
      <c r="S619" s="17">
        <v>0</v>
      </c>
      <c r="T619" s="17">
        <v>0</v>
      </c>
      <c r="U619" s="17">
        <v>2.16</v>
      </c>
      <c r="V619" s="17">
        <v>0</v>
      </c>
      <c r="W619" s="17">
        <v>1.19</v>
      </c>
      <c r="X619" s="17">
        <v>0</v>
      </c>
      <c r="Y619" s="17">
        <v>0</v>
      </c>
      <c r="Z619" s="17">
        <v>0</v>
      </c>
      <c r="AA619" s="17">
        <v>0</v>
      </c>
      <c r="AB619" s="17">
        <v>0</v>
      </c>
      <c r="AC619" s="17">
        <v>0</v>
      </c>
      <c r="AD619" s="17">
        <v>0</v>
      </c>
      <c r="AE619" s="17">
        <v>0</v>
      </c>
      <c r="AF619" s="17">
        <v>0</v>
      </c>
      <c r="AG619" s="17">
        <v>0</v>
      </c>
      <c r="AH619" s="17">
        <v>0</v>
      </c>
      <c r="AI619" s="17">
        <f t="shared" si="39"/>
        <v>7</v>
      </c>
      <c r="AJ619" s="17">
        <f t="shared" si="40"/>
        <v>6</v>
      </c>
      <c r="AK619" s="17">
        <f t="shared" si="41"/>
        <v>8</v>
      </c>
      <c r="AL619" s="17">
        <f t="shared" si="42"/>
        <v>0</v>
      </c>
      <c r="AM619" s="17">
        <f>VLOOKUP(AK619,Sheet1!$A$2:$B$25,2,FALSE)</f>
        <v>1</v>
      </c>
    </row>
    <row r="620" spans="1:39" s="17" customFormat="1" x14ac:dyDescent="0.25">
      <c r="A620" s="21">
        <v>44598.34375</v>
      </c>
      <c r="B620" s="17">
        <v>6.36</v>
      </c>
      <c r="C620" s="17">
        <v>2.08</v>
      </c>
      <c r="D620" s="17">
        <v>4.29</v>
      </c>
      <c r="E620" s="17">
        <v>0</v>
      </c>
      <c r="F620" s="17">
        <v>0</v>
      </c>
      <c r="G620" s="17">
        <v>0</v>
      </c>
      <c r="H620" s="17">
        <v>1.88</v>
      </c>
      <c r="I620" s="17">
        <v>0</v>
      </c>
      <c r="J620" s="17">
        <v>1.87</v>
      </c>
      <c r="K620" s="17">
        <v>0</v>
      </c>
      <c r="L620" s="17">
        <v>0</v>
      </c>
      <c r="M620" s="17">
        <v>0</v>
      </c>
      <c r="N620" s="17">
        <v>0</v>
      </c>
      <c r="O620" s="17">
        <v>0</v>
      </c>
      <c r="P620" s="17">
        <v>0</v>
      </c>
      <c r="Q620" s="17">
        <v>0</v>
      </c>
      <c r="R620" s="17">
        <v>0.29449999999999998</v>
      </c>
      <c r="S620" s="17">
        <v>0</v>
      </c>
      <c r="T620" s="17">
        <v>0</v>
      </c>
      <c r="U620" s="17">
        <v>2.15</v>
      </c>
      <c r="V620" s="17">
        <v>0</v>
      </c>
      <c r="W620" s="17">
        <v>1.19</v>
      </c>
      <c r="X620" s="17">
        <v>0</v>
      </c>
      <c r="Y620" s="17">
        <v>0</v>
      </c>
      <c r="Z620" s="17">
        <v>0</v>
      </c>
      <c r="AA620" s="17">
        <v>0</v>
      </c>
      <c r="AB620" s="17">
        <v>0</v>
      </c>
      <c r="AC620" s="17">
        <v>0</v>
      </c>
      <c r="AD620" s="17">
        <v>0</v>
      </c>
      <c r="AE620" s="17">
        <v>0</v>
      </c>
      <c r="AF620" s="17">
        <v>0</v>
      </c>
      <c r="AG620" s="17">
        <v>0</v>
      </c>
      <c r="AH620" s="17">
        <v>0</v>
      </c>
      <c r="AI620" s="17">
        <f t="shared" si="39"/>
        <v>7</v>
      </c>
      <c r="AJ620" s="17">
        <f t="shared" si="40"/>
        <v>6</v>
      </c>
      <c r="AK620" s="17">
        <f t="shared" si="41"/>
        <v>8</v>
      </c>
      <c r="AL620" s="17">
        <f t="shared" si="42"/>
        <v>0</v>
      </c>
      <c r="AM620" s="17">
        <f>VLOOKUP(AK620,Sheet1!$A$2:$B$25,2,FALSE)</f>
        <v>1</v>
      </c>
    </row>
    <row r="621" spans="1:39" s="17" customFormat="1" x14ac:dyDescent="0.25">
      <c r="A621" s="21">
        <v>44598.354166666664</v>
      </c>
      <c r="B621" s="17">
        <v>6.63</v>
      </c>
      <c r="C621" s="17">
        <v>2.4</v>
      </c>
      <c r="D621" s="17">
        <v>4.2300000000000004</v>
      </c>
      <c r="E621" s="17">
        <v>0</v>
      </c>
      <c r="F621" s="17">
        <v>0</v>
      </c>
      <c r="G621" s="17">
        <v>0</v>
      </c>
      <c r="H621" s="17">
        <v>1.74</v>
      </c>
      <c r="I621" s="17">
        <v>0</v>
      </c>
      <c r="J621" s="17">
        <v>1.67</v>
      </c>
      <c r="K621" s="17">
        <v>0</v>
      </c>
      <c r="L621" s="17">
        <v>0</v>
      </c>
      <c r="M621" s="17">
        <v>0</v>
      </c>
      <c r="N621" s="17">
        <v>0</v>
      </c>
      <c r="O621" s="17">
        <v>0</v>
      </c>
      <c r="P621" s="17">
        <v>0</v>
      </c>
      <c r="Q621" s="17">
        <v>0</v>
      </c>
      <c r="R621" s="17">
        <v>0.48159999999999997</v>
      </c>
      <c r="S621" s="17">
        <v>0</v>
      </c>
      <c r="T621" s="17">
        <v>0</v>
      </c>
      <c r="U621" s="17">
        <v>2.15</v>
      </c>
      <c r="V621" s="17">
        <v>0</v>
      </c>
      <c r="W621" s="17">
        <v>1.19</v>
      </c>
      <c r="X621" s="17">
        <v>0</v>
      </c>
      <c r="Y621" s="17">
        <v>0</v>
      </c>
      <c r="Z621" s="17">
        <v>0</v>
      </c>
      <c r="AA621" s="17">
        <v>0</v>
      </c>
      <c r="AB621" s="17">
        <v>0</v>
      </c>
      <c r="AC621" s="17">
        <v>0</v>
      </c>
      <c r="AD621" s="17">
        <v>0</v>
      </c>
      <c r="AE621" s="17">
        <v>0</v>
      </c>
      <c r="AF621" s="17">
        <v>0</v>
      </c>
      <c r="AG621" s="17">
        <v>0</v>
      </c>
      <c r="AH621" s="17">
        <v>0</v>
      </c>
      <c r="AI621" s="17">
        <f t="shared" si="39"/>
        <v>7</v>
      </c>
      <c r="AJ621" s="17">
        <f t="shared" si="40"/>
        <v>6</v>
      </c>
      <c r="AK621" s="17">
        <f t="shared" si="41"/>
        <v>8</v>
      </c>
      <c r="AL621" s="17">
        <f t="shared" si="42"/>
        <v>0</v>
      </c>
      <c r="AM621" s="17">
        <f>VLOOKUP(AK621,Sheet1!$A$2:$B$25,2,FALSE)</f>
        <v>1</v>
      </c>
    </row>
    <row r="622" spans="1:39" s="17" customFormat="1" x14ac:dyDescent="0.25">
      <c r="A622" s="21">
        <v>44598.364583333336</v>
      </c>
      <c r="B622" s="17">
        <v>7.84</v>
      </c>
      <c r="C622" s="17">
        <v>3.58</v>
      </c>
      <c r="D622" s="17">
        <v>4.26</v>
      </c>
      <c r="E622" s="17">
        <v>0</v>
      </c>
      <c r="F622" s="17">
        <v>0</v>
      </c>
      <c r="G622" s="17">
        <v>0</v>
      </c>
      <c r="H622" s="17">
        <v>1.82</v>
      </c>
      <c r="I622" s="17">
        <v>0</v>
      </c>
      <c r="J622" s="17">
        <v>1.77</v>
      </c>
      <c r="K622" s="17">
        <v>0</v>
      </c>
      <c r="L622" s="17">
        <v>0</v>
      </c>
      <c r="M622" s="17">
        <v>0</v>
      </c>
      <c r="N622" s="17">
        <v>0</v>
      </c>
      <c r="O622" s="17">
        <v>0</v>
      </c>
      <c r="P622" s="17">
        <v>0</v>
      </c>
      <c r="Q622" s="17">
        <v>0</v>
      </c>
      <c r="R622" s="17">
        <v>0.53520000000000001</v>
      </c>
      <c r="S622" s="17">
        <v>0</v>
      </c>
      <c r="T622" s="17">
        <v>0</v>
      </c>
      <c r="U622" s="17">
        <v>2.17</v>
      </c>
      <c r="V622" s="17">
        <v>0</v>
      </c>
      <c r="W622" s="17">
        <v>1.2</v>
      </c>
      <c r="X622" s="17">
        <v>0</v>
      </c>
      <c r="Y622" s="17">
        <v>0</v>
      </c>
      <c r="Z622" s="17">
        <v>0</v>
      </c>
      <c r="AA622" s="17">
        <v>0</v>
      </c>
      <c r="AB622" s="17">
        <v>0</v>
      </c>
      <c r="AC622" s="17">
        <v>0</v>
      </c>
      <c r="AD622" s="17">
        <v>0</v>
      </c>
      <c r="AE622" s="17">
        <v>0</v>
      </c>
      <c r="AF622" s="17">
        <v>0</v>
      </c>
      <c r="AG622" s="17">
        <v>0</v>
      </c>
      <c r="AH622" s="17">
        <v>0</v>
      </c>
      <c r="AI622" s="17">
        <f t="shared" si="39"/>
        <v>7</v>
      </c>
      <c r="AJ622" s="17">
        <f t="shared" si="40"/>
        <v>6</v>
      </c>
      <c r="AK622" s="17">
        <f t="shared" si="41"/>
        <v>8</v>
      </c>
      <c r="AL622" s="17">
        <f t="shared" si="42"/>
        <v>0</v>
      </c>
      <c r="AM622" s="17">
        <f>VLOOKUP(AK622,Sheet1!$A$2:$B$25,2,FALSE)</f>
        <v>1</v>
      </c>
    </row>
    <row r="623" spans="1:39" s="17" customFormat="1" x14ac:dyDescent="0.25">
      <c r="A623" s="21">
        <v>44598.375</v>
      </c>
      <c r="B623" s="17">
        <v>5.44</v>
      </c>
      <c r="C623" s="17">
        <v>1.41</v>
      </c>
      <c r="D623" s="17">
        <v>4.03</v>
      </c>
      <c r="E623" s="17">
        <v>0</v>
      </c>
      <c r="F623" s="17">
        <v>0</v>
      </c>
      <c r="G623" s="17">
        <v>0</v>
      </c>
      <c r="H623" s="17">
        <v>1.81</v>
      </c>
      <c r="I623" s="17">
        <v>0</v>
      </c>
      <c r="J623" s="17">
        <v>1.38</v>
      </c>
      <c r="K623" s="17">
        <v>0</v>
      </c>
      <c r="L623" s="17">
        <v>0</v>
      </c>
      <c r="M623" s="17">
        <v>0</v>
      </c>
      <c r="N623" s="17">
        <v>0</v>
      </c>
      <c r="O623" s="17">
        <v>0</v>
      </c>
      <c r="P623" s="17">
        <v>0</v>
      </c>
      <c r="Q623" s="17">
        <v>0</v>
      </c>
      <c r="R623" s="17">
        <v>0.49969999999999998</v>
      </c>
      <c r="S623" s="17">
        <v>0</v>
      </c>
      <c r="T623" s="17">
        <v>0</v>
      </c>
      <c r="U623" s="17">
        <v>2.16</v>
      </c>
      <c r="V623" s="17">
        <v>0</v>
      </c>
      <c r="W623" s="17">
        <v>1.19</v>
      </c>
      <c r="X623" s="17">
        <v>0</v>
      </c>
      <c r="Y623" s="17">
        <v>0</v>
      </c>
      <c r="Z623" s="17">
        <v>0</v>
      </c>
      <c r="AA623" s="17">
        <v>0</v>
      </c>
      <c r="AB623" s="17">
        <v>0</v>
      </c>
      <c r="AC623" s="17">
        <v>0</v>
      </c>
      <c r="AD623" s="17">
        <v>0</v>
      </c>
      <c r="AE623" s="17">
        <v>0</v>
      </c>
      <c r="AF623" s="17">
        <v>0</v>
      </c>
      <c r="AG623" s="17">
        <v>0</v>
      </c>
      <c r="AH623" s="17">
        <v>0</v>
      </c>
      <c r="AI623" s="17">
        <f t="shared" si="39"/>
        <v>7</v>
      </c>
      <c r="AJ623" s="17">
        <f t="shared" si="40"/>
        <v>6</v>
      </c>
      <c r="AK623" s="17">
        <f t="shared" si="41"/>
        <v>9</v>
      </c>
      <c r="AL623" s="17">
        <f t="shared" si="42"/>
        <v>0</v>
      </c>
      <c r="AM623" s="17">
        <f>VLOOKUP(AK623,Sheet1!$A$2:$B$25,2,FALSE)</f>
        <v>1</v>
      </c>
    </row>
    <row r="624" spans="1:39" s="17" customFormat="1" x14ac:dyDescent="0.25">
      <c r="A624" s="21">
        <v>44598.385416666664</v>
      </c>
      <c r="B624" s="17">
        <v>5.63</v>
      </c>
      <c r="C624" s="17">
        <v>1.22</v>
      </c>
      <c r="D624" s="17">
        <v>4.4000000000000004</v>
      </c>
      <c r="E624" s="17">
        <v>0</v>
      </c>
      <c r="F624" s="17">
        <v>0</v>
      </c>
      <c r="G624" s="17">
        <v>0</v>
      </c>
      <c r="H624" s="17">
        <v>1.74</v>
      </c>
      <c r="I624" s="17">
        <v>0</v>
      </c>
      <c r="J624" s="17">
        <v>1.83</v>
      </c>
      <c r="K624" s="17">
        <v>0</v>
      </c>
      <c r="L624" s="17">
        <v>0</v>
      </c>
      <c r="M624" s="17">
        <v>0</v>
      </c>
      <c r="N624" s="17">
        <v>0</v>
      </c>
      <c r="O624" s="17">
        <v>0</v>
      </c>
      <c r="P624" s="17">
        <v>0</v>
      </c>
      <c r="Q624" s="17">
        <v>0</v>
      </c>
      <c r="R624" s="17">
        <v>0.44840000000000002</v>
      </c>
      <c r="S624" s="17">
        <v>0</v>
      </c>
      <c r="T624" s="17">
        <v>0</v>
      </c>
      <c r="U624" s="17">
        <v>2.1</v>
      </c>
      <c r="V624" s="17">
        <v>0</v>
      </c>
      <c r="W624" s="17">
        <v>1.1399999999999999</v>
      </c>
      <c r="X624" s="17">
        <v>0</v>
      </c>
      <c r="Y624" s="17">
        <v>0</v>
      </c>
      <c r="Z624" s="17">
        <v>0</v>
      </c>
      <c r="AA624" s="17">
        <v>0</v>
      </c>
      <c r="AB624" s="17">
        <v>0</v>
      </c>
      <c r="AC624" s="17">
        <v>0</v>
      </c>
      <c r="AD624" s="17">
        <v>0</v>
      </c>
      <c r="AE624" s="17">
        <v>0</v>
      </c>
      <c r="AF624" s="17">
        <v>0</v>
      </c>
      <c r="AG624" s="17">
        <v>0</v>
      </c>
      <c r="AH624" s="17">
        <v>0</v>
      </c>
      <c r="AI624" s="17">
        <f t="shared" si="39"/>
        <v>7</v>
      </c>
      <c r="AJ624" s="17">
        <f t="shared" si="40"/>
        <v>6</v>
      </c>
      <c r="AK624" s="17">
        <f t="shared" si="41"/>
        <v>9</v>
      </c>
      <c r="AL624" s="17">
        <f t="shared" si="42"/>
        <v>0</v>
      </c>
      <c r="AM624" s="17">
        <f>VLOOKUP(AK624,Sheet1!$A$2:$B$25,2,FALSE)</f>
        <v>1</v>
      </c>
    </row>
    <row r="625" spans="1:39" s="17" customFormat="1" x14ac:dyDescent="0.25">
      <c r="A625" s="21">
        <v>44598.395833333336</v>
      </c>
      <c r="B625" s="17">
        <v>6.67</v>
      </c>
      <c r="C625" s="17">
        <v>2.4300000000000002</v>
      </c>
      <c r="D625" s="17">
        <v>4.24</v>
      </c>
      <c r="E625" s="17">
        <v>0</v>
      </c>
      <c r="F625" s="17">
        <v>0</v>
      </c>
      <c r="G625" s="17">
        <v>0</v>
      </c>
      <c r="H625" s="17">
        <v>1.7</v>
      </c>
      <c r="I625" s="17">
        <v>0</v>
      </c>
      <c r="J625" s="17">
        <v>1.72</v>
      </c>
      <c r="K625" s="17">
        <v>0</v>
      </c>
      <c r="L625" s="17">
        <v>0</v>
      </c>
      <c r="M625" s="17">
        <v>0</v>
      </c>
      <c r="N625" s="17">
        <v>0</v>
      </c>
      <c r="O625" s="17">
        <v>0</v>
      </c>
      <c r="P625" s="17">
        <v>0</v>
      </c>
      <c r="Q625" s="17">
        <v>0</v>
      </c>
      <c r="R625" s="17">
        <v>0.29920000000000002</v>
      </c>
      <c r="S625" s="17">
        <v>0</v>
      </c>
      <c r="T625" s="17">
        <v>0</v>
      </c>
      <c r="U625" s="17">
        <v>2.11</v>
      </c>
      <c r="V625" s="17">
        <v>0</v>
      </c>
      <c r="W625" s="17">
        <v>1.1499999999999999</v>
      </c>
      <c r="X625" s="17">
        <v>0</v>
      </c>
      <c r="Y625" s="17">
        <v>0</v>
      </c>
      <c r="Z625" s="17">
        <v>0</v>
      </c>
      <c r="AA625" s="17">
        <v>0</v>
      </c>
      <c r="AB625" s="17">
        <v>0</v>
      </c>
      <c r="AC625" s="17">
        <v>0</v>
      </c>
      <c r="AD625" s="17">
        <v>0</v>
      </c>
      <c r="AE625" s="17">
        <v>0</v>
      </c>
      <c r="AF625" s="17">
        <v>0</v>
      </c>
      <c r="AG625" s="17">
        <v>0</v>
      </c>
      <c r="AH625" s="17">
        <v>0</v>
      </c>
      <c r="AI625" s="17">
        <f t="shared" si="39"/>
        <v>7</v>
      </c>
      <c r="AJ625" s="17">
        <f t="shared" si="40"/>
        <v>6</v>
      </c>
      <c r="AK625" s="17">
        <f t="shared" si="41"/>
        <v>9</v>
      </c>
      <c r="AL625" s="17">
        <f t="shared" si="42"/>
        <v>0</v>
      </c>
      <c r="AM625" s="17">
        <f>VLOOKUP(AK625,Sheet1!$A$2:$B$25,2,FALSE)</f>
        <v>1</v>
      </c>
    </row>
    <row r="626" spans="1:39" s="17" customFormat="1" x14ac:dyDescent="0.25">
      <c r="A626" s="21">
        <v>44598.40625</v>
      </c>
      <c r="B626" s="17">
        <v>5.58</v>
      </c>
      <c r="C626" s="17">
        <v>1.43</v>
      </c>
      <c r="D626" s="17">
        <v>4.1500000000000004</v>
      </c>
      <c r="E626" s="17">
        <v>0</v>
      </c>
      <c r="F626" s="17">
        <v>0</v>
      </c>
      <c r="G626" s="17">
        <v>0</v>
      </c>
      <c r="H626" s="17">
        <v>1.75</v>
      </c>
      <c r="I626" s="17">
        <v>0</v>
      </c>
      <c r="J626" s="17">
        <v>1.62</v>
      </c>
      <c r="K626" s="17">
        <v>0</v>
      </c>
      <c r="L626" s="17">
        <v>0</v>
      </c>
      <c r="M626" s="17">
        <v>0</v>
      </c>
      <c r="N626" s="17">
        <v>0</v>
      </c>
      <c r="O626" s="17">
        <v>0</v>
      </c>
      <c r="P626" s="17">
        <v>0</v>
      </c>
      <c r="Q626" s="17">
        <v>0</v>
      </c>
      <c r="R626" s="17">
        <v>0.62760000000000005</v>
      </c>
      <c r="S626" s="17">
        <v>0</v>
      </c>
      <c r="T626" s="17">
        <v>0</v>
      </c>
      <c r="U626" s="17">
        <v>2.1</v>
      </c>
      <c r="V626" s="17">
        <v>0</v>
      </c>
      <c r="W626" s="17">
        <v>1.1399999999999999</v>
      </c>
      <c r="X626" s="17">
        <v>0</v>
      </c>
      <c r="Y626" s="17">
        <v>0</v>
      </c>
      <c r="Z626" s="17">
        <v>0</v>
      </c>
      <c r="AA626" s="17">
        <v>0</v>
      </c>
      <c r="AB626" s="17">
        <v>0</v>
      </c>
      <c r="AC626" s="17">
        <v>0</v>
      </c>
      <c r="AD626" s="17">
        <v>0</v>
      </c>
      <c r="AE626" s="17">
        <v>0</v>
      </c>
      <c r="AF626" s="17">
        <v>0</v>
      </c>
      <c r="AG626" s="17">
        <v>0</v>
      </c>
      <c r="AH626" s="17">
        <v>0</v>
      </c>
      <c r="AI626" s="17">
        <f t="shared" si="39"/>
        <v>7</v>
      </c>
      <c r="AJ626" s="17">
        <f t="shared" si="40"/>
        <v>6</v>
      </c>
      <c r="AK626" s="17">
        <f t="shared" si="41"/>
        <v>9</v>
      </c>
      <c r="AL626" s="17">
        <f t="shared" si="42"/>
        <v>0</v>
      </c>
      <c r="AM626" s="17">
        <f>VLOOKUP(AK626,Sheet1!$A$2:$B$25,2,FALSE)</f>
        <v>1</v>
      </c>
    </row>
    <row r="627" spans="1:39" s="17" customFormat="1" x14ac:dyDescent="0.25">
      <c r="A627" s="21">
        <v>44598.416666666664</v>
      </c>
      <c r="B627" s="17">
        <v>5.42</v>
      </c>
      <c r="C627" s="17">
        <v>1.21</v>
      </c>
      <c r="D627" s="17">
        <v>4.21</v>
      </c>
      <c r="E627" s="17">
        <v>0</v>
      </c>
      <c r="F627" s="17">
        <v>0</v>
      </c>
      <c r="G627" s="17">
        <v>0</v>
      </c>
      <c r="H627" s="17">
        <v>1.71</v>
      </c>
      <c r="I627" s="17">
        <v>0</v>
      </c>
      <c r="J627" s="17">
        <v>1.65</v>
      </c>
      <c r="K627" s="17">
        <v>0</v>
      </c>
      <c r="L627" s="17">
        <v>0</v>
      </c>
      <c r="M627" s="17">
        <v>0</v>
      </c>
      <c r="N627" s="17">
        <v>0</v>
      </c>
      <c r="O627" s="17">
        <v>0</v>
      </c>
      <c r="P627" s="17">
        <v>0</v>
      </c>
      <c r="Q627" s="17">
        <v>0</v>
      </c>
      <c r="R627" s="17">
        <v>0.34739999999999999</v>
      </c>
      <c r="S627" s="17">
        <v>0</v>
      </c>
      <c r="T627" s="17">
        <v>0</v>
      </c>
      <c r="U627" s="17">
        <v>2.1</v>
      </c>
      <c r="V627" s="17">
        <v>0</v>
      </c>
      <c r="W627" s="17">
        <v>1.1399999999999999</v>
      </c>
      <c r="X627" s="17">
        <v>0</v>
      </c>
      <c r="Y627" s="17">
        <v>0</v>
      </c>
      <c r="Z627" s="17">
        <v>0</v>
      </c>
      <c r="AA627" s="17">
        <v>0</v>
      </c>
      <c r="AB627" s="17">
        <v>0</v>
      </c>
      <c r="AC627" s="17">
        <v>0</v>
      </c>
      <c r="AD627" s="17">
        <v>0</v>
      </c>
      <c r="AE627" s="17">
        <v>0</v>
      </c>
      <c r="AF627" s="17">
        <v>0</v>
      </c>
      <c r="AG627" s="17">
        <v>0</v>
      </c>
      <c r="AH627" s="17">
        <v>0</v>
      </c>
      <c r="AI627" s="17">
        <f t="shared" si="39"/>
        <v>7</v>
      </c>
      <c r="AJ627" s="17">
        <f t="shared" si="40"/>
        <v>6</v>
      </c>
      <c r="AK627" s="17">
        <f t="shared" si="41"/>
        <v>10</v>
      </c>
      <c r="AL627" s="17">
        <f t="shared" si="42"/>
        <v>0</v>
      </c>
      <c r="AM627" s="17">
        <f>VLOOKUP(AK627,Sheet1!$A$2:$B$25,2,FALSE)</f>
        <v>1</v>
      </c>
    </row>
    <row r="628" spans="1:39" s="17" customFormat="1" x14ac:dyDescent="0.25">
      <c r="A628" s="21">
        <v>44598.427083333336</v>
      </c>
      <c r="B628" s="17">
        <v>6.68</v>
      </c>
      <c r="C628" s="17">
        <v>2.4700000000000002</v>
      </c>
      <c r="D628" s="17">
        <v>4.21</v>
      </c>
      <c r="E628" s="17">
        <v>0</v>
      </c>
      <c r="F628" s="17">
        <v>0</v>
      </c>
      <c r="G628" s="17">
        <v>0</v>
      </c>
      <c r="H628" s="17">
        <v>1.65</v>
      </c>
      <c r="I628" s="17">
        <v>0</v>
      </c>
      <c r="J628" s="17">
        <v>1.64</v>
      </c>
      <c r="K628" s="17">
        <v>0</v>
      </c>
      <c r="L628" s="17">
        <v>0</v>
      </c>
      <c r="M628" s="17">
        <v>0</v>
      </c>
      <c r="N628" s="17">
        <v>0</v>
      </c>
      <c r="O628" s="17">
        <v>0</v>
      </c>
      <c r="P628" s="17">
        <v>0</v>
      </c>
      <c r="Q628" s="17">
        <v>0</v>
      </c>
      <c r="R628" s="17">
        <v>0.24390000000000001</v>
      </c>
      <c r="S628" s="17">
        <v>0</v>
      </c>
      <c r="T628" s="17">
        <v>0</v>
      </c>
      <c r="U628" s="17">
        <v>2.08</v>
      </c>
      <c r="V628" s="17">
        <v>0</v>
      </c>
      <c r="W628" s="17">
        <v>1.1299999999999999</v>
      </c>
      <c r="X628" s="17">
        <v>0</v>
      </c>
      <c r="Y628" s="17">
        <v>0</v>
      </c>
      <c r="Z628" s="17">
        <v>0</v>
      </c>
      <c r="AA628" s="17">
        <v>0</v>
      </c>
      <c r="AB628" s="17">
        <v>0</v>
      </c>
      <c r="AC628" s="17">
        <v>0</v>
      </c>
      <c r="AD628" s="17">
        <v>0</v>
      </c>
      <c r="AE628" s="17">
        <v>0</v>
      </c>
      <c r="AF628" s="17">
        <v>0</v>
      </c>
      <c r="AG628" s="17">
        <v>0</v>
      </c>
      <c r="AH628" s="17">
        <v>0</v>
      </c>
      <c r="AI628" s="17">
        <f t="shared" si="39"/>
        <v>7</v>
      </c>
      <c r="AJ628" s="17">
        <f t="shared" si="40"/>
        <v>6</v>
      </c>
      <c r="AK628" s="17">
        <f t="shared" si="41"/>
        <v>10</v>
      </c>
      <c r="AL628" s="17">
        <f t="shared" si="42"/>
        <v>0</v>
      </c>
      <c r="AM628" s="17">
        <f>VLOOKUP(AK628,Sheet1!$A$2:$B$25,2,FALSE)</f>
        <v>1</v>
      </c>
    </row>
    <row r="629" spans="1:39" s="17" customFormat="1" x14ac:dyDescent="0.25">
      <c r="A629" s="21">
        <v>44598.4375</v>
      </c>
      <c r="B629" s="17">
        <v>5.95</v>
      </c>
      <c r="C629" s="17">
        <v>1.85</v>
      </c>
      <c r="D629" s="17">
        <v>4.0999999999999996</v>
      </c>
      <c r="E629" s="17">
        <v>0</v>
      </c>
      <c r="F629" s="17">
        <v>0</v>
      </c>
      <c r="G629" s="17">
        <v>0</v>
      </c>
      <c r="H629" s="17">
        <v>1.85</v>
      </c>
      <c r="I629" s="17">
        <v>0</v>
      </c>
      <c r="J629" s="17">
        <v>1.73</v>
      </c>
      <c r="K629" s="17">
        <v>0</v>
      </c>
      <c r="L629" s="17">
        <v>0</v>
      </c>
      <c r="M629" s="17">
        <v>0</v>
      </c>
      <c r="N629" s="17">
        <v>0</v>
      </c>
      <c r="O629" s="17">
        <v>0</v>
      </c>
      <c r="P629" s="17">
        <v>0</v>
      </c>
      <c r="Q629" s="17">
        <v>0</v>
      </c>
      <c r="R629" s="17">
        <v>0.4879</v>
      </c>
      <c r="S629" s="17">
        <v>0</v>
      </c>
      <c r="T629" s="17">
        <v>0</v>
      </c>
      <c r="U629" s="17">
        <v>2.09</v>
      </c>
      <c r="V629" s="17">
        <v>0</v>
      </c>
      <c r="W629" s="17">
        <v>1.1299999999999999</v>
      </c>
      <c r="X629" s="17">
        <v>0</v>
      </c>
      <c r="Y629" s="17">
        <v>0</v>
      </c>
      <c r="Z629" s="17">
        <v>0</v>
      </c>
      <c r="AA629" s="17">
        <v>0</v>
      </c>
      <c r="AB629" s="17">
        <v>0</v>
      </c>
      <c r="AC629" s="17">
        <v>0</v>
      </c>
      <c r="AD629" s="17">
        <v>0</v>
      </c>
      <c r="AE629" s="17">
        <v>0</v>
      </c>
      <c r="AF629" s="17">
        <v>0</v>
      </c>
      <c r="AG629" s="17">
        <v>0</v>
      </c>
      <c r="AH629" s="17">
        <v>0</v>
      </c>
      <c r="AI629" s="17">
        <f t="shared" si="39"/>
        <v>7</v>
      </c>
      <c r="AJ629" s="17">
        <f t="shared" si="40"/>
        <v>6</v>
      </c>
      <c r="AK629" s="17">
        <f t="shared" si="41"/>
        <v>10</v>
      </c>
      <c r="AL629" s="17">
        <f t="shared" si="42"/>
        <v>0</v>
      </c>
      <c r="AM629" s="17">
        <f>VLOOKUP(AK629,Sheet1!$A$2:$B$25,2,FALSE)</f>
        <v>1</v>
      </c>
    </row>
    <row r="630" spans="1:39" s="17" customFormat="1" x14ac:dyDescent="0.25">
      <c r="A630" s="21">
        <v>44598.447916666664</v>
      </c>
      <c r="B630" s="17">
        <v>5.2</v>
      </c>
      <c r="C630" s="17">
        <v>1.1299999999999999</v>
      </c>
      <c r="D630" s="17">
        <v>4.07</v>
      </c>
      <c r="E630" s="17">
        <v>0</v>
      </c>
      <c r="F630" s="17">
        <v>0</v>
      </c>
      <c r="G630" s="17">
        <v>0</v>
      </c>
      <c r="H630" s="17">
        <v>1.91</v>
      </c>
      <c r="I630" s="17">
        <v>0</v>
      </c>
      <c r="J630" s="17">
        <v>1.77</v>
      </c>
      <c r="K630" s="17">
        <v>0</v>
      </c>
      <c r="L630" s="17">
        <v>0</v>
      </c>
      <c r="M630" s="17">
        <v>0</v>
      </c>
      <c r="N630" s="17">
        <v>0</v>
      </c>
      <c r="O630" s="17">
        <v>0</v>
      </c>
      <c r="P630" s="17">
        <v>0</v>
      </c>
      <c r="Q630" s="17">
        <v>0</v>
      </c>
      <c r="R630" s="17">
        <v>0.50209999999999999</v>
      </c>
      <c r="S630" s="17">
        <v>0</v>
      </c>
      <c r="T630" s="17">
        <v>0</v>
      </c>
      <c r="U630" s="17">
        <v>2.0699999999999998</v>
      </c>
      <c r="V630" s="17">
        <v>0</v>
      </c>
      <c r="W630" s="17">
        <v>1.1100000000000001</v>
      </c>
      <c r="X630" s="17">
        <v>0</v>
      </c>
      <c r="Y630" s="17">
        <v>0</v>
      </c>
      <c r="Z630" s="17">
        <v>0</v>
      </c>
      <c r="AA630" s="17">
        <v>0</v>
      </c>
      <c r="AB630" s="17">
        <v>0</v>
      </c>
      <c r="AC630" s="17">
        <v>0</v>
      </c>
      <c r="AD630" s="17">
        <v>0</v>
      </c>
      <c r="AE630" s="17">
        <v>0</v>
      </c>
      <c r="AF630" s="17">
        <v>0</v>
      </c>
      <c r="AG630" s="17">
        <v>0</v>
      </c>
      <c r="AH630" s="17">
        <v>0</v>
      </c>
      <c r="AI630" s="17">
        <f t="shared" si="39"/>
        <v>7</v>
      </c>
      <c r="AJ630" s="17">
        <f t="shared" si="40"/>
        <v>6</v>
      </c>
      <c r="AK630" s="17">
        <f t="shared" si="41"/>
        <v>10</v>
      </c>
      <c r="AL630" s="17">
        <f t="shared" si="42"/>
        <v>0</v>
      </c>
      <c r="AM630" s="17">
        <f>VLOOKUP(AK630,Sheet1!$A$2:$B$25,2,FALSE)</f>
        <v>1</v>
      </c>
    </row>
    <row r="631" spans="1:39" s="17" customFormat="1" x14ac:dyDescent="0.25">
      <c r="A631" s="21">
        <v>44598.458333333336</v>
      </c>
      <c r="B631" s="17">
        <v>5.58</v>
      </c>
      <c r="C631" s="17">
        <v>1.6</v>
      </c>
      <c r="D631" s="17">
        <v>3.97</v>
      </c>
      <c r="E631" s="17">
        <v>0</v>
      </c>
      <c r="F631" s="17">
        <v>0</v>
      </c>
      <c r="G631" s="17">
        <v>0</v>
      </c>
      <c r="H631" s="17">
        <v>1.74</v>
      </c>
      <c r="I631" s="17">
        <v>0</v>
      </c>
      <c r="J631" s="17">
        <v>1.71</v>
      </c>
      <c r="K631" s="17">
        <v>0</v>
      </c>
      <c r="L631" s="17">
        <v>0</v>
      </c>
      <c r="M631" s="17">
        <v>0</v>
      </c>
      <c r="N631" s="17">
        <v>0</v>
      </c>
      <c r="O631" s="17">
        <v>0</v>
      </c>
      <c r="P631" s="17">
        <v>0</v>
      </c>
      <c r="Q631" s="17">
        <v>0</v>
      </c>
      <c r="R631" s="17">
        <v>0.3987</v>
      </c>
      <c r="S631" s="17">
        <v>0</v>
      </c>
      <c r="T631" s="17">
        <v>0</v>
      </c>
      <c r="U631" s="17">
        <v>2.06</v>
      </c>
      <c r="V631" s="17">
        <v>0</v>
      </c>
      <c r="W631" s="17">
        <v>1.1000000000000001</v>
      </c>
      <c r="X631" s="17">
        <v>0</v>
      </c>
      <c r="Y631" s="17">
        <v>0</v>
      </c>
      <c r="Z631" s="17">
        <v>0</v>
      </c>
      <c r="AA631" s="17">
        <v>0</v>
      </c>
      <c r="AB631" s="17">
        <v>0</v>
      </c>
      <c r="AC631" s="17">
        <v>0</v>
      </c>
      <c r="AD631" s="17">
        <v>0</v>
      </c>
      <c r="AE631" s="17">
        <v>0</v>
      </c>
      <c r="AF631" s="17">
        <v>0</v>
      </c>
      <c r="AG631" s="17">
        <v>0</v>
      </c>
      <c r="AH631" s="17">
        <v>0</v>
      </c>
      <c r="AI631" s="17">
        <f t="shared" si="39"/>
        <v>7</v>
      </c>
      <c r="AJ631" s="17">
        <f t="shared" si="40"/>
        <v>6</v>
      </c>
      <c r="AK631" s="17">
        <f t="shared" si="41"/>
        <v>11</v>
      </c>
      <c r="AL631" s="17">
        <f t="shared" si="42"/>
        <v>0</v>
      </c>
      <c r="AM631" s="17">
        <f>VLOOKUP(AK631,Sheet1!$A$2:$B$25,2,FALSE)</f>
        <v>1</v>
      </c>
    </row>
    <row r="632" spans="1:39" s="17" customFormat="1" x14ac:dyDescent="0.25">
      <c r="A632" s="21">
        <v>44598.46875</v>
      </c>
      <c r="B632" s="17">
        <v>5.99</v>
      </c>
      <c r="C632" s="17">
        <v>1.86</v>
      </c>
      <c r="D632" s="17">
        <v>4.13</v>
      </c>
      <c r="E632" s="17">
        <v>0</v>
      </c>
      <c r="F632" s="17">
        <v>0</v>
      </c>
      <c r="G632" s="17">
        <v>0</v>
      </c>
      <c r="H632" s="17">
        <v>1.8</v>
      </c>
      <c r="I632" s="17">
        <v>0</v>
      </c>
      <c r="J632" s="17">
        <v>1.73</v>
      </c>
      <c r="K632" s="17">
        <v>0</v>
      </c>
      <c r="L632" s="17">
        <v>0</v>
      </c>
      <c r="M632" s="17">
        <v>0</v>
      </c>
      <c r="N632" s="17">
        <v>0</v>
      </c>
      <c r="O632" s="17">
        <v>0</v>
      </c>
      <c r="P632" s="17">
        <v>0</v>
      </c>
      <c r="Q632" s="17">
        <v>0</v>
      </c>
      <c r="R632" s="17">
        <v>0.49340000000000001</v>
      </c>
      <c r="S632" s="17">
        <v>0</v>
      </c>
      <c r="T632" s="17">
        <v>0</v>
      </c>
      <c r="U632" s="17">
        <v>2.06</v>
      </c>
      <c r="V632" s="17">
        <v>0</v>
      </c>
      <c r="W632" s="17">
        <v>1.1000000000000001</v>
      </c>
      <c r="X632" s="17">
        <v>0</v>
      </c>
      <c r="Y632" s="17">
        <v>0</v>
      </c>
      <c r="Z632" s="17">
        <v>0</v>
      </c>
      <c r="AA632" s="17">
        <v>0</v>
      </c>
      <c r="AB632" s="17">
        <v>0</v>
      </c>
      <c r="AC632" s="17">
        <v>0</v>
      </c>
      <c r="AD632" s="17">
        <v>0</v>
      </c>
      <c r="AE632" s="17">
        <v>0</v>
      </c>
      <c r="AF632" s="17">
        <v>0</v>
      </c>
      <c r="AG632" s="17">
        <v>0</v>
      </c>
      <c r="AH632" s="17">
        <v>0</v>
      </c>
      <c r="AI632" s="17">
        <f t="shared" si="39"/>
        <v>7</v>
      </c>
      <c r="AJ632" s="17">
        <f t="shared" si="40"/>
        <v>6</v>
      </c>
      <c r="AK632" s="17">
        <f t="shared" si="41"/>
        <v>11</v>
      </c>
      <c r="AL632" s="17">
        <f t="shared" si="42"/>
        <v>0</v>
      </c>
      <c r="AM632" s="17">
        <f>VLOOKUP(AK632,Sheet1!$A$2:$B$25,2,FALSE)</f>
        <v>1</v>
      </c>
    </row>
    <row r="633" spans="1:39" s="17" customFormat="1" x14ac:dyDescent="0.25">
      <c r="A633" s="21">
        <v>44598.479166666664</v>
      </c>
      <c r="B633" s="17">
        <v>5.21</v>
      </c>
      <c r="C633" s="17">
        <v>1.1499999999999999</v>
      </c>
      <c r="D633" s="17">
        <v>4.07</v>
      </c>
      <c r="E633" s="17">
        <v>0</v>
      </c>
      <c r="F633" s="17">
        <v>0</v>
      </c>
      <c r="G633" s="17">
        <v>0</v>
      </c>
      <c r="H633" s="17">
        <v>1.81</v>
      </c>
      <c r="I633" s="17">
        <v>0</v>
      </c>
      <c r="J633" s="17">
        <v>1.83</v>
      </c>
      <c r="K633" s="17">
        <v>0</v>
      </c>
      <c r="L633" s="17">
        <v>0</v>
      </c>
      <c r="M633" s="17">
        <v>0</v>
      </c>
      <c r="N633" s="17">
        <v>0</v>
      </c>
      <c r="O633" s="17">
        <v>0</v>
      </c>
      <c r="P633" s="17">
        <v>0</v>
      </c>
      <c r="Q633" s="17">
        <v>0</v>
      </c>
      <c r="R633" s="17">
        <v>0.59289999999999998</v>
      </c>
      <c r="S633" s="17">
        <v>0</v>
      </c>
      <c r="T633" s="17">
        <v>0</v>
      </c>
      <c r="U633" s="17">
        <v>2.0299999999999998</v>
      </c>
      <c r="V633" s="17">
        <v>0</v>
      </c>
      <c r="W633" s="17">
        <v>1.07</v>
      </c>
      <c r="X633" s="17">
        <v>0</v>
      </c>
      <c r="Y633" s="17">
        <v>0</v>
      </c>
      <c r="Z633" s="17">
        <v>0</v>
      </c>
      <c r="AA633" s="17">
        <v>0</v>
      </c>
      <c r="AB633" s="17">
        <v>0</v>
      </c>
      <c r="AC633" s="17">
        <v>0</v>
      </c>
      <c r="AD633" s="17">
        <v>0</v>
      </c>
      <c r="AE633" s="17">
        <v>0</v>
      </c>
      <c r="AF633" s="17">
        <v>0</v>
      </c>
      <c r="AG633" s="17">
        <v>0</v>
      </c>
      <c r="AH633" s="17">
        <v>0</v>
      </c>
      <c r="AI633" s="17">
        <f t="shared" si="39"/>
        <v>7</v>
      </c>
      <c r="AJ633" s="17">
        <f t="shared" si="40"/>
        <v>6</v>
      </c>
      <c r="AK633" s="17">
        <f t="shared" si="41"/>
        <v>11</v>
      </c>
      <c r="AL633" s="17">
        <f t="shared" si="42"/>
        <v>0</v>
      </c>
      <c r="AM633" s="17">
        <f>VLOOKUP(AK633,Sheet1!$A$2:$B$25,2,FALSE)</f>
        <v>1</v>
      </c>
    </row>
    <row r="634" spans="1:39" s="17" customFormat="1" x14ac:dyDescent="0.25">
      <c r="A634" s="21">
        <v>44598.489583333336</v>
      </c>
      <c r="B634" s="17">
        <v>5.74</v>
      </c>
      <c r="C634" s="17">
        <v>1.58</v>
      </c>
      <c r="D634" s="17">
        <v>4.16</v>
      </c>
      <c r="E634" s="17">
        <v>0</v>
      </c>
      <c r="F634" s="17">
        <v>0</v>
      </c>
      <c r="G634" s="17">
        <v>0</v>
      </c>
      <c r="H634" s="17">
        <v>1.73</v>
      </c>
      <c r="I634" s="17">
        <v>0</v>
      </c>
      <c r="J634" s="17">
        <v>1.75</v>
      </c>
      <c r="K634" s="17">
        <v>0</v>
      </c>
      <c r="L634" s="17">
        <v>0</v>
      </c>
      <c r="M634" s="17">
        <v>0</v>
      </c>
      <c r="N634" s="17">
        <v>0</v>
      </c>
      <c r="O634" s="17">
        <v>0</v>
      </c>
      <c r="P634" s="17">
        <v>0</v>
      </c>
      <c r="Q634" s="17">
        <v>0</v>
      </c>
      <c r="R634" s="17">
        <v>0.2495</v>
      </c>
      <c r="S634" s="17">
        <v>0</v>
      </c>
      <c r="T634" s="17">
        <v>0</v>
      </c>
      <c r="U634" s="17">
        <v>2.04</v>
      </c>
      <c r="V634" s="17">
        <v>0</v>
      </c>
      <c r="W634" s="17">
        <v>1.0900000000000001</v>
      </c>
      <c r="X634" s="17">
        <v>0</v>
      </c>
      <c r="Y634" s="17">
        <v>0</v>
      </c>
      <c r="Z634" s="17">
        <v>0</v>
      </c>
      <c r="AA634" s="17">
        <v>0</v>
      </c>
      <c r="AB634" s="17">
        <v>0</v>
      </c>
      <c r="AC634" s="17">
        <v>0</v>
      </c>
      <c r="AD634" s="17">
        <v>0</v>
      </c>
      <c r="AE634" s="17">
        <v>0</v>
      </c>
      <c r="AF634" s="17">
        <v>0</v>
      </c>
      <c r="AG634" s="17">
        <v>0</v>
      </c>
      <c r="AH634" s="17">
        <v>0</v>
      </c>
      <c r="AI634" s="17">
        <f t="shared" si="39"/>
        <v>7</v>
      </c>
      <c r="AJ634" s="17">
        <f t="shared" si="40"/>
        <v>6</v>
      </c>
      <c r="AK634" s="17">
        <f t="shared" si="41"/>
        <v>11</v>
      </c>
      <c r="AL634" s="17">
        <f t="shared" si="42"/>
        <v>0</v>
      </c>
      <c r="AM634" s="17">
        <f>VLOOKUP(AK634,Sheet1!$A$2:$B$25,2,FALSE)</f>
        <v>1</v>
      </c>
    </row>
    <row r="635" spans="1:39" s="17" customFormat="1" x14ac:dyDescent="0.25">
      <c r="A635" s="21">
        <v>44598.5</v>
      </c>
      <c r="B635" s="17">
        <v>5.97</v>
      </c>
      <c r="C635" s="17">
        <v>1.93</v>
      </c>
      <c r="D635" s="17">
        <v>4.04</v>
      </c>
      <c r="E635" s="17">
        <v>0</v>
      </c>
      <c r="F635" s="17">
        <v>0</v>
      </c>
      <c r="G635" s="17">
        <v>0</v>
      </c>
      <c r="H635" s="17">
        <v>1.76</v>
      </c>
      <c r="I635" s="17">
        <v>0</v>
      </c>
      <c r="J635" s="17">
        <v>1.87</v>
      </c>
      <c r="K635" s="17">
        <v>0</v>
      </c>
      <c r="L635" s="17">
        <v>0</v>
      </c>
      <c r="M635" s="17">
        <v>0</v>
      </c>
      <c r="N635" s="17">
        <v>0</v>
      </c>
      <c r="O635" s="17">
        <v>0</v>
      </c>
      <c r="P635" s="17">
        <v>0</v>
      </c>
      <c r="Q635" s="17">
        <v>0</v>
      </c>
      <c r="R635" s="17">
        <v>0.35289999999999999</v>
      </c>
      <c r="S635" s="17">
        <v>0</v>
      </c>
      <c r="T635" s="17">
        <v>0</v>
      </c>
      <c r="U635" s="17">
        <v>2.0299999999999998</v>
      </c>
      <c r="V635" s="17">
        <v>0</v>
      </c>
      <c r="W635" s="17">
        <v>1.0900000000000001</v>
      </c>
      <c r="X635" s="17">
        <v>0</v>
      </c>
      <c r="Y635" s="17">
        <v>0</v>
      </c>
      <c r="Z635" s="17">
        <v>0</v>
      </c>
      <c r="AA635" s="17">
        <v>0</v>
      </c>
      <c r="AB635" s="17">
        <v>0</v>
      </c>
      <c r="AC635" s="17">
        <v>0</v>
      </c>
      <c r="AD635" s="17">
        <v>0</v>
      </c>
      <c r="AE635" s="17">
        <v>0</v>
      </c>
      <c r="AF635" s="17">
        <v>0</v>
      </c>
      <c r="AG635" s="17">
        <v>0</v>
      </c>
      <c r="AH635" s="17">
        <v>0</v>
      </c>
      <c r="AI635" s="17">
        <f t="shared" si="39"/>
        <v>7</v>
      </c>
      <c r="AJ635" s="17">
        <f t="shared" si="40"/>
        <v>6</v>
      </c>
      <c r="AK635" s="17">
        <f t="shared" si="41"/>
        <v>12</v>
      </c>
      <c r="AL635" s="17">
        <f t="shared" si="42"/>
        <v>0</v>
      </c>
      <c r="AM635" s="17">
        <f>VLOOKUP(AK635,Sheet1!$A$2:$B$25,2,FALSE)</f>
        <v>1</v>
      </c>
    </row>
    <row r="636" spans="1:39" s="17" customFormat="1" x14ac:dyDescent="0.25">
      <c r="A636" s="21">
        <v>44598.510416666664</v>
      </c>
      <c r="B636" s="17">
        <v>5.09</v>
      </c>
      <c r="C636" s="17">
        <v>0.94340000000000002</v>
      </c>
      <c r="D636" s="17">
        <v>4.1399999999999997</v>
      </c>
      <c r="E636" s="17">
        <v>0</v>
      </c>
      <c r="F636" s="17">
        <v>0</v>
      </c>
      <c r="G636" s="17">
        <v>0</v>
      </c>
      <c r="H636" s="17">
        <v>1.77</v>
      </c>
      <c r="I636" s="17">
        <v>0</v>
      </c>
      <c r="J636" s="17">
        <v>1.85</v>
      </c>
      <c r="K636" s="17">
        <v>0</v>
      </c>
      <c r="L636" s="17">
        <v>0</v>
      </c>
      <c r="M636" s="17">
        <v>0</v>
      </c>
      <c r="N636" s="17">
        <v>0</v>
      </c>
      <c r="O636" s="17">
        <v>0</v>
      </c>
      <c r="P636" s="17">
        <v>0</v>
      </c>
      <c r="Q636" s="17">
        <v>0</v>
      </c>
      <c r="R636" s="17">
        <v>0.50209999999999999</v>
      </c>
      <c r="S636" s="17">
        <v>0</v>
      </c>
      <c r="T636" s="17">
        <v>0</v>
      </c>
      <c r="U636" s="17">
        <v>2.04</v>
      </c>
      <c r="V636" s="17">
        <v>0</v>
      </c>
      <c r="W636" s="17">
        <v>1.0900000000000001</v>
      </c>
      <c r="X636" s="17">
        <v>0</v>
      </c>
      <c r="Y636" s="17">
        <v>0</v>
      </c>
      <c r="Z636" s="17">
        <v>0</v>
      </c>
      <c r="AA636" s="17">
        <v>0</v>
      </c>
      <c r="AB636" s="17">
        <v>0</v>
      </c>
      <c r="AC636" s="17">
        <v>0</v>
      </c>
      <c r="AD636" s="17">
        <v>0</v>
      </c>
      <c r="AE636" s="17">
        <v>0</v>
      </c>
      <c r="AF636" s="17">
        <v>0</v>
      </c>
      <c r="AG636" s="17">
        <v>0</v>
      </c>
      <c r="AH636" s="17">
        <v>0</v>
      </c>
      <c r="AI636" s="17">
        <f t="shared" si="39"/>
        <v>7</v>
      </c>
      <c r="AJ636" s="17">
        <f t="shared" si="40"/>
        <v>6</v>
      </c>
      <c r="AK636" s="17">
        <f t="shared" si="41"/>
        <v>12</v>
      </c>
      <c r="AL636" s="17">
        <f t="shared" si="42"/>
        <v>0</v>
      </c>
      <c r="AM636" s="17">
        <f>VLOOKUP(AK636,Sheet1!$A$2:$B$25,2,FALSE)</f>
        <v>1</v>
      </c>
    </row>
    <row r="637" spans="1:39" s="17" customFormat="1" x14ac:dyDescent="0.25">
      <c r="A637" s="21">
        <v>44598.520833333336</v>
      </c>
      <c r="B637" s="17">
        <v>6.14</v>
      </c>
      <c r="C637" s="17">
        <v>1.84</v>
      </c>
      <c r="D637" s="17">
        <v>4.3</v>
      </c>
      <c r="E637" s="17">
        <v>0</v>
      </c>
      <c r="F637" s="17">
        <v>0</v>
      </c>
      <c r="G637" s="17">
        <v>0</v>
      </c>
      <c r="H637" s="17">
        <v>1.86</v>
      </c>
      <c r="I637" s="17">
        <v>0</v>
      </c>
      <c r="J637" s="17">
        <v>1.81</v>
      </c>
      <c r="K637" s="17">
        <v>0</v>
      </c>
      <c r="L637" s="17">
        <v>0</v>
      </c>
      <c r="M637" s="17">
        <v>0</v>
      </c>
      <c r="N637" s="17">
        <v>0</v>
      </c>
      <c r="O637" s="17">
        <v>0</v>
      </c>
      <c r="P637" s="17">
        <v>0</v>
      </c>
      <c r="Q637" s="17">
        <v>0</v>
      </c>
      <c r="R637" s="17">
        <v>0.29289999999999999</v>
      </c>
      <c r="S637" s="17">
        <v>0</v>
      </c>
      <c r="T637" s="17">
        <v>0</v>
      </c>
      <c r="U637" s="17">
        <v>2.0499999999999998</v>
      </c>
      <c r="V637" s="17">
        <v>0</v>
      </c>
      <c r="W637" s="17">
        <v>1.1000000000000001</v>
      </c>
      <c r="X637" s="17">
        <v>0</v>
      </c>
      <c r="Y637" s="17">
        <v>0</v>
      </c>
      <c r="Z637" s="17">
        <v>0</v>
      </c>
      <c r="AA637" s="17">
        <v>0</v>
      </c>
      <c r="AB637" s="17">
        <v>0</v>
      </c>
      <c r="AC637" s="17">
        <v>0</v>
      </c>
      <c r="AD637" s="17">
        <v>0</v>
      </c>
      <c r="AE637" s="17">
        <v>0</v>
      </c>
      <c r="AF637" s="17">
        <v>0</v>
      </c>
      <c r="AG637" s="17">
        <v>0</v>
      </c>
      <c r="AH637" s="17">
        <v>0</v>
      </c>
      <c r="AI637" s="17">
        <f t="shared" si="39"/>
        <v>7</v>
      </c>
      <c r="AJ637" s="17">
        <f t="shared" si="40"/>
        <v>6</v>
      </c>
      <c r="AK637" s="17">
        <f t="shared" si="41"/>
        <v>12</v>
      </c>
      <c r="AL637" s="17">
        <f t="shared" si="42"/>
        <v>0</v>
      </c>
      <c r="AM637" s="17">
        <f>VLOOKUP(AK637,Sheet1!$A$2:$B$25,2,FALSE)</f>
        <v>1</v>
      </c>
    </row>
    <row r="638" spans="1:39" s="17" customFormat="1" x14ac:dyDescent="0.25">
      <c r="A638" s="21">
        <v>44598.53125</v>
      </c>
      <c r="B638" s="17">
        <v>5.94</v>
      </c>
      <c r="C638" s="17">
        <v>1.78</v>
      </c>
      <c r="D638" s="17">
        <v>4.16</v>
      </c>
      <c r="E638" s="17">
        <v>0</v>
      </c>
      <c r="F638" s="17">
        <v>0</v>
      </c>
      <c r="G638" s="17">
        <v>0</v>
      </c>
      <c r="H638" s="17">
        <v>1.76</v>
      </c>
      <c r="I638" s="17">
        <v>0</v>
      </c>
      <c r="J638" s="17">
        <v>1.72</v>
      </c>
      <c r="K638" s="17">
        <v>0</v>
      </c>
      <c r="L638" s="17">
        <v>0</v>
      </c>
      <c r="M638" s="17">
        <v>0</v>
      </c>
      <c r="N638" s="17">
        <v>0</v>
      </c>
      <c r="O638" s="17">
        <v>0</v>
      </c>
      <c r="P638" s="17">
        <v>0</v>
      </c>
      <c r="Q638" s="17">
        <v>0</v>
      </c>
      <c r="R638" s="17">
        <v>0.24629999999999999</v>
      </c>
      <c r="S638" s="17">
        <v>0</v>
      </c>
      <c r="T638" s="17">
        <v>0</v>
      </c>
      <c r="U638" s="17">
        <v>2.0699999999999998</v>
      </c>
      <c r="V638" s="17">
        <v>0</v>
      </c>
      <c r="W638" s="17">
        <v>1.1200000000000001</v>
      </c>
      <c r="X638" s="17">
        <v>0</v>
      </c>
      <c r="Y638" s="17">
        <v>0</v>
      </c>
      <c r="Z638" s="17">
        <v>0</v>
      </c>
      <c r="AA638" s="17">
        <v>0</v>
      </c>
      <c r="AB638" s="17">
        <v>0</v>
      </c>
      <c r="AC638" s="17">
        <v>0</v>
      </c>
      <c r="AD638" s="17">
        <v>0</v>
      </c>
      <c r="AE638" s="17">
        <v>0</v>
      </c>
      <c r="AF638" s="17">
        <v>0</v>
      </c>
      <c r="AG638" s="17">
        <v>0</v>
      </c>
      <c r="AH638" s="17">
        <v>0</v>
      </c>
      <c r="AI638" s="17">
        <f t="shared" si="39"/>
        <v>7</v>
      </c>
      <c r="AJ638" s="17">
        <f t="shared" si="40"/>
        <v>6</v>
      </c>
      <c r="AK638" s="17">
        <f t="shared" si="41"/>
        <v>12</v>
      </c>
      <c r="AL638" s="17">
        <f t="shared" si="42"/>
        <v>0</v>
      </c>
      <c r="AM638" s="17">
        <f>VLOOKUP(AK638,Sheet1!$A$2:$B$25,2,FALSE)</f>
        <v>1</v>
      </c>
    </row>
    <row r="639" spans="1:39" s="17" customFormat="1" x14ac:dyDescent="0.25">
      <c r="A639" s="21">
        <v>44598.541666666664</v>
      </c>
      <c r="B639" s="17">
        <v>6.09</v>
      </c>
      <c r="C639" s="17">
        <v>1.78</v>
      </c>
      <c r="D639" s="17">
        <v>4.3</v>
      </c>
      <c r="E639" s="17">
        <v>0</v>
      </c>
      <c r="F639" s="17">
        <v>0</v>
      </c>
      <c r="G639" s="17">
        <v>0</v>
      </c>
      <c r="H639" s="17">
        <v>1.73</v>
      </c>
      <c r="I639" s="17">
        <v>0</v>
      </c>
      <c r="J639" s="17">
        <v>1.67</v>
      </c>
      <c r="K639" s="17">
        <v>0</v>
      </c>
      <c r="L639" s="17">
        <v>0</v>
      </c>
      <c r="M639" s="17">
        <v>0</v>
      </c>
      <c r="N639" s="17">
        <v>0</v>
      </c>
      <c r="O639" s="17">
        <v>0</v>
      </c>
      <c r="P639" s="17">
        <v>0</v>
      </c>
      <c r="Q639" s="17">
        <v>0</v>
      </c>
      <c r="R639" s="17">
        <v>0.43659999999999999</v>
      </c>
      <c r="S639" s="17">
        <v>0</v>
      </c>
      <c r="T639" s="17">
        <v>0</v>
      </c>
      <c r="U639" s="17">
        <v>2.09</v>
      </c>
      <c r="V639" s="17">
        <v>0</v>
      </c>
      <c r="W639" s="17">
        <v>1.1299999999999999</v>
      </c>
      <c r="X639" s="17">
        <v>0</v>
      </c>
      <c r="Y639" s="17">
        <v>0</v>
      </c>
      <c r="Z639" s="17">
        <v>0</v>
      </c>
      <c r="AA639" s="17">
        <v>0</v>
      </c>
      <c r="AB639" s="17">
        <v>0</v>
      </c>
      <c r="AC639" s="17">
        <v>0</v>
      </c>
      <c r="AD639" s="17">
        <v>0</v>
      </c>
      <c r="AE639" s="17">
        <v>0</v>
      </c>
      <c r="AF639" s="17">
        <v>0</v>
      </c>
      <c r="AG639" s="17">
        <v>0</v>
      </c>
      <c r="AH639" s="17">
        <v>0</v>
      </c>
      <c r="AI639" s="17">
        <f t="shared" si="39"/>
        <v>7</v>
      </c>
      <c r="AJ639" s="17">
        <f t="shared" si="40"/>
        <v>6</v>
      </c>
      <c r="AK639" s="17">
        <f t="shared" si="41"/>
        <v>13</v>
      </c>
      <c r="AL639" s="17">
        <f t="shared" si="42"/>
        <v>0</v>
      </c>
      <c r="AM639" s="17">
        <f>VLOOKUP(AK639,Sheet1!$A$2:$B$25,2,FALSE)</f>
        <v>1</v>
      </c>
    </row>
    <row r="640" spans="1:39" s="17" customFormat="1" x14ac:dyDescent="0.25">
      <c r="A640" s="21">
        <v>44598.552083333336</v>
      </c>
      <c r="B640" s="17">
        <v>6.76</v>
      </c>
      <c r="C640" s="17">
        <v>2.42</v>
      </c>
      <c r="D640" s="17">
        <v>4.34</v>
      </c>
      <c r="E640" s="17">
        <v>0</v>
      </c>
      <c r="F640" s="17">
        <v>0</v>
      </c>
      <c r="G640" s="17">
        <v>0</v>
      </c>
      <c r="H640" s="17">
        <v>1.7</v>
      </c>
      <c r="I640" s="17">
        <v>0</v>
      </c>
      <c r="J640" s="17">
        <v>1.67</v>
      </c>
      <c r="K640" s="17">
        <v>0</v>
      </c>
      <c r="L640" s="17">
        <v>0</v>
      </c>
      <c r="M640" s="17">
        <v>0</v>
      </c>
      <c r="N640" s="17">
        <v>0</v>
      </c>
      <c r="O640" s="17">
        <v>0</v>
      </c>
      <c r="P640" s="17">
        <v>0</v>
      </c>
      <c r="Q640" s="17">
        <v>0</v>
      </c>
      <c r="R640" s="17">
        <v>0.51</v>
      </c>
      <c r="S640" s="17">
        <v>0</v>
      </c>
      <c r="T640" s="17">
        <v>0</v>
      </c>
      <c r="U640" s="17">
        <v>2.09</v>
      </c>
      <c r="V640" s="17">
        <v>0</v>
      </c>
      <c r="W640" s="17">
        <v>1.1299999999999999</v>
      </c>
      <c r="X640" s="17">
        <v>0</v>
      </c>
      <c r="Y640" s="17">
        <v>0</v>
      </c>
      <c r="Z640" s="17">
        <v>0</v>
      </c>
      <c r="AA640" s="17">
        <v>0</v>
      </c>
      <c r="AB640" s="17">
        <v>0</v>
      </c>
      <c r="AC640" s="17">
        <v>0</v>
      </c>
      <c r="AD640" s="17">
        <v>0</v>
      </c>
      <c r="AE640" s="17">
        <v>0</v>
      </c>
      <c r="AF640" s="17">
        <v>0</v>
      </c>
      <c r="AG640" s="17">
        <v>0</v>
      </c>
      <c r="AH640" s="17">
        <v>0</v>
      </c>
      <c r="AI640" s="17">
        <f t="shared" si="39"/>
        <v>7</v>
      </c>
      <c r="AJ640" s="17">
        <f t="shared" si="40"/>
        <v>6</v>
      </c>
      <c r="AK640" s="17">
        <f t="shared" si="41"/>
        <v>13</v>
      </c>
      <c r="AL640" s="17">
        <f t="shared" si="42"/>
        <v>0</v>
      </c>
      <c r="AM640" s="17">
        <f>VLOOKUP(AK640,Sheet1!$A$2:$B$25,2,FALSE)</f>
        <v>1</v>
      </c>
    </row>
    <row r="641" spans="1:39" s="17" customFormat="1" x14ac:dyDescent="0.25">
      <c r="A641" s="21">
        <v>44598.5625</v>
      </c>
      <c r="B641" s="17">
        <v>6.54</v>
      </c>
      <c r="C641" s="17">
        <v>2.34</v>
      </c>
      <c r="D641" s="17">
        <v>4.2</v>
      </c>
      <c r="E641" s="17">
        <v>0</v>
      </c>
      <c r="F641" s="17">
        <v>0</v>
      </c>
      <c r="G641" s="17">
        <v>0</v>
      </c>
      <c r="H641" s="17">
        <v>1.77</v>
      </c>
      <c r="I641" s="17">
        <v>0</v>
      </c>
      <c r="J641" s="17">
        <v>1.66</v>
      </c>
      <c r="K641" s="17">
        <v>0</v>
      </c>
      <c r="L641" s="17">
        <v>0</v>
      </c>
      <c r="M641" s="17">
        <v>0</v>
      </c>
      <c r="N641" s="17">
        <v>0</v>
      </c>
      <c r="O641" s="17">
        <v>0</v>
      </c>
      <c r="P641" s="17">
        <v>0</v>
      </c>
      <c r="Q641" s="17">
        <v>0</v>
      </c>
      <c r="R641" s="17">
        <v>0.34100000000000003</v>
      </c>
      <c r="S641" s="17">
        <v>0</v>
      </c>
      <c r="T641" s="17">
        <v>0</v>
      </c>
      <c r="U641" s="17">
        <v>2.1</v>
      </c>
      <c r="V641" s="17">
        <v>0</v>
      </c>
      <c r="W641" s="17">
        <v>1.1399999999999999</v>
      </c>
      <c r="X641" s="17">
        <v>0</v>
      </c>
      <c r="Y641" s="17">
        <v>0</v>
      </c>
      <c r="Z641" s="17">
        <v>0</v>
      </c>
      <c r="AA641" s="17">
        <v>0</v>
      </c>
      <c r="AB641" s="17">
        <v>0</v>
      </c>
      <c r="AC641" s="17">
        <v>0</v>
      </c>
      <c r="AD641" s="17">
        <v>0</v>
      </c>
      <c r="AE641" s="17">
        <v>0</v>
      </c>
      <c r="AF641" s="17">
        <v>0</v>
      </c>
      <c r="AG641" s="17">
        <v>0</v>
      </c>
      <c r="AH641" s="17">
        <v>0</v>
      </c>
      <c r="AI641" s="17">
        <f t="shared" si="39"/>
        <v>7</v>
      </c>
      <c r="AJ641" s="17">
        <f t="shared" si="40"/>
        <v>6</v>
      </c>
      <c r="AK641" s="17">
        <f t="shared" si="41"/>
        <v>13</v>
      </c>
      <c r="AL641" s="17">
        <f t="shared" si="42"/>
        <v>0</v>
      </c>
      <c r="AM641" s="17">
        <f>VLOOKUP(AK641,Sheet1!$A$2:$B$25,2,FALSE)</f>
        <v>1</v>
      </c>
    </row>
    <row r="642" spans="1:39" s="17" customFormat="1" x14ac:dyDescent="0.25">
      <c r="A642" s="21">
        <v>44598.572916666664</v>
      </c>
      <c r="B642" s="17">
        <v>6.88</v>
      </c>
      <c r="C642" s="17">
        <v>2.62</v>
      </c>
      <c r="D642" s="17">
        <v>4.26</v>
      </c>
      <c r="E642" s="17">
        <v>0</v>
      </c>
      <c r="F642" s="17">
        <v>0</v>
      </c>
      <c r="G642" s="17">
        <v>0</v>
      </c>
      <c r="H642" s="17">
        <v>1.8</v>
      </c>
      <c r="I642" s="17">
        <v>0</v>
      </c>
      <c r="J642" s="17">
        <v>1.75</v>
      </c>
      <c r="K642" s="17">
        <v>0</v>
      </c>
      <c r="L642" s="17">
        <v>0</v>
      </c>
      <c r="M642" s="17">
        <v>0</v>
      </c>
      <c r="N642" s="17">
        <v>0</v>
      </c>
      <c r="O642" s="17">
        <v>0</v>
      </c>
      <c r="P642" s="17">
        <v>0</v>
      </c>
      <c r="Q642" s="17">
        <v>0</v>
      </c>
      <c r="R642" s="17">
        <v>0.39789999999999998</v>
      </c>
      <c r="S642" s="17">
        <v>0</v>
      </c>
      <c r="T642" s="17">
        <v>0</v>
      </c>
      <c r="U642" s="17">
        <v>2.1</v>
      </c>
      <c r="V642" s="17">
        <v>0</v>
      </c>
      <c r="W642" s="17">
        <v>1.1399999999999999</v>
      </c>
      <c r="X642" s="17">
        <v>0</v>
      </c>
      <c r="Y642" s="17">
        <v>0</v>
      </c>
      <c r="Z642" s="17">
        <v>0</v>
      </c>
      <c r="AA642" s="17">
        <v>0</v>
      </c>
      <c r="AB642" s="17">
        <v>0</v>
      </c>
      <c r="AC642" s="17">
        <v>0</v>
      </c>
      <c r="AD642" s="17">
        <v>0</v>
      </c>
      <c r="AE642" s="17">
        <v>0</v>
      </c>
      <c r="AF642" s="17">
        <v>0</v>
      </c>
      <c r="AG642" s="17">
        <v>0</v>
      </c>
      <c r="AH642" s="17">
        <v>0</v>
      </c>
      <c r="AI642" s="17">
        <f t="shared" si="39"/>
        <v>7</v>
      </c>
      <c r="AJ642" s="17">
        <f t="shared" si="40"/>
        <v>6</v>
      </c>
      <c r="AK642" s="17">
        <f t="shared" si="41"/>
        <v>13</v>
      </c>
      <c r="AL642" s="17">
        <f t="shared" si="42"/>
        <v>0</v>
      </c>
      <c r="AM642" s="17">
        <f>VLOOKUP(AK642,Sheet1!$A$2:$B$25,2,FALSE)</f>
        <v>1</v>
      </c>
    </row>
    <row r="643" spans="1:39" s="17" customFormat="1" x14ac:dyDescent="0.25">
      <c r="A643" s="21">
        <v>44598.583333333336</v>
      </c>
      <c r="B643" s="17">
        <v>6.38</v>
      </c>
      <c r="C643" s="17">
        <v>2.2200000000000002</v>
      </c>
      <c r="D643" s="17">
        <v>4.16</v>
      </c>
      <c r="E643" s="17">
        <v>0</v>
      </c>
      <c r="F643" s="17">
        <v>0</v>
      </c>
      <c r="G643" s="17">
        <v>0</v>
      </c>
      <c r="H643" s="17">
        <v>1.83</v>
      </c>
      <c r="I643" s="17">
        <v>0</v>
      </c>
      <c r="J643" s="17">
        <v>1.73</v>
      </c>
      <c r="K643" s="17">
        <v>0</v>
      </c>
      <c r="L643" s="17">
        <v>0</v>
      </c>
      <c r="M643" s="17">
        <v>0</v>
      </c>
      <c r="N643" s="17">
        <v>0</v>
      </c>
      <c r="O643" s="17">
        <v>0</v>
      </c>
      <c r="P643" s="17">
        <v>0</v>
      </c>
      <c r="Q643" s="17">
        <v>0</v>
      </c>
      <c r="R643" s="17">
        <v>0.42709999999999998</v>
      </c>
      <c r="S643" s="17">
        <v>0</v>
      </c>
      <c r="T643" s="17">
        <v>0</v>
      </c>
      <c r="U643" s="17">
        <v>2.09</v>
      </c>
      <c r="V643" s="17">
        <v>0</v>
      </c>
      <c r="W643" s="17">
        <v>1.1399999999999999</v>
      </c>
      <c r="X643" s="17">
        <v>0</v>
      </c>
      <c r="Y643" s="17">
        <v>0</v>
      </c>
      <c r="Z643" s="17">
        <v>0</v>
      </c>
      <c r="AA643" s="17">
        <v>0</v>
      </c>
      <c r="AB643" s="17">
        <v>0</v>
      </c>
      <c r="AC643" s="17">
        <v>0</v>
      </c>
      <c r="AD643" s="17">
        <v>0</v>
      </c>
      <c r="AE643" s="17">
        <v>0</v>
      </c>
      <c r="AF643" s="17">
        <v>0</v>
      </c>
      <c r="AG643" s="17">
        <v>0</v>
      </c>
      <c r="AH643" s="17">
        <v>0</v>
      </c>
      <c r="AI643" s="17">
        <f t="shared" si="39"/>
        <v>7</v>
      </c>
      <c r="AJ643" s="17">
        <f t="shared" si="40"/>
        <v>6</v>
      </c>
      <c r="AK643" s="17">
        <f t="shared" si="41"/>
        <v>14</v>
      </c>
      <c r="AL643" s="17">
        <f t="shared" si="42"/>
        <v>0</v>
      </c>
      <c r="AM643" s="17">
        <f>VLOOKUP(AK643,Sheet1!$A$2:$B$25,2,FALSE)</f>
        <v>1</v>
      </c>
    </row>
    <row r="644" spans="1:39" s="17" customFormat="1" x14ac:dyDescent="0.25">
      <c r="A644" s="21">
        <v>44598.59375</v>
      </c>
      <c r="B644" s="17">
        <v>6.81</v>
      </c>
      <c r="C644" s="17">
        <v>2.33</v>
      </c>
      <c r="D644" s="17">
        <v>4.4800000000000004</v>
      </c>
      <c r="E644" s="17">
        <v>0</v>
      </c>
      <c r="F644" s="17">
        <v>0</v>
      </c>
      <c r="G644" s="17">
        <v>0</v>
      </c>
      <c r="H644" s="17">
        <v>1.7</v>
      </c>
      <c r="I644" s="17">
        <v>0</v>
      </c>
      <c r="J644" s="17">
        <v>1.67</v>
      </c>
      <c r="K644" s="17">
        <v>0</v>
      </c>
      <c r="L644" s="17">
        <v>0</v>
      </c>
      <c r="M644" s="17">
        <v>0</v>
      </c>
      <c r="N644" s="17">
        <v>0</v>
      </c>
      <c r="O644" s="17">
        <v>0</v>
      </c>
      <c r="P644" s="17">
        <v>0</v>
      </c>
      <c r="Q644" s="17">
        <v>0</v>
      </c>
      <c r="R644" s="17">
        <v>0.4713</v>
      </c>
      <c r="S644" s="17">
        <v>0</v>
      </c>
      <c r="T644" s="17">
        <v>0</v>
      </c>
      <c r="U644" s="17">
        <v>2.12</v>
      </c>
      <c r="V644" s="17">
        <v>0</v>
      </c>
      <c r="W644" s="17">
        <v>1.1499999999999999</v>
      </c>
      <c r="X644" s="17">
        <v>0</v>
      </c>
      <c r="Y644" s="17">
        <v>0</v>
      </c>
      <c r="Z644" s="17">
        <v>0</v>
      </c>
      <c r="AA644" s="17">
        <v>0</v>
      </c>
      <c r="AB644" s="17">
        <v>0</v>
      </c>
      <c r="AC644" s="17">
        <v>0</v>
      </c>
      <c r="AD644" s="17">
        <v>0</v>
      </c>
      <c r="AE644" s="17">
        <v>0</v>
      </c>
      <c r="AF644" s="17">
        <v>0</v>
      </c>
      <c r="AG644" s="17">
        <v>0</v>
      </c>
      <c r="AH644" s="17">
        <v>0</v>
      </c>
      <c r="AI644" s="17">
        <f t="shared" si="39"/>
        <v>7</v>
      </c>
      <c r="AJ644" s="17">
        <f t="shared" si="40"/>
        <v>6</v>
      </c>
      <c r="AK644" s="17">
        <f t="shared" si="41"/>
        <v>14</v>
      </c>
      <c r="AL644" s="17">
        <f t="shared" si="42"/>
        <v>0</v>
      </c>
      <c r="AM644" s="17">
        <f>VLOOKUP(AK644,Sheet1!$A$2:$B$25,2,FALSE)</f>
        <v>1</v>
      </c>
    </row>
    <row r="645" spans="1:39" s="17" customFormat="1" x14ac:dyDescent="0.25">
      <c r="A645" s="21">
        <v>44598.604166666664</v>
      </c>
      <c r="B645" s="17">
        <v>6.73</v>
      </c>
      <c r="C645" s="17">
        <v>2.4900000000000002</v>
      </c>
      <c r="D645" s="17">
        <v>4.24</v>
      </c>
      <c r="E645" s="17">
        <v>0</v>
      </c>
      <c r="F645" s="17">
        <v>0</v>
      </c>
      <c r="G645" s="17">
        <v>0</v>
      </c>
      <c r="H645" s="17">
        <v>1.77</v>
      </c>
      <c r="I645" s="17">
        <v>0</v>
      </c>
      <c r="J645" s="17">
        <v>1.69</v>
      </c>
      <c r="K645" s="17">
        <v>0</v>
      </c>
      <c r="L645" s="17">
        <v>0</v>
      </c>
      <c r="M645" s="17">
        <v>0</v>
      </c>
      <c r="N645" s="17">
        <v>0</v>
      </c>
      <c r="O645" s="17">
        <v>0</v>
      </c>
      <c r="P645" s="17">
        <v>0</v>
      </c>
      <c r="Q645" s="17">
        <v>0</v>
      </c>
      <c r="R645" s="17">
        <v>0.2424</v>
      </c>
      <c r="S645" s="17">
        <v>0</v>
      </c>
      <c r="T645" s="17">
        <v>0</v>
      </c>
      <c r="U645" s="17">
        <v>2.1</v>
      </c>
      <c r="V645" s="17">
        <v>0</v>
      </c>
      <c r="W645" s="17">
        <v>1.1399999999999999</v>
      </c>
      <c r="X645" s="17">
        <v>0</v>
      </c>
      <c r="Y645" s="17">
        <v>0</v>
      </c>
      <c r="Z645" s="17">
        <v>0</v>
      </c>
      <c r="AA645" s="17">
        <v>0</v>
      </c>
      <c r="AB645" s="17">
        <v>0</v>
      </c>
      <c r="AC645" s="17">
        <v>0</v>
      </c>
      <c r="AD645" s="17">
        <v>0</v>
      </c>
      <c r="AE645" s="17">
        <v>0</v>
      </c>
      <c r="AF645" s="17">
        <v>0</v>
      </c>
      <c r="AG645" s="17">
        <v>0</v>
      </c>
      <c r="AH645" s="17">
        <v>0</v>
      </c>
      <c r="AI645" s="17">
        <f t="shared" si="39"/>
        <v>7</v>
      </c>
      <c r="AJ645" s="17">
        <f t="shared" si="40"/>
        <v>6</v>
      </c>
      <c r="AK645" s="17">
        <f t="shared" si="41"/>
        <v>14</v>
      </c>
      <c r="AL645" s="17">
        <f t="shared" si="42"/>
        <v>0</v>
      </c>
      <c r="AM645" s="17">
        <f>VLOOKUP(AK645,Sheet1!$A$2:$B$25,2,FALSE)</f>
        <v>1</v>
      </c>
    </row>
    <row r="646" spans="1:39" s="17" customFormat="1" x14ac:dyDescent="0.25">
      <c r="A646" s="21">
        <v>44598.614583333336</v>
      </c>
      <c r="B646" s="17">
        <v>6.48</v>
      </c>
      <c r="C646" s="17">
        <v>2.2400000000000002</v>
      </c>
      <c r="D646" s="17">
        <v>4.2300000000000004</v>
      </c>
      <c r="E646" s="17">
        <v>0</v>
      </c>
      <c r="F646" s="17">
        <v>0</v>
      </c>
      <c r="G646" s="17">
        <v>0</v>
      </c>
      <c r="H646" s="17">
        <v>1.73</v>
      </c>
      <c r="I646" s="17">
        <v>0</v>
      </c>
      <c r="J646" s="17">
        <v>1.64</v>
      </c>
      <c r="K646" s="17">
        <v>0</v>
      </c>
      <c r="L646" s="17">
        <v>0</v>
      </c>
      <c r="M646" s="17">
        <v>0</v>
      </c>
      <c r="N646" s="17">
        <v>0</v>
      </c>
      <c r="O646" s="17">
        <v>0</v>
      </c>
      <c r="P646" s="17">
        <v>0</v>
      </c>
      <c r="Q646" s="17">
        <v>0</v>
      </c>
      <c r="R646" s="17">
        <v>0.24160000000000001</v>
      </c>
      <c r="S646" s="17">
        <v>0</v>
      </c>
      <c r="T646" s="17">
        <v>0</v>
      </c>
      <c r="U646" s="17">
        <v>2.11</v>
      </c>
      <c r="V646" s="17">
        <v>0</v>
      </c>
      <c r="W646" s="17">
        <v>1.1499999999999999</v>
      </c>
      <c r="X646" s="17">
        <v>0</v>
      </c>
      <c r="Y646" s="17">
        <v>0</v>
      </c>
      <c r="Z646" s="17">
        <v>0</v>
      </c>
      <c r="AA646" s="17">
        <v>0</v>
      </c>
      <c r="AB646" s="17">
        <v>0</v>
      </c>
      <c r="AC646" s="17">
        <v>0</v>
      </c>
      <c r="AD646" s="17">
        <v>0</v>
      </c>
      <c r="AE646" s="17">
        <v>0</v>
      </c>
      <c r="AF646" s="17">
        <v>0</v>
      </c>
      <c r="AG646" s="17">
        <v>0</v>
      </c>
      <c r="AH646" s="17">
        <v>0</v>
      </c>
      <c r="AI646" s="17">
        <f t="shared" si="39"/>
        <v>7</v>
      </c>
      <c r="AJ646" s="17">
        <f t="shared" si="40"/>
        <v>6</v>
      </c>
      <c r="AK646" s="17">
        <f t="shared" si="41"/>
        <v>14</v>
      </c>
      <c r="AL646" s="17">
        <f t="shared" si="42"/>
        <v>0</v>
      </c>
      <c r="AM646" s="17">
        <f>VLOOKUP(AK646,Sheet1!$A$2:$B$25,2,FALSE)</f>
        <v>1</v>
      </c>
    </row>
    <row r="647" spans="1:39" s="17" customFormat="1" x14ac:dyDescent="0.25">
      <c r="A647" s="21">
        <v>44598.625</v>
      </c>
      <c r="B647" s="17">
        <v>6.29</v>
      </c>
      <c r="C647" s="17">
        <v>2.04</v>
      </c>
      <c r="D647" s="17">
        <v>4.25</v>
      </c>
      <c r="E647" s="17">
        <v>0</v>
      </c>
      <c r="F647" s="17">
        <v>0</v>
      </c>
      <c r="G647" s="17">
        <v>0</v>
      </c>
      <c r="H647" s="17">
        <v>1.71</v>
      </c>
      <c r="I647" s="17">
        <v>0</v>
      </c>
      <c r="J647" s="17">
        <v>1.68</v>
      </c>
      <c r="K647" s="17">
        <v>0</v>
      </c>
      <c r="L647" s="17">
        <v>0</v>
      </c>
      <c r="M647" s="17">
        <v>0</v>
      </c>
      <c r="N647" s="17">
        <v>0</v>
      </c>
      <c r="O647" s="17">
        <v>0</v>
      </c>
      <c r="P647" s="17">
        <v>0</v>
      </c>
      <c r="Q647" s="17">
        <v>0</v>
      </c>
      <c r="R647" s="17">
        <v>0.34179999999999999</v>
      </c>
      <c r="S647" s="17">
        <v>0</v>
      </c>
      <c r="T647" s="17">
        <v>0</v>
      </c>
      <c r="U647" s="17">
        <v>2.11</v>
      </c>
      <c r="V647" s="17">
        <v>0</v>
      </c>
      <c r="W647" s="17">
        <v>1.1499999999999999</v>
      </c>
      <c r="X647" s="17">
        <v>0</v>
      </c>
      <c r="Y647" s="17">
        <v>0</v>
      </c>
      <c r="Z647" s="17">
        <v>0</v>
      </c>
      <c r="AA647" s="17">
        <v>0</v>
      </c>
      <c r="AB647" s="17">
        <v>0</v>
      </c>
      <c r="AC647" s="17">
        <v>0</v>
      </c>
      <c r="AD647" s="17">
        <v>0</v>
      </c>
      <c r="AE647" s="17">
        <v>0</v>
      </c>
      <c r="AF647" s="17">
        <v>0</v>
      </c>
      <c r="AG647" s="17">
        <v>0</v>
      </c>
      <c r="AH647" s="17">
        <v>0</v>
      </c>
      <c r="AI647" s="17">
        <f t="shared" si="39"/>
        <v>7</v>
      </c>
      <c r="AJ647" s="17">
        <f t="shared" si="40"/>
        <v>6</v>
      </c>
      <c r="AK647" s="17">
        <f t="shared" si="41"/>
        <v>15</v>
      </c>
      <c r="AL647" s="17">
        <f t="shared" si="42"/>
        <v>0</v>
      </c>
      <c r="AM647" s="17">
        <f>VLOOKUP(AK647,Sheet1!$A$2:$B$25,2,FALSE)</f>
        <v>1</v>
      </c>
    </row>
    <row r="648" spans="1:39" s="17" customFormat="1" x14ac:dyDescent="0.25">
      <c r="A648" s="21">
        <v>44598.635416666664</v>
      </c>
      <c r="B648" s="17">
        <v>7.02</v>
      </c>
      <c r="C648" s="17">
        <v>2.77</v>
      </c>
      <c r="D648" s="17">
        <v>4.25</v>
      </c>
      <c r="E648" s="17">
        <v>0</v>
      </c>
      <c r="F648" s="17">
        <v>0</v>
      </c>
      <c r="G648" s="17">
        <v>0</v>
      </c>
      <c r="H648" s="17">
        <v>1.69</v>
      </c>
      <c r="I648" s="17">
        <v>0</v>
      </c>
      <c r="J648" s="17">
        <v>1.64</v>
      </c>
      <c r="K648" s="17">
        <v>0</v>
      </c>
      <c r="L648" s="17">
        <v>0</v>
      </c>
      <c r="M648" s="17">
        <v>0</v>
      </c>
      <c r="N648" s="17">
        <v>0</v>
      </c>
      <c r="O648" s="17">
        <v>0</v>
      </c>
      <c r="P648" s="17">
        <v>0</v>
      </c>
      <c r="Q648" s="17">
        <v>0</v>
      </c>
      <c r="R648" s="17">
        <v>0.43890000000000001</v>
      </c>
      <c r="S648" s="17">
        <v>0</v>
      </c>
      <c r="T648" s="17">
        <v>0</v>
      </c>
      <c r="U648" s="17">
        <v>2.09</v>
      </c>
      <c r="V648" s="17">
        <v>0</v>
      </c>
      <c r="W648" s="17">
        <v>1.1200000000000001</v>
      </c>
      <c r="X648" s="17">
        <v>0</v>
      </c>
      <c r="Y648" s="17">
        <v>0</v>
      </c>
      <c r="Z648" s="17">
        <v>0</v>
      </c>
      <c r="AA648" s="17">
        <v>0</v>
      </c>
      <c r="AB648" s="17">
        <v>0</v>
      </c>
      <c r="AC648" s="17">
        <v>0</v>
      </c>
      <c r="AD648" s="17">
        <v>0</v>
      </c>
      <c r="AE648" s="17">
        <v>0</v>
      </c>
      <c r="AF648" s="17">
        <v>0</v>
      </c>
      <c r="AG648" s="17">
        <v>0</v>
      </c>
      <c r="AH648" s="17">
        <v>0</v>
      </c>
      <c r="AI648" s="17">
        <f t="shared" si="39"/>
        <v>7</v>
      </c>
      <c r="AJ648" s="17">
        <f t="shared" si="40"/>
        <v>6</v>
      </c>
      <c r="AK648" s="17">
        <f t="shared" si="41"/>
        <v>15</v>
      </c>
      <c r="AL648" s="17">
        <f t="shared" si="42"/>
        <v>0</v>
      </c>
      <c r="AM648" s="17">
        <f>VLOOKUP(AK648,Sheet1!$A$2:$B$25,2,FALSE)</f>
        <v>1</v>
      </c>
    </row>
    <row r="649" spans="1:39" s="17" customFormat="1" x14ac:dyDescent="0.25">
      <c r="A649" s="21">
        <v>44598.645833333336</v>
      </c>
      <c r="B649" s="17">
        <v>5.4</v>
      </c>
      <c r="C649" s="17">
        <v>1.31</v>
      </c>
      <c r="D649" s="17">
        <v>4.09</v>
      </c>
      <c r="E649" s="17">
        <v>0</v>
      </c>
      <c r="F649" s="17">
        <v>0</v>
      </c>
      <c r="G649" s="17">
        <v>0</v>
      </c>
      <c r="H649" s="17">
        <v>1.72</v>
      </c>
      <c r="I649" s="17">
        <v>0</v>
      </c>
      <c r="J649" s="17">
        <v>1.64</v>
      </c>
      <c r="K649" s="17">
        <v>0</v>
      </c>
      <c r="L649" s="17">
        <v>0</v>
      </c>
      <c r="M649" s="17">
        <v>0</v>
      </c>
      <c r="N649" s="17">
        <v>0</v>
      </c>
      <c r="O649" s="17">
        <v>0</v>
      </c>
      <c r="P649" s="17">
        <v>0</v>
      </c>
      <c r="Q649" s="17">
        <v>0</v>
      </c>
      <c r="R649" s="17">
        <v>0.34660000000000002</v>
      </c>
      <c r="S649" s="17">
        <v>0</v>
      </c>
      <c r="T649" s="17">
        <v>0</v>
      </c>
      <c r="U649" s="17">
        <v>2.0699999999999998</v>
      </c>
      <c r="V649" s="17">
        <v>0</v>
      </c>
      <c r="W649" s="17">
        <v>1.1100000000000001</v>
      </c>
      <c r="X649" s="17">
        <v>0</v>
      </c>
      <c r="Y649" s="17">
        <v>0</v>
      </c>
      <c r="Z649" s="17">
        <v>0</v>
      </c>
      <c r="AA649" s="17">
        <v>0</v>
      </c>
      <c r="AB649" s="17">
        <v>0</v>
      </c>
      <c r="AC649" s="17">
        <v>0</v>
      </c>
      <c r="AD649" s="17">
        <v>0</v>
      </c>
      <c r="AE649" s="17">
        <v>0</v>
      </c>
      <c r="AF649" s="17">
        <v>0</v>
      </c>
      <c r="AG649" s="17">
        <v>0</v>
      </c>
      <c r="AH649" s="17">
        <v>0</v>
      </c>
      <c r="AI649" s="17">
        <f t="shared" si="39"/>
        <v>7</v>
      </c>
      <c r="AJ649" s="17">
        <f t="shared" si="40"/>
        <v>6</v>
      </c>
      <c r="AK649" s="17">
        <f t="shared" si="41"/>
        <v>15</v>
      </c>
      <c r="AL649" s="17">
        <f t="shared" si="42"/>
        <v>0</v>
      </c>
      <c r="AM649" s="17">
        <f>VLOOKUP(AK649,Sheet1!$A$2:$B$25,2,FALSE)</f>
        <v>1</v>
      </c>
    </row>
    <row r="650" spans="1:39" s="17" customFormat="1" x14ac:dyDescent="0.25">
      <c r="A650" s="21">
        <v>44598.65625</v>
      </c>
      <c r="B650" s="17">
        <v>5.1100000000000003</v>
      </c>
      <c r="C650" s="17">
        <v>0.90939999999999999</v>
      </c>
      <c r="D650" s="17">
        <v>4.2</v>
      </c>
      <c r="E650" s="17">
        <v>0</v>
      </c>
      <c r="F650" s="17">
        <v>0</v>
      </c>
      <c r="G650" s="17">
        <v>0</v>
      </c>
      <c r="H650" s="17">
        <v>1.66</v>
      </c>
      <c r="I650" s="17">
        <v>0</v>
      </c>
      <c r="J650" s="17">
        <v>1.66</v>
      </c>
      <c r="K650" s="17">
        <v>0</v>
      </c>
      <c r="L650" s="17">
        <v>0</v>
      </c>
      <c r="M650" s="17">
        <v>0</v>
      </c>
      <c r="N650" s="17">
        <v>0</v>
      </c>
      <c r="O650" s="17">
        <v>0</v>
      </c>
      <c r="P650" s="17">
        <v>0</v>
      </c>
      <c r="Q650" s="17">
        <v>0</v>
      </c>
      <c r="R650" s="17">
        <v>0.28100000000000003</v>
      </c>
      <c r="S650" s="17">
        <v>0</v>
      </c>
      <c r="T650" s="17">
        <v>0</v>
      </c>
      <c r="U650" s="17">
        <v>2.0699999999999998</v>
      </c>
      <c r="V650" s="17">
        <v>0</v>
      </c>
      <c r="W650" s="17">
        <v>1.1100000000000001</v>
      </c>
      <c r="X650" s="17">
        <v>0</v>
      </c>
      <c r="Y650" s="17">
        <v>0</v>
      </c>
      <c r="Z650" s="17">
        <v>0</v>
      </c>
      <c r="AA650" s="17">
        <v>0</v>
      </c>
      <c r="AB650" s="17">
        <v>0</v>
      </c>
      <c r="AC650" s="17">
        <v>0</v>
      </c>
      <c r="AD650" s="17">
        <v>0</v>
      </c>
      <c r="AE650" s="17">
        <v>0</v>
      </c>
      <c r="AF650" s="17">
        <v>0</v>
      </c>
      <c r="AG650" s="17">
        <v>0</v>
      </c>
      <c r="AH650" s="17">
        <v>0</v>
      </c>
      <c r="AI650" s="17">
        <f t="shared" si="39"/>
        <v>7</v>
      </c>
      <c r="AJ650" s="17">
        <f t="shared" si="40"/>
        <v>6</v>
      </c>
      <c r="AK650" s="17">
        <f t="shared" si="41"/>
        <v>15</v>
      </c>
      <c r="AL650" s="17">
        <f t="shared" si="42"/>
        <v>0</v>
      </c>
      <c r="AM650" s="17">
        <f>VLOOKUP(AK650,Sheet1!$A$2:$B$25,2,FALSE)</f>
        <v>1</v>
      </c>
    </row>
    <row r="651" spans="1:39" s="17" customFormat="1" x14ac:dyDescent="0.25">
      <c r="A651" s="21">
        <v>44598.666666666664</v>
      </c>
      <c r="B651" s="17">
        <v>5.94</v>
      </c>
      <c r="C651" s="17">
        <v>1.8</v>
      </c>
      <c r="D651" s="17">
        <v>4.1500000000000004</v>
      </c>
      <c r="E651" s="17">
        <v>0</v>
      </c>
      <c r="F651" s="17">
        <v>0</v>
      </c>
      <c r="G651" s="17">
        <v>0</v>
      </c>
      <c r="H651" s="17">
        <v>1.75</v>
      </c>
      <c r="I651" s="17">
        <v>0</v>
      </c>
      <c r="J651" s="17">
        <v>1.67</v>
      </c>
      <c r="K651" s="17">
        <v>0</v>
      </c>
      <c r="L651" s="17">
        <v>0</v>
      </c>
      <c r="M651" s="17">
        <v>0</v>
      </c>
      <c r="N651" s="17">
        <v>0</v>
      </c>
      <c r="O651" s="17">
        <v>0</v>
      </c>
      <c r="P651" s="17">
        <v>0</v>
      </c>
      <c r="Q651" s="17">
        <v>0</v>
      </c>
      <c r="R651" s="17">
        <v>0.32679999999999998</v>
      </c>
      <c r="S651" s="17">
        <v>0</v>
      </c>
      <c r="T651" s="17">
        <v>0</v>
      </c>
      <c r="U651" s="17">
        <v>2.06</v>
      </c>
      <c r="V651" s="17">
        <v>0</v>
      </c>
      <c r="W651" s="17">
        <v>1.1000000000000001</v>
      </c>
      <c r="X651" s="17">
        <v>0</v>
      </c>
      <c r="Y651" s="17">
        <v>0</v>
      </c>
      <c r="Z651" s="17">
        <v>0</v>
      </c>
      <c r="AA651" s="17">
        <v>0</v>
      </c>
      <c r="AB651" s="17">
        <v>0</v>
      </c>
      <c r="AC651" s="17">
        <v>0</v>
      </c>
      <c r="AD651" s="17">
        <v>0</v>
      </c>
      <c r="AE651" s="17">
        <v>0</v>
      </c>
      <c r="AF651" s="17">
        <v>0</v>
      </c>
      <c r="AG651" s="17">
        <v>0</v>
      </c>
      <c r="AH651" s="17">
        <v>0</v>
      </c>
      <c r="AI651" s="17">
        <f t="shared" ref="AI651:AI682" si="43">WEEKDAY(A651,2)</f>
        <v>7</v>
      </c>
      <c r="AJ651" s="17">
        <f t="shared" ref="AJ651:AJ682" si="44">DAY(A651)</f>
        <v>6</v>
      </c>
      <c r="AK651" s="17">
        <f t="shared" ref="AK651:AK682" si="45">HOUR(A651)</f>
        <v>16</v>
      </c>
      <c r="AL651" s="17">
        <f t="shared" ref="AL651:AL682" si="46">IF(AI651&gt;=6,0,1)</f>
        <v>0</v>
      </c>
      <c r="AM651" s="17">
        <f>VLOOKUP(AK651,Sheet1!$A$2:$B$25,2,FALSE)</f>
        <v>0</v>
      </c>
    </row>
    <row r="652" spans="1:39" s="17" customFormat="1" x14ac:dyDescent="0.25">
      <c r="A652" s="21">
        <v>44598.677083333336</v>
      </c>
      <c r="B652" s="17">
        <v>6.21</v>
      </c>
      <c r="C652" s="17">
        <v>2.0299999999999998</v>
      </c>
      <c r="D652" s="17">
        <v>4.18</v>
      </c>
      <c r="E652" s="17">
        <v>0</v>
      </c>
      <c r="F652" s="17">
        <v>0</v>
      </c>
      <c r="G652" s="17">
        <v>0</v>
      </c>
      <c r="H652" s="17">
        <v>1.58</v>
      </c>
      <c r="I652" s="17">
        <v>0</v>
      </c>
      <c r="J652" s="17">
        <v>1.64</v>
      </c>
      <c r="K652" s="17">
        <v>0</v>
      </c>
      <c r="L652" s="17">
        <v>0</v>
      </c>
      <c r="M652" s="17">
        <v>0</v>
      </c>
      <c r="N652" s="17">
        <v>0</v>
      </c>
      <c r="O652" s="17">
        <v>0</v>
      </c>
      <c r="P652" s="17">
        <v>0</v>
      </c>
      <c r="Q652" s="17">
        <v>0</v>
      </c>
      <c r="R652" s="17">
        <v>0.60240000000000005</v>
      </c>
      <c r="S652" s="17">
        <v>0</v>
      </c>
      <c r="T652" s="17">
        <v>0</v>
      </c>
      <c r="U652" s="17">
        <v>2.04</v>
      </c>
      <c r="V652" s="17">
        <v>0</v>
      </c>
      <c r="W652" s="17">
        <v>1.0900000000000001</v>
      </c>
      <c r="X652" s="17">
        <v>0</v>
      </c>
      <c r="Y652" s="17">
        <v>0</v>
      </c>
      <c r="Z652" s="17">
        <v>0</v>
      </c>
      <c r="AA652" s="17">
        <v>0</v>
      </c>
      <c r="AB652" s="17">
        <v>0</v>
      </c>
      <c r="AC652" s="17">
        <v>0</v>
      </c>
      <c r="AD652" s="17">
        <v>0</v>
      </c>
      <c r="AE652" s="17">
        <v>0</v>
      </c>
      <c r="AF652" s="17">
        <v>0</v>
      </c>
      <c r="AG652" s="17">
        <v>0</v>
      </c>
      <c r="AH652" s="17">
        <v>0</v>
      </c>
      <c r="AI652" s="17">
        <f t="shared" si="43"/>
        <v>7</v>
      </c>
      <c r="AJ652" s="17">
        <f t="shared" si="44"/>
        <v>6</v>
      </c>
      <c r="AK652" s="17">
        <f t="shared" si="45"/>
        <v>16</v>
      </c>
      <c r="AL652" s="17">
        <f t="shared" si="46"/>
        <v>0</v>
      </c>
      <c r="AM652" s="17">
        <f>VLOOKUP(AK652,Sheet1!$A$2:$B$25,2,FALSE)</f>
        <v>0</v>
      </c>
    </row>
    <row r="653" spans="1:39" s="17" customFormat="1" x14ac:dyDescent="0.25">
      <c r="A653" s="21">
        <v>44598.6875</v>
      </c>
      <c r="B653" s="17">
        <v>7.26</v>
      </c>
      <c r="C653" s="17">
        <v>3.18</v>
      </c>
      <c r="D653" s="17">
        <v>4.08</v>
      </c>
      <c r="E653" s="17">
        <v>0</v>
      </c>
      <c r="F653" s="17">
        <v>0</v>
      </c>
      <c r="G653" s="17">
        <v>0</v>
      </c>
      <c r="H653" s="17">
        <v>1.6</v>
      </c>
      <c r="I653" s="17">
        <v>0</v>
      </c>
      <c r="J653" s="17">
        <v>1.69</v>
      </c>
      <c r="K653" s="17">
        <v>0</v>
      </c>
      <c r="L653" s="17">
        <v>0</v>
      </c>
      <c r="M653" s="17">
        <v>0</v>
      </c>
      <c r="N653" s="17">
        <v>0</v>
      </c>
      <c r="O653" s="17">
        <v>0</v>
      </c>
      <c r="P653" s="17">
        <v>0</v>
      </c>
      <c r="Q653" s="17">
        <v>0</v>
      </c>
      <c r="R653" s="17">
        <v>0.44290000000000002</v>
      </c>
      <c r="S653" s="17">
        <v>0</v>
      </c>
      <c r="T653" s="17">
        <v>0</v>
      </c>
      <c r="U653" s="17">
        <v>2.04</v>
      </c>
      <c r="V653" s="17">
        <v>0</v>
      </c>
      <c r="W653" s="17">
        <v>1.0900000000000001</v>
      </c>
      <c r="X653" s="17">
        <v>0</v>
      </c>
      <c r="Y653" s="17">
        <v>0</v>
      </c>
      <c r="Z653" s="17">
        <v>0</v>
      </c>
      <c r="AA653" s="17">
        <v>0</v>
      </c>
      <c r="AB653" s="17">
        <v>0</v>
      </c>
      <c r="AC653" s="17">
        <v>0</v>
      </c>
      <c r="AD653" s="17">
        <v>0</v>
      </c>
      <c r="AE653" s="17">
        <v>0</v>
      </c>
      <c r="AF653" s="17">
        <v>0</v>
      </c>
      <c r="AG653" s="17">
        <v>0</v>
      </c>
      <c r="AH653" s="17">
        <v>0</v>
      </c>
      <c r="AI653" s="17">
        <f t="shared" si="43"/>
        <v>7</v>
      </c>
      <c r="AJ653" s="17">
        <f t="shared" si="44"/>
        <v>6</v>
      </c>
      <c r="AK653" s="17">
        <f t="shared" si="45"/>
        <v>16</v>
      </c>
      <c r="AL653" s="17">
        <f t="shared" si="46"/>
        <v>0</v>
      </c>
      <c r="AM653" s="17">
        <f>VLOOKUP(AK653,Sheet1!$A$2:$B$25,2,FALSE)</f>
        <v>0</v>
      </c>
    </row>
    <row r="654" spans="1:39" s="17" customFormat="1" x14ac:dyDescent="0.25">
      <c r="A654" s="21">
        <v>44598.697916666664</v>
      </c>
      <c r="B654" s="17">
        <v>6.34</v>
      </c>
      <c r="C654" s="17">
        <v>2.29</v>
      </c>
      <c r="D654" s="17">
        <v>4.05</v>
      </c>
      <c r="E654" s="17">
        <v>0</v>
      </c>
      <c r="F654" s="17">
        <v>0</v>
      </c>
      <c r="G654" s="17">
        <v>0</v>
      </c>
      <c r="H654" s="17">
        <v>1.59</v>
      </c>
      <c r="I654" s="17">
        <v>0</v>
      </c>
      <c r="J654" s="17">
        <v>1.61</v>
      </c>
      <c r="K654" s="17">
        <v>0</v>
      </c>
      <c r="L654" s="17">
        <v>0</v>
      </c>
      <c r="M654" s="17">
        <v>0</v>
      </c>
      <c r="N654" s="17">
        <v>0</v>
      </c>
      <c r="O654" s="17">
        <v>0</v>
      </c>
      <c r="P654" s="17">
        <v>0</v>
      </c>
      <c r="Q654" s="17">
        <v>0</v>
      </c>
      <c r="R654" s="17">
        <v>0.43809999999999999</v>
      </c>
      <c r="S654" s="17">
        <v>0</v>
      </c>
      <c r="T654" s="17">
        <v>0</v>
      </c>
      <c r="U654" s="17">
        <v>2.0299999999999998</v>
      </c>
      <c r="V654" s="17">
        <v>0</v>
      </c>
      <c r="W654" s="17">
        <v>1.07</v>
      </c>
      <c r="X654" s="17">
        <v>0</v>
      </c>
      <c r="Y654" s="17">
        <v>0</v>
      </c>
      <c r="Z654" s="17">
        <v>0</v>
      </c>
      <c r="AA654" s="17">
        <v>0</v>
      </c>
      <c r="AB654" s="17">
        <v>0</v>
      </c>
      <c r="AC654" s="17">
        <v>0</v>
      </c>
      <c r="AD654" s="17">
        <v>0</v>
      </c>
      <c r="AE654" s="17">
        <v>0</v>
      </c>
      <c r="AF654" s="17">
        <v>0</v>
      </c>
      <c r="AG654" s="17">
        <v>0</v>
      </c>
      <c r="AH654" s="17">
        <v>0</v>
      </c>
      <c r="AI654" s="17">
        <f t="shared" si="43"/>
        <v>7</v>
      </c>
      <c r="AJ654" s="17">
        <f t="shared" si="44"/>
        <v>6</v>
      </c>
      <c r="AK654" s="17">
        <f t="shared" si="45"/>
        <v>16</v>
      </c>
      <c r="AL654" s="17">
        <f t="shared" si="46"/>
        <v>0</v>
      </c>
      <c r="AM654" s="17">
        <f>VLOOKUP(AK654,Sheet1!$A$2:$B$25,2,FALSE)</f>
        <v>0</v>
      </c>
    </row>
    <row r="655" spans="1:39" s="17" customFormat="1" x14ac:dyDescent="0.25">
      <c r="A655" s="21">
        <v>44598.708333333336</v>
      </c>
      <c r="B655" s="17">
        <v>5.59</v>
      </c>
      <c r="C655" s="17">
        <v>1.37</v>
      </c>
      <c r="D655" s="17">
        <v>4.22</v>
      </c>
      <c r="E655" s="17">
        <v>0</v>
      </c>
      <c r="F655" s="17">
        <v>0</v>
      </c>
      <c r="G655" s="17">
        <v>0</v>
      </c>
      <c r="H655" s="17">
        <v>1.65</v>
      </c>
      <c r="I655" s="17">
        <v>0</v>
      </c>
      <c r="J655" s="17">
        <v>1.66</v>
      </c>
      <c r="K655" s="17">
        <v>0</v>
      </c>
      <c r="L655" s="17">
        <v>0</v>
      </c>
      <c r="M655" s="17">
        <v>0</v>
      </c>
      <c r="N655" s="17">
        <v>0</v>
      </c>
      <c r="O655" s="17">
        <v>0</v>
      </c>
      <c r="P655" s="17">
        <v>0</v>
      </c>
      <c r="Q655" s="17">
        <v>0</v>
      </c>
      <c r="R655" s="17">
        <v>0.29289999999999999</v>
      </c>
      <c r="S655" s="17">
        <v>0</v>
      </c>
      <c r="T655" s="17">
        <v>0</v>
      </c>
      <c r="U655" s="17">
        <v>2.0299999999999998</v>
      </c>
      <c r="V655" s="17">
        <v>0</v>
      </c>
      <c r="W655" s="17">
        <v>1.0900000000000001</v>
      </c>
      <c r="X655" s="17">
        <v>0</v>
      </c>
      <c r="Y655" s="17">
        <v>0</v>
      </c>
      <c r="Z655" s="17">
        <v>0</v>
      </c>
      <c r="AA655" s="17">
        <v>0</v>
      </c>
      <c r="AB655" s="17">
        <v>0</v>
      </c>
      <c r="AC655" s="17">
        <v>0</v>
      </c>
      <c r="AD655" s="17">
        <v>0</v>
      </c>
      <c r="AE655" s="17">
        <v>0</v>
      </c>
      <c r="AF655" s="17">
        <v>0</v>
      </c>
      <c r="AG655" s="17">
        <v>0</v>
      </c>
      <c r="AH655" s="17">
        <v>0</v>
      </c>
      <c r="AI655" s="17">
        <f t="shared" si="43"/>
        <v>7</v>
      </c>
      <c r="AJ655" s="17">
        <f t="shared" si="44"/>
        <v>6</v>
      </c>
      <c r="AK655" s="17">
        <f t="shared" si="45"/>
        <v>17</v>
      </c>
      <c r="AL655" s="17">
        <f t="shared" si="46"/>
        <v>0</v>
      </c>
      <c r="AM655" s="17">
        <f>VLOOKUP(AK655,Sheet1!$A$2:$B$25,2,FALSE)</f>
        <v>0</v>
      </c>
    </row>
    <row r="656" spans="1:39" s="17" customFormat="1" x14ac:dyDescent="0.25">
      <c r="A656" s="21">
        <v>44598.71875</v>
      </c>
      <c r="B656" s="17">
        <v>6.28</v>
      </c>
      <c r="C656" s="17">
        <v>2.12</v>
      </c>
      <c r="D656" s="17">
        <v>4.16</v>
      </c>
      <c r="E656" s="17">
        <v>0</v>
      </c>
      <c r="F656" s="17">
        <v>0</v>
      </c>
      <c r="G656" s="17">
        <v>0</v>
      </c>
      <c r="H656" s="17">
        <v>1.83</v>
      </c>
      <c r="I656" s="17">
        <v>0</v>
      </c>
      <c r="J656" s="17">
        <v>1.75</v>
      </c>
      <c r="K656" s="17">
        <v>0</v>
      </c>
      <c r="L656" s="17">
        <v>0</v>
      </c>
      <c r="M656" s="17">
        <v>0</v>
      </c>
      <c r="N656" s="17">
        <v>0</v>
      </c>
      <c r="O656" s="17">
        <v>0</v>
      </c>
      <c r="P656" s="17">
        <v>0</v>
      </c>
      <c r="Q656" s="17">
        <v>0</v>
      </c>
      <c r="R656" s="17">
        <v>0.4879</v>
      </c>
      <c r="S656" s="17">
        <v>0</v>
      </c>
      <c r="T656" s="17">
        <v>0</v>
      </c>
      <c r="U656" s="17">
        <v>2.02</v>
      </c>
      <c r="V656" s="17">
        <v>0</v>
      </c>
      <c r="W656" s="17">
        <v>1.08</v>
      </c>
      <c r="X656" s="17">
        <v>0</v>
      </c>
      <c r="Y656" s="17">
        <v>0</v>
      </c>
      <c r="Z656" s="17">
        <v>0</v>
      </c>
      <c r="AA656" s="17">
        <v>0</v>
      </c>
      <c r="AB656" s="17">
        <v>0</v>
      </c>
      <c r="AC656" s="17">
        <v>0</v>
      </c>
      <c r="AD656" s="17">
        <v>0</v>
      </c>
      <c r="AE656" s="17">
        <v>0</v>
      </c>
      <c r="AF656" s="17">
        <v>0</v>
      </c>
      <c r="AG656" s="17">
        <v>0</v>
      </c>
      <c r="AH656" s="17">
        <v>0</v>
      </c>
      <c r="AI656" s="17">
        <f t="shared" si="43"/>
        <v>7</v>
      </c>
      <c r="AJ656" s="17">
        <f t="shared" si="44"/>
        <v>6</v>
      </c>
      <c r="AK656" s="17">
        <f t="shared" si="45"/>
        <v>17</v>
      </c>
      <c r="AL656" s="17">
        <f t="shared" si="46"/>
        <v>0</v>
      </c>
      <c r="AM656" s="17">
        <f>VLOOKUP(AK656,Sheet1!$A$2:$B$25,2,FALSE)</f>
        <v>0</v>
      </c>
    </row>
    <row r="657" spans="1:39" s="17" customFormat="1" x14ac:dyDescent="0.25">
      <c r="A657" s="21">
        <v>44598.729166666664</v>
      </c>
      <c r="B657" s="17">
        <v>5.86</v>
      </c>
      <c r="C657" s="17">
        <v>1.78</v>
      </c>
      <c r="D657" s="17">
        <v>4.08</v>
      </c>
      <c r="E657" s="17">
        <v>0</v>
      </c>
      <c r="F657" s="17">
        <v>0</v>
      </c>
      <c r="G657" s="17">
        <v>0</v>
      </c>
      <c r="H657" s="17">
        <v>1.72</v>
      </c>
      <c r="I657" s="17">
        <v>0</v>
      </c>
      <c r="J657" s="17">
        <v>1.68</v>
      </c>
      <c r="K657" s="17">
        <v>0</v>
      </c>
      <c r="L657" s="17">
        <v>0</v>
      </c>
      <c r="M657" s="17">
        <v>0</v>
      </c>
      <c r="N657" s="17">
        <v>0</v>
      </c>
      <c r="O657" s="17">
        <v>0</v>
      </c>
      <c r="P657" s="17">
        <v>0</v>
      </c>
      <c r="Q657" s="17">
        <v>0</v>
      </c>
      <c r="R657" s="17">
        <v>0.4824</v>
      </c>
      <c r="S657" s="17">
        <v>0</v>
      </c>
      <c r="T657" s="17">
        <v>0</v>
      </c>
      <c r="U657" s="17">
        <v>2.0099999999999998</v>
      </c>
      <c r="V657" s="17">
        <v>0</v>
      </c>
      <c r="W657" s="17">
        <v>1.06</v>
      </c>
      <c r="X657" s="17">
        <v>0</v>
      </c>
      <c r="Y657" s="17">
        <v>0</v>
      </c>
      <c r="Z657" s="17">
        <v>0</v>
      </c>
      <c r="AA657" s="17">
        <v>0</v>
      </c>
      <c r="AB657" s="17">
        <v>0</v>
      </c>
      <c r="AC657" s="17">
        <v>0</v>
      </c>
      <c r="AD657" s="17">
        <v>0</v>
      </c>
      <c r="AE657" s="17">
        <v>0</v>
      </c>
      <c r="AF657" s="17">
        <v>0</v>
      </c>
      <c r="AG657" s="17">
        <v>0</v>
      </c>
      <c r="AH657" s="17">
        <v>0</v>
      </c>
      <c r="AI657" s="17">
        <f t="shared" si="43"/>
        <v>7</v>
      </c>
      <c r="AJ657" s="17">
        <f t="shared" si="44"/>
        <v>6</v>
      </c>
      <c r="AK657" s="17">
        <f t="shared" si="45"/>
        <v>17</v>
      </c>
      <c r="AL657" s="17">
        <f t="shared" si="46"/>
        <v>0</v>
      </c>
      <c r="AM657" s="17">
        <f>VLOOKUP(AK657,Sheet1!$A$2:$B$25,2,FALSE)</f>
        <v>0</v>
      </c>
    </row>
    <row r="658" spans="1:39" s="17" customFormat="1" x14ac:dyDescent="0.25">
      <c r="A658" s="21">
        <v>44598.739583333336</v>
      </c>
      <c r="B658" s="17">
        <v>6.41</v>
      </c>
      <c r="C658" s="17">
        <v>2.2599999999999998</v>
      </c>
      <c r="D658" s="17">
        <v>4.1500000000000004</v>
      </c>
      <c r="E658" s="17">
        <v>0</v>
      </c>
      <c r="F658" s="17">
        <v>0</v>
      </c>
      <c r="G658" s="17">
        <v>0</v>
      </c>
      <c r="H658" s="17">
        <v>2.11</v>
      </c>
      <c r="I658" s="17">
        <v>0</v>
      </c>
      <c r="J658" s="17">
        <v>2.2200000000000002</v>
      </c>
      <c r="K658" s="17">
        <v>0</v>
      </c>
      <c r="L658" s="17">
        <v>0</v>
      </c>
      <c r="M658" s="17">
        <v>0</v>
      </c>
      <c r="N658" s="17">
        <v>0</v>
      </c>
      <c r="O658" s="17">
        <v>0</v>
      </c>
      <c r="P658" s="17">
        <v>0</v>
      </c>
      <c r="Q658" s="17">
        <v>0</v>
      </c>
      <c r="R658" s="17">
        <v>0.37969999999999998</v>
      </c>
      <c r="S658" s="17">
        <v>0</v>
      </c>
      <c r="T658" s="17">
        <v>0</v>
      </c>
      <c r="U658" s="17">
        <v>2.13</v>
      </c>
      <c r="V658" s="17">
        <v>0</v>
      </c>
      <c r="W658" s="17">
        <v>1.17</v>
      </c>
      <c r="X658" s="17">
        <v>0</v>
      </c>
      <c r="Y658" s="17">
        <v>0</v>
      </c>
      <c r="Z658" s="17">
        <v>0</v>
      </c>
      <c r="AA658" s="17">
        <v>0</v>
      </c>
      <c r="AB658" s="17">
        <v>0</v>
      </c>
      <c r="AC658" s="17">
        <v>0</v>
      </c>
      <c r="AD658" s="17">
        <v>0</v>
      </c>
      <c r="AE658" s="17">
        <v>0</v>
      </c>
      <c r="AF658" s="17">
        <v>0</v>
      </c>
      <c r="AG658" s="17">
        <v>0</v>
      </c>
      <c r="AH658" s="17">
        <v>0</v>
      </c>
      <c r="AI658" s="17">
        <f t="shared" si="43"/>
        <v>7</v>
      </c>
      <c r="AJ658" s="17">
        <f t="shared" si="44"/>
        <v>6</v>
      </c>
      <c r="AK658" s="17">
        <f t="shared" si="45"/>
        <v>17</v>
      </c>
      <c r="AL658" s="17">
        <f t="shared" si="46"/>
        <v>0</v>
      </c>
      <c r="AM658" s="17">
        <f>VLOOKUP(AK658,Sheet1!$A$2:$B$25,2,FALSE)</f>
        <v>0</v>
      </c>
    </row>
    <row r="659" spans="1:39" s="17" customFormat="1" x14ac:dyDescent="0.25">
      <c r="A659" s="21">
        <v>44598.75</v>
      </c>
      <c r="B659" s="17">
        <v>6.71</v>
      </c>
      <c r="C659" s="17">
        <v>2.38</v>
      </c>
      <c r="D659" s="17">
        <v>4.33</v>
      </c>
      <c r="E659" s="17">
        <v>0</v>
      </c>
      <c r="F659" s="17">
        <v>0</v>
      </c>
      <c r="G659" s="17">
        <v>0</v>
      </c>
      <c r="H659" s="17">
        <v>2.27</v>
      </c>
      <c r="I659" s="17">
        <v>0</v>
      </c>
      <c r="J659" s="17">
        <v>2.2999999999999998</v>
      </c>
      <c r="K659" s="17">
        <v>0</v>
      </c>
      <c r="L659" s="17">
        <v>0</v>
      </c>
      <c r="M659" s="17">
        <v>0</v>
      </c>
      <c r="N659" s="17">
        <v>0</v>
      </c>
      <c r="O659" s="17">
        <v>0</v>
      </c>
      <c r="P659" s="17">
        <v>0</v>
      </c>
      <c r="Q659" s="17">
        <v>0</v>
      </c>
      <c r="R659" s="17">
        <v>0.49020000000000002</v>
      </c>
      <c r="S659" s="17">
        <v>0</v>
      </c>
      <c r="T659" s="17">
        <v>0</v>
      </c>
      <c r="U659" s="17">
        <v>2.13</v>
      </c>
      <c r="V659" s="17">
        <v>0</v>
      </c>
      <c r="W659" s="17">
        <v>1.17</v>
      </c>
      <c r="X659" s="17">
        <v>0</v>
      </c>
      <c r="Y659" s="17">
        <v>0</v>
      </c>
      <c r="Z659" s="17">
        <v>0</v>
      </c>
      <c r="AA659" s="17">
        <v>0</v>
      </c>
      <c r="AB659" s="17">
        <v>0</v>
      </c>
      <c r="AC659" s="17">
        <v>0</v>
      </c>
      <c r="AD659" s="17">
        <v>0</v>
      </c>
      <c r="AE659" s="17">
        <v>0</v>
      </c>
      <c r="AF659" s="17">
        <v>0</v>
      </c>
      <c r="AG659" s="17">
        <v>0</v>
      </c>
      <c r="AH659" s="17">
        <v>0</v>
      </c>
      <c r="AI659" s="17">
        <f t="shared" si="43"/>
        <v>7</v>
      </c>
      <c r="AJ659" s="17">
        <f t="shared" si="44"/>
        <v>6</v>
      </c>
      <c r="AK659" s="17">
        <f t="shared" si="45"/>
        <v>18</v>
      </c>
      <c r="AL659" s="17">
        <f t="shared" si="46"/>
        <v>0</v>
      </c>
      <c r="AM659" s="17">
        <f>VLOOKUP(AK659,Sheet1!$A$2:$B$25,2,FALSE)</f>
        <v>0</v>
      </c>
    </row>
    <row r="660" spans="1:39" s="17" customFormat="1" x14ac:dyDescent="0.25">
      <c r="A660" s="21">
        <v>44598.760416666664</v>
      </c>
      <c r="B660" s="17">
        <v>6.55</v>
      </c>
      <c r="C660" s="17">
        <v>2.13</v>
      </c>
      <c r="D660" s="17">
        <v>4.41</v>
      </c>
      <c r="E660" s="17">
        <v>0</v>
      </c>
      <c r="F660" s="17">
        <v>0</v>
      </c>
      <c r="G660" s="17">
        <v>0</v>
      </c>
      <c r="H660" s="17">
        <v>2.21</v>
      </c>
      <c r="I660" s="17">
        <v>0</v>
      </c>
      <c r="J660" s="17">
        <v>2.31</v>
      </c>
      <c r="K660" s="17">
        <v>0</v>
      </c>
      <c r="L660" s="17">
        <v>0</v>
      </c>
      <c r="M660" s="17">
        <v>0</v>
      </c>
      <c r="N660" s="17">
        <v>0</v>
      </c>
      <c r="O660" s="17">
        <v>0</v>
      </c>
      <c r="P660" s="17">
        <v>0</v>
      </c>
      <c r="Q660" s="17">
        <v>0</v>
      </c>
      <c r="R660" s="17">
        <v>0.44679999999999997</v>
      </c>
      <c r="S660" s="17">
        <v>0</v>
      </c>
      <c r="T660" s="17">
        <v>0</v>
      </c>
      <c r="U660" s="17">
        <v>2.14</v>
      </c>
      <c r="V660" s="17">
        <v>0</v>
      </c>
      <c r="W660" s="17">
        <v>1.17</v>
      </c>
      <c r="X660" s="17">
        <v>0</v>
      </c>
      <c r="Y660" s="17">
        <v>0</v>
      </c>
      <c r="Z660" s="17">
        <v>0</v>
      </c>
      <c r="AA660" s="17">
        <v>0</v>
      </c>
      <c r="AB660" s="17">
        <v>0</v>
      </c>
      <c r="AC660" s="17">
        <v>0</v>
      </c>
      <c r="AD660" s="17">
        <v>0</v>
      </c>
      <c r="AE660" s="17">
        <v>0</v>
      </c>
      <c r="AF660" s="17">
        <v>0</v>
      </c>
      <c r="AG660" s="17">
        <v>0</v>
      </c>
      <c r="AH660" s="17">
        <v>0</v>
      </c>
      <c r="AI660" s="17">
        <f t="shared" si="43"/>
        <v>7</v>
      </c>
      <c r="AJ660" s="17">
        <f t="shared" si="44"/>
        <v>6</v>
      </c>
      <c r="AK660" s="17">
        <f t="shared" si="45"/>
        <v>18</v>
      </c>
      <c r="AL660" s="17">
        <f t="shared" si="46"/>
        <v>0</v>
      </c>
      <c r="AM660" s="17">
        <f>VLOOKUP(AK660,Sheet1!$A$2:$B$25,2,FALSE)</f>
        <v>0</v>
      </c>
    </row>
    <row r="661" spans="1:39" s="17" customFormat="1" x14ac:dyDescent="0.25">
      <c r="A661" s="21">
        <v>44598.770833333336</v>
      </c>
      <c r="B661" s="17">
        <v>6.77</v>
      </c>
      <c r="C661" s="17">
        <v>2.44</v>
      </c>
      <c r="D661" s="17">
        <v>4.33</v>
      </c>
      <c r="E661" s="17">
        <v>0</v>
      </c>
      <c r="F661" s="17">
        <v>0</v>
      </c>
      <c r="G661" s="17">
        <v>0</v>
      </c>
      <c r="H661" s="17">
        <v>2.38</v>
      </c>
      <c r="I661" s="17">
        <v>0</v>
      </c>
      <c r="J661" s="17">
        <v>2.4500000000000002</v>
      </c>
      <c r="K661" s="17">
        <v>0</v>
      </c>
      <c r="L661" s="17">
        <v>0</v>
      </c>
      <c r="M661" s="17">
        <v>0</v>
      </c>
      <c r="N661" s="17">
        <v>0</v>
      </c>
      <c r="O661" s="17">
        <v>0</v>
      </c>
      <c r="P661" s="17">
        <v>0</v>
      </c>
      <c r="Q661" s="17">
        <v>0</v>
      </c>
      <c r="R661" s="17">
        <v>0.44919999999999999</v>
      </c>
      <c r="S661" s="17">
        <v>0</v>
      </c>
      <c r="T661" s="17">
        <v>0</v>
      </c>
      <c r="U661" s="17">
        <v>2.14</v>
      </c>
      <c r="V661" s="17">
        <v>0</v>
      </c>
      <c r="W661" s="17">
        <v>1.17</v>
      </c>
      <c r="X661" s="17">
        <v>0</v>
      </c>
      <c r="Y661" s="17">
        <v>0</v>
      </c>
      <c r="Z661" s="17">
        <v>0</v>
      </c>
      <c r="AA661" s="17">
        <v>0</v>
      </c>
      <c r="AB661" s="17">
        <v>0</v>
      </c>
      <c r="AC661" s="17">
        <v>0</v>
      </c>
      <c r="AD661" s="17">
        <v>0</v>
      </c>
      <c r="AE661" s="17">
        <v>0</v>
      </c>
      <c r="AF661" s="17">
        <v>0</v>
      </c>
      <c r="AG661" s="17">
        <v>0</v>
      </c>
      <c r="AH661" s="17">
        <v>0</v>
      </c>
      <c r="AI661" s="17">
        <f t="shared" si="43"/>
        <v>7</v>
      </c>
      <c r="AJ661" s="17">
        <f t="shared" si="44"/>
        <v>6</v>
      </c>
      <c r="AK661" s="17">
        <f t="shared" si="45"/>
        <v>18</v>
      </c>
      <c r="AL661" s="17">
        <f t="shared" si="46"/>
        <v>0</v>
      </c>
      <c r="AM661" s="17">
        <f>VLOOKUP(AK661,Sheet1!$A$2:$B$25,2,FALSE)</f>
        <v>0</v>
      </c>
    </row>
    <row r="662" spans="1:39" s="17" customFormat="1" x14ac:dyDescent="0.25">
      <c r="A662" s="21">
        <v>44598.78125</v>
      </c>
      <c r="B662" s="17">
        <v>5.9</v>
      </c>
      <c r="C662" s="17">
        <v>1.57</v>
      </c>
      <c r="D662" s="17">
        <v>4.33</v>
      </c>
      <c r="E662" s="17">
        <v>0</v>
      </c>
      <c r="F662" s="17">
        <v>0</v>
      </c>
      <c r="G662" s="17">
        <v>0</v>
      </c>
      <c r="H662" s="17">
        <v>2.4500000000000002</v>
      </c>
      <c r="I662" s="17">
        <v>0</v>
      </c>
      <c r="J662" s="17">
        <v>2.5099999999999998</v>
      </c>
      <c r="K662" s="17">
        <v>0</v>
      </c>
      <c r="L662" s="17">
        <v>0</v>
      </c>
      <c r="M662" s="17">
        <v>0</v>
      </c>
      <c r="N662" s="17">
        <v>0</v>
      </c>
      <c r="O662" s="17">
        <v>0</v>
      </c>
      <c r="P662" s="17">
        <v>0</v>
      </c>
      <c r="Q662" s="17">
        <v>0</v>
      </c>
      <c r="R662" s="17">
        <v>0.3931</v>
      </c>
      <c r="S662" s="17">
        <v>0</v>
      </c>
      <c r="T662" s="17">
        <v>0</v>
      </c>
      <c r="U662" s="17">
        <v>2.14</v>
      </c>
      <c r="V662" s="17">
        <v>0</v>
      </c>
      <c r="W662" s="17">
        <v>1.1599999999999999</v>
      </c>
      <c r="X662" s="17">
        <v>0</v>
      </c>
      <c r="Y662" s="17">
        <v>0</v>
      </c>
      <c r="Z662" s="17">
        <v>0</v>
      </c>
      <c r="AA662" s="17">
        <v>0</v>
      </c>
      <c r="AB662" s="17">
        <v>0</v>
      </c>
      <c r="AC662" s="17">
        <v>0</v>
      </c>
      <c r="AD662" s="17">
        <v>0</v>
      </c>
      <c r="AE662" s="17">
        <v>0</v>
      </c>
      <c r="AF662" s="17">
        <v>0</v>
      </c>
      <c r="AG662" s="17">
        <v>0</v>
      </c>
      <c r="AH662" s="17">
        <v>0</v>
      </c>
      <c r="AI662" s="17">
        <f t="shared" si="43"/>
        <v>7</v>
      </c>
      <c r="AJ662" s="17">
        <f t="shared" si="44"/>
        <v>6</v>
      </c>
      <c r="AK662" s="17">
        <f t="shared" si="45"/>
        <v>18</v>
      </c>
      <c r="AL662" s="17">
        <f t="shared" si="46"/>
        <v>0</v>
      </c>
      <c r="AM662" s="17">
        <f>VLOOKUP(AK662,Sheet1!$A$2:$B$25,2,FALSE)</f>
        <v>0</v>
      </c>
    </row>
    <row r="663" spans="1:39" s="17" customFormat="1" x14ac:dyDescent="0.25">
      <c r="A663" s="21">
        <v>44598.791666666664</v>
      </c>
      <c r="B663" s="17">
        <v>5.95</v>
      </c>
      <c r="C663" s="17">
        <v>1.62</v>
      </c>
      <c r="D663" s="17">
        <v>4.33</v>
      </c>
      <c r="E663" s="17">
        <v>0</v>
      </c>
      <c r="F663" s="17">
        <v>0</v>
      </c>
      <c r="G663" s="17">
        <v>0</v>
      </c>
      <c r="H663" s="17">
        <v>2.46</v>
      </c>
      <c r="I663" s="17">
        <v>0</v>
      </c>
      <c r="J663" s="17">
        <v>2.4700000000000002</v>
      </c>
      <c r="K663" s="17">
        <v>0</v>
      </c>
      <c r="L663" s="17">
        <v>0</v>
      </c>
      <c r="M663" s="17">
        <v>0</v>
      </c>
      <c r="N663" s="17">
        <v>0</v>
      </c>
      <c r="O663" s="17">
        <v>0</v>
      </c>
      <c r="P663" s="17">
        <v>0</v>
      </c>
      <c r="Q663" s="17">
        <v>0</v>
      </c>
      <c r="R663" s="17">
        <v>0.50449999999999995</v>
      </c>
      <c r="S663" s="17">
        <v>0</v>
      </c>
      <c r="T663" s="17">
        <v>0</v>
      </c>
      <c r="U663" s="17">
        <v>2.13</v>
      </c>
      <c r="V663" s="17">
        <v>0</v>
      </c>
      <c r="W663" s="17">
        <v>1.17</v>
      </c>
      <c r="X663" s="17">
        <v>0</v>
      </c>
      <c r="Y663" s="17">
        <v>0</v>
      </c>
      <c r="Z663" s="17">
        <v>0</v>
      </c>
      <c r="AA663" s="17">
        <v>0</v>
      </c>
      <c r="AB663" s="17">
        <v>0</v>
      </c>
      <c r="AC663" s="17">
        <v>0</v>
      </c>
      <c r="AD663" s="17">
        <v>0</v>
      </c>
      <c r="AE663" s="17">
        <v>0</v>
      </c>
      <c r="AF663" s="17">
        <v>0</v>
      </c>
      <c r="AG663" s="17">
        <v>0</v>
      </c>
      <c r="AH663" s="17">
        <v>0</v>
      </c>
      <c r="AI663" s="17">
        <f t="shared" si="43"/>
        <v>7</v>
      </c>
      <c r="AJ663" s="17">
        <f t="shared" si="44"/>
        <v>6</v>
      </c>
      <c r="AK663" s="17">
        <f t="shared" si="45"/>
        <v>19</v>
      </c>
      <c r="AL663" s="17">
        <f t="shared" si="46"/>
        <v>0</v>
      </c>
      <c r="AM663" s="17">
        <f>VLOOKUP(AK663,Sheet1!$A$2:$B$25,2,FALSE)</f>
        <v>0</v>
      </c>
    </row>
    <row r="664" spans="1:39" s="17" customFormat="1" x14ac:dyDescent="0.25">
      <c r="A664" s="21">
        <v>44598.802083333336</v>
      </c>
      <c r="B664" s="17">
        <v>6.93</v>
      </c>
      <c r="C664" s="17">
        <v>2.69</v>
      </c>
      <c r="D664" s="17">
        <v>4.2300000000000004</v>
      </c>
      <c r="E664" s="17">
        <v>0</v>
      </c>
      <c r="F664" s="17">
        <v>0</v>
      </c>
      <c r="G664" s="17">
        <v>0</v>
      </c>
      <c r="H664" s="17">
        <v>2.4500000000000002</v>
      </c>
      <c r="I664" s="17">
        <v>0</v>
      </c>
      <c r="J664" s="17">
        <v>2.46</v>
      </c>
      <c r="K664" s="17">
        <v>0</v>
      </c>
      <c r="L664" s="17">
        <v>0</v>
      </c>
      <c r="M664" s="17">
        <v>0</v>
      </c>
      <c r="N664" s="17">
        <v>0</v>
      </c>
      <c r="O664" s="17">
        <v>0</v>
      </c>
      <c r="P664" s="17">
        <v>0</v>
      </c>
      <c r="Q664" s="17">
        <v>0</v>
      </c>
      <c r="R664" s="17">
        <v>0.49580000000000002</v>
      </c>
      <c r="S664" s="17">
        <v>0</v>
      </c>
      <c r="T664" s="17">
        <v>0</v>
      </c>
      <c r="U664" s="17">
        <v>2.13</v>
      </c>
      <c r="V664" s="17">
        <v>0</v>
      </c>
      <c r="W664" s="17">
        <v>1.1599999999999999</v>
      </c>
      <c r="X664" s="17">
        <v>0</v>
      </c>
      <c r="Y664" s="17">
        <v>0</v>
      </c>
      <c r="Z664" s="17">
        <v>0</v>
      </c>
      <c r="AA664" s="17">
        <v>0</v>
      </c>
      <c r="AB664" s="17">
        <v>0</v>
      </c>
      <c r="AC664" s="17">
        <v>0</v>
      </c>
      <c r="AD664" s="17">
        <v>0</v>
      </c>
      <c r="AE664" s="17">
        <v>0</v>
      </c>
      <c r="AF664" s="17">
        <v>0</v>
      </c>
      <c r="AG664" s="17">
        <v>0</v>
      </c>
      <c r="AH664" s="17">
        <v>0</v>
      </c>
      <c r="AI664" s="17">
        <f t="shared" si="43"/>
        <v>7</v>
      </c>
      <c r="AJ664" s="17">
        <f t="shared" si="44"/>
        <v>6</v>
      </c>
      <c r="AK664" s="17">
        <f t="shared" si="45"/>
        <v>19</v>
      </c>
      <c r="AL664" s="17">
        <f t="shared" si="46"/>
        <v>0</v>
      </c>
      <c r="AM664" s="17">
        <f>VLOOKUP(AK664,Sheet1!$A$2:$B$25,2,FALSE)</f>
        <v>0</v>
      </c>
    </row>
    <row r="665" spans="1:39" s="17" customFormat="1" x14ac:dyDescent="0.25">
      <c r="A665" s="21">
        <v>44598.8125</v>
      </c>
      <c r="B665" s="17">
        <v>7.82</v>
      </c>
      <c r="C665" s="17">
        <v>3.5</v>
      </c>
      <c r="D665" s="17">
        <v>4.32</v>
      </c>
      <c r="E665" s="17">
        <v>0</v>
      </c>
      <c r="F665" s="17">
        <v>0</v>
      </c>
      <c r="G665" s="17">
        <v>0</v>
      </c>
      <c r="H665" s="17">
        <v>2.35</v>
      </c>
      <c r="I665" s="17">
        <v>0</v>
      </c>
      <c r="J665" s="17">
        <v>2.19</v>
      </c>
      <c r="K665" s="17">
        <v>0</v>
      </c>
      <c r="L665" s="17">
        <v>0</v>
      </c>
      <c r="M665" s="17">
        <v>0</v>
      </c>
      <c r="N665" s="17">
        <v>0</v>
      </c>
      <c r="O665" s="17">
        <v>0</v>
      </c>
      <c r="P665" s="17">
        <v>0</v>
      </c>
      <c r="Q665" s="17">
        <v>0</v>
      </c>
      <c r="R665" s="17">
        <v>0.50049999999999994</v>
      </c>
      <c r="S665" s="17">
        <v>0</v>
      </c>
      <c r="T665" s="17">
        <v>0</v>
      </c>
      <c r="U665" s="17">
        <v>2.14</v>
      </c>
      <c r="V665" s="17">
        <v>0</v>
      </c>
      <c r="W665" s="17">
        <v>1.18</v>
      </c>
      <c r="X665" s="17">
        <v>0</v>
      </c>
      <c r="Y665" s="17">
        <v>0</v>
      </c>
      <c r="Z665" s="17">
        <v>0</v>
      </c>
      <c r="AA665" s="17">
        <v>0</v>
      </c>
      <c r="AB665" s="17">
        <v>0</v>
      </c>
      <c r="AC665" s="17">
        <v>0</v>
      </c>
      <c r="AD665" s="17">
        <v>0</v>
      </c>
      <c r="AE665" s="17">
        <v>0</v>
      </c>
      <c r="AF665" s="17">
        <v>0</v>
      </c>
      <c r="AG665" s="17">
        <v>0</v>
      </c>
      <c r="AH665" s="17">
        <v>0</v>
      </c>
      <c r="AI665" s="17">
        <f t="shared" si="43"/>
        <v>7</v>
      </c>
      <c r="AJ665" s="17">
        <f t="shared" si="44"/>
        <v>6</v>
      </c>
      <c r="AK665" s="17">
        <f t="shared" si="45"/>
        <v>19</v>
      </c>
      <c r="AL665" s="17">
        <f t="shared" si="46"/>
        <v>0</v>
      </c>
      <c r="AM665" s="17">
        <f>VLOOKUP(AK665,Sheet1!$A$2:$B$25,2,FALSE)</f>
        <v>0</v>
      </c>
    </row>
    <row r="666" spans="1:39" s="17" customFormat="1" x14ac:dyDescent="0.25">
      <c r="A666" s="21">
        <v>44598.822916666664</v>
      </c>
      <c r="B666" s="17">
        <v>6.73</v>
      </c>
      <c r="C666" s="17">
        <v>2.2200000000000002</v>
      </c>
      <c r="D666" s="17">
        <v>4.51</v>
      </c>
      <c r="E666" s="17">
        <v>0</v>
      </c>
      <c r="F666" s="17">
        <v>0</v>
      </c>
      <c r="G666" s="17">
        <v>0</v>
      </c>
      <c r="H666" s="17">
        <v>2.46</v>
      </c>
      <c r="I666" s="17">
        <v>0</v>
      </c>
      <c r="J666" s="17">
        <v>2.4700000000000002</v>
      </c>
      <c r="K666" s="17">
        <v>0</v>
      </c>
      <c r="L666" s="17">
        <v>0</v>
      </c>
      <c r="M666" s="17">
        <v>0</v>
      </c>
      <c r="N666" s="17">
        <v>0</v>
      </c>
      <c r="O666" s="17">
        <v>0</v>
      </c>
      <c r="P666" s="17">
        <v>0</v>
      </c>
      <c r="Q666" s="17">
        <v>0</v>
      </c>
      <c r="R666" s="17">
        <v>0.48709999999999998</v>
      </c>
      <c r="S666" s="17">
        <v>0</v>
      </c>
      <c r="T666" s="17">
        <v>0</v>
      </c>
      <c r="U666" s="17">
        <v>2.16</v>
      </c>
      <c r="V666" s="17">
        <v>0</v>
      </c>
      <c r="W666" s="17">
        <v>1.19</v>
      </c>
      <c r="X666" s="17">
        <v>0</v>
      </c>
      <c r="Y666" s="17">
        <v>0</v>
      </c>
      <c r="Z666" s="17">
        <v>0</v>
      </c>
      <c r="AA666" s="17">
        <v>0</v>
      </c>
      <c r="AB666" s="17">
        <v>0</v>
      </c>
      <c r="AC666" s="17">
        <v>0</v>
      </c>
      <c r="AD666" s="17">
        <v>0</v>
      </c>
      <c r="AE666" s="17">
        <v>0</v>
      </c>
      <c r="AF666" s="17">
        <v>0</v>
      </c>
      <c r="AG666" s="17">
        <v>0</v>
      </c>
      <c r="AH666" s="17">
        <v>0</v>
      </c>
      <c r="AI666" s="17">
        <f t="shared" si="43"/>
        <v>7</v>
      </c>
      <c r="AJ666" s="17">
        <f t="shared" si="44"/>
        <v>6</v>
      </c>
      <c r="AK666" s="17">
        <f t="shared" si="45"/>
        <v>19</v>
      </c>
      <c r="AL666" s="17">
        <f t="shared" si="46"/>
        <v>0</v>
      </c>
      <c r="AM666" s="17">
        <f>VLOOKUP(AK666,Sheet1!$A$2:$B$25,2,FALSE)</f>
        <v>0</v>
      </c>
    </row>
    <row r="667" spans="1:39" s="17" customFormat="1" x14ac:dyDescent="0.25">
      <c r="A667" s="21">
        <v>44598.833333333336</v>
      </c>
      <c r="B667" s="17">
        <v>6.8</v>
      </c>
      <c r="C667" s="17">
        <v>2.4300000000000002</v>
      </c>
      <c r="D667" s="17">
        <v>4.37</v>
      </c>
      <c r="E667" s="17">
        <v>0</v>
      </c>
      <c r="F667" s="17">
        <v>0</v>
      </c>
      <c r="G667" s="17">
        <v>0</v>
      </c>
      <c r="H667" s="17">
        <v>2.4500000000000002</v>
      </c>
      <c r="I667" s="17">
        <v>0</v>
      </c>
      <c r="J667" s="17">
        <v>2.46</v>
      </c>
      <c r="K667" s="17">
        <v>0</v>
      </c>
      <c r="L667" s="17">
        <v>0</v>
      </c>
      <c r="M667" s="17">
        <v>0</v>
      </c>
      <c r="N667" s="17">
        <v>0</v>
      </c>
      <c r="O667" s="17">
        <v>0</v>
      </c>
      <c r="P667" s="17">
        <v>0</v>
      </c>
      <c r="Q667" s="17">
        <v>0</v>
      </c>
      <c r="R667" s="17">
        <v>0.39950000000000002</v>
      </c>
      <c r="S667" s="17">
        <v>0</v>
      </c>
      <c r="T667" s="17">
        <v>0</v>
      </c>
      <c r="U667" s="17">
        <v>2.16</v>
      </c>
      <c r="V667" s="17">
        <v>0</v>
      </c>
      <c r="W667" s="17">
        <v>1.19</v>
      </c>
      <c r="X667" s="17">
        <v>0</v>
      </c>
      <c r="Y667" s="17">
        <v>0</v>
      </c>
      <c r="Z667" s="17">
        <v>0</v>
      </c>
      <c r="AA667" s="17">
        <v>0</v>
      </c>
      <c r="AB667" s="17">
        <v>0</v>
      </c>
      <c r="AC667" s="17">
        <v>0</v>
      </c>
      <c r="AD667" s="17">
        <v>0</v>
      </c>
      <c r="AE667" s="17">
        <v>0</v>
      </c>
      <c r="AF667" s="17">
        <v>0</v>
      </c>
      <c r="AG667" s="17">
        <v>0</v>
      </c>
      <c r="AH667" s="17">
        <v>0</v>
      </c>
      <c r="AI667" s="17">
        <f t="shared" si="43"/>
        <v>7</v>
      </c>
      <c r="AJ667" s="17">
        <f t="shared" si="44"/>
        <v>6</v>
      </c>
      <c r="AK667" s="17">
        <f t="shared" si="45"/>
        <v>20</v>
      </c>
      <c r="AL667" s="17">
        <f t="shared" si="46"/>
        <v>0</v>
      </c>
      <c r="AM667" s="17">
        <f>VLOOKUP(AK667,Sheet1!$A$2:$B$25,2,FALSE)</f>
        <v>0</v>
      </c>
    </row>
    <row r="668" spans="1:39" s="17" customFormat="1" x14ac:dyDescent="0.25">
      <c r="A668" s="21">
        <v>44598.84375</v>
      </c>
      <c r="B668" s="17">
        <v>5.63</v>
      </c>
      <c r="C668" s="17">
        <v>1.36</v>
      </c>
      <c r="D668" s="17">
        <v>4.26</v>
      </c>
      <c r="E668" s="17">
        <v>0</v>
      </c>
      <c r="F668" s="17">
        <v>0</v>
      </c>
      <c r="G668" s="17">
        <v>0</v>
      </c>
      <c r="H668" s="17">
        <v>2.46</v>
      </c>
      <c r="I668" s="17">
        <v>0</v>
      </c>
      <c r="J668" s="17">
        <v>2.5</v>
      </c>
      <c r="K668" s="17">
        <v>0</v>
      </c>
      <c r="L668" s="17">
        <v>0</v>
      </c>
      <c r="M668" s="17">
        <v>0</v>
      </c>
      <c r="N668" s="17">
        <v>0</v>
      </c>
      <c r="O668" s="17">
        <v>0</v>
      </c>
      <c r="P668" s="17">
        <v>0</v>
      </c>
      <c r="Q668" s="17">
        <v>0</v>
      </c>
      <c r="R668" s="17">
        <v>0.44450000000000001</v>
      </c>
      <c r="S668" s="17">
        <v>0</v>
      </c>
      <c r="T668" s="17">
        <v>0</v>
      </c>
      <c r="U668" s="17">
        <v>2.17</v>
      </c>
      <c r="V668" s="17">
        <v>0</v>
      </c>
      <c r="W668" s="17">
        <v>1.19</v>
      </c>
      <c r="X668" s="17">
        <v>0</v>
      </c>
      <c r="Y668" s="17">
        <v>0</v>
      </c>
      <c r="Z668" s="17">
        <v>0</v>
      </c>
      <c r="AA668" s="17">
        <v>0</v>
      </c>
      <c r="AB668" s="17">
        <v>0</v>
      </c>
      <c r="AC668" s="17">
        <v>0</v>
      </c>
      <c r="AD668" s="17">
        <v>0</v>
      </c>
      <c r="AE668" s="17">
        <v>0</v>
      </c>
      <c r="AF668" s="17">
        <v>0</v>
      </c>
      <c r="AG668" s="17">
        <v>0</v>
      </c>
      <c r="AH668" s="17">
        <v>0</v>
      </c>
      <c r="AI668" s="17">
        <f t="shared" si="43"/>
        <v>7</v>
      </c>
      <c r="AJ668" s="17">
        <f t="shared" si="44"/>
        <v>6</v>
      </c>
      <c r="AK668" s="17">
        <f t="shared" si="45"/>
        <v>20</v>
      </c>
      <c r="AL668" s="17">
        <f t="shared" si="46"/>
        <v>0</v>
      </c>
      <c r="AM668" s="17">
        <f>VLOOKUP(AK668,Sheet1!$A$2:$B$25,2,FALSE)</f>
        <v>0</v>
      </c>
    </row>
    <row r="669" spans="1:39" s="17" customFormat="1" x14ac:dyDescent="0.25">
      <c r="A669" s="21">
        <v>44598.854166666664</v>
      </c>
      <c r="B669" s="17">
        <v>6</v>
      </c>
      <c r="C669" s="17">
        <v>1.66</v>
      </c>
      <c r="D669" s="17">
        <v>4.34</v>
      </c>
      <c r="E669" s="17">
        <v>0</v>
      </c>
      <c r="F669" s="17">
        <v>0</v>
      </c>
      <c r="G669" s="17">
        <v>0</v>
      </c>
      <c r="H669" s="17">
        <v>2.48</v>
      </c>
      <c r="I669" s="17">
        <v>0</v>
      </c>
      <c r="J669" s="17">
        <v>2.5</v>
      </c>
      <c r="K669" s="17">
        <v>0</v>
      </c>
      <c r="L669" s="17">
        <v>0</v>
      </c>
      <c r="M669" s="17">
        <v>0</v>
      </c>
      <c r="N669" s="17">
        <v>0</v>
      </c>
      <c r="O669" s="17">
        <v>0</v>
      </c>
      <c r="P669" s="17">
        <v>0</v>
      </c>
      <c r="Q669" s="17">
        <v>0</v>
      </c>
      <c r="R669" s="17">
        <v>0.54079999999999995</v>
      </c>
      <c r="S669" s="17">
        <v>0</v>
      </c>
      <c r="T669" s="17">
        <v>0</v>
      </c>
      <c r="U669" s="17">
        <v>2.16</v>
      </c>
      <c r="V669" s="17">
        <v>0</v>
      </c>
      <c r="W669" s="17">
        <v>1.19</v>
      </c>
      <c r="X669" s="17">
        <v>0</v>
      </c>
      <c r="Y669" s="17">
        <v>0</v>
      </c>
      <c r="Z669" s="17">
        <v>0</v>
      </c>
      <c r="AA669" s="17">
        <v>0</v>
      </c>
      <c r="AB669" s="17">
        <v>0</v>
      </c>
      <c r="AC669" s="17">
        <v>0</v>
      </c>
      <c r="AD669" s="17">
        <v>0</v>
      </c>
      <c r="AE669" s="17">
        <v>0</v>
      </c>
      <c r="AF669" s="17">
        <v>0</v>
      </c>
      <c r="AG669" s="17">
        <v>0</v>
      </c>
      <c r="AH669" s="17">
        <v>0</v>
      </c>
      <c r="AI669" s="17">
        <f t="shared" si="43"/>
        <v>7</v>
      </c>
      <c r="AJ669" s="17">
        <f t="shared" si="44"/>
        <v>6</v>
      </c>
      <c r="AK669" s="17">
        <f t="shared" si="45"/>
        <v>20</v>
      </c>
      <c r="AL669" s="17">
        <f t="shared" si="46"/>
        <v>0</v>
      </c>
      <c r="AM669" s="17">
        <f>VLOOKUP(AK669,Sheet1!$A$2:$B$25,2,FALSE)</f>
        <v>0</v>
      </c>
    </row>
    <row r="670" spans="1:39" s="17" customFormat="1" x14ac:dyDescent="0.25">
      <c r="A670" s="21">
        <v>44598.864583333336</v>
      </c>
      <c r="B670" s="17">
        <v>6.99</v>
      </c>
      <c r="C670" s="17">
        <v>2.46</v>
      </c>
      <c r="D670" s="17">
        <v>4.53</v>
      </c>
      <c r="E670" s="17">
        <v>0</v>
      </c>
      <c r="F670" s="17">
        <v>0</v>
      </c>
      <c r="G670" s="17">
        <v>0</v>
      </c>
      <c r="H670" s="17">
        <v>2.52</v>
      </c>
      <c r="I670" s="17">
        <v>0</v>
      </c>
      <c r="J670" s="17">
        <v>2.4900000000000002</v>
      </c>
      <c r="K670" s="17">
        <v>0</v>
      </c>
      <c r="L670" s="17">
        <v>0</v>
      </c>
      <c r="M670" s="17">
        <v>0</v>
      </c>
      <c r="N670" s="17">
        <v>0</v>
      </c>
      <c r="O670" s="17">
        <v>0</v>
      </c>
      <c r="P670" s="17">
        <v>0</v>
      </c>
      <c r="Q670" s="17">
        <v>0</v>
      </c>
      <c r="R670" s="17">
        <v>0.4824</v>
      </c>
      <c r="S670" s="17">
        <v>0</v>
      </c>
      <c r="T670" s="17">
        <v>0</v>
      </c>
      <c r="U670" s="17">
        <v>2.1800000000000002</v>
      </c>
      <c r="V670" s="17">
        <v>0</v>
      </c>
      <c r="W670" s="17">
        <v>1.21</v>
      </c>
      <c r="X670" s="17">
        <v>0</v>
      </c>
      <c r="Y670" s="17">
        <v>0</v>
      </c>
      <c r="Z670" s="17">
        <v>0</v>
      </c>
      <c r="AA670" s="17">
        <v>0</v>
      </c>
      <c r="AB670" s="17">
        <v>0</v>
      </c>
      <c r="AC670" s="17">
        <v>0</v>
      </c>
      <c r="AD670" s="17">
        <v>0</v>
      </c>
      <c r="AE670" s="17">
        <v>0</v>
      </c>
      <c r="AF670" s="17">
        <v>0</v>
      </c>
      <c r="AG670" s="17">
        <v>0</v>
      </c>
      <c r="AH670" s="17">
        <v>0</v>
      </c>
      <c r="AI670" s="17">
        <f t="shared" si="43"/>
        <v>7</v>
      </c>
      <c r="AJ670" s="17">
        <f t="shared" si="44"/>
        <v>6</v>
      </c>
      <c r="AK670" s="17">
        <f t="shared" si="45"/>
        <v>20</v>
      </c>
      <c r="AL670" s="17">
        <f t="shared" si="46"/>
        <v>0</v>
      </c>
      <c r="AM670" s="17">
        <f>VLOOKUP(AK670,Sheet1!$A$2:$B$25,2,FALSE)</f>
        <v>0</v>
      </c>
    </row>
    <row r="671" spans="1:39" s="17" customFormat="1" x14ac:dyDescent="0.25">
      <c r="A671" s="21">
        <v>44598.875</v>
      </c>
      <c r="B671" s="17">
        <v>7.55</v>
      </c>
      <c r="C671" s="17">
        <v>3.13</v>
      </c>
      <c r="D671" s="17">
        <v>4.42</v>
      </c>
      <c r="E671" s="17">
        <v>0</v>
      </c>
      <c r="F671" s="17">
        <v>0</v>
      </c>
      <c r="G671" s="17">
        <v>0</v>
      </c>
      <c r="H671" s="17">
        <v>2.46</v>
      </c>
      <c r="I671" s="17">
        <v>0</v>
      </c>
      <c r="J671" s="17">
        <v>2.4900000000000002</v>
      </c>
      <c r="K671" s="17">
        <v>0</v>
      </c>
      <c r="L671" s="17">
        <v>0</v>
      </c>
      <c r="M671" s="17">
        <v>0</v>
      </c>
      <c r="N671" s="17">
        <v>0</v>
      </c>
      <c r="O671" s="17">
        <v>0</v>
      </c>
      <c r="P671" s="17">
        <v>0</v>
      </c>
      <c r="Q671" s="17">
        <v>0</v>
      </c>
      <c r="R671" s="17">
        <v>0.37969999999999998</v>
      </c>
      <c r="S671" s="17">
        <v>0</v>
      </c>
      <c r="T671" s="17">
        <v>0</v>
      </c>
      <c r="U671" s="17">
        <v>2.19</v>
      </c>
      <c r="V671" s="17">
        <v>0</v>
      </c>
      <c r="W671" s="17">
        <v>1.21</v>
      </c>
      <c r="X671" s="17">
        <v>0</v>
      </c>
      <c r="Y671" s="17">
        <v>0</v>
      </c>
      <c r="Z671" s="17">
        <v>0</v>
      </c>
      <c r="AA671" s="17">
        <v>0</v>
      </c>
      <c r="AB671" s="17">
        <v>0</v>
      </c>
      <c r="AC671" s="17">
        <v>0</v>
      </c>
      <c r="AD671" s="17">
        <v>0</v>
      </c>
      <c r="AE671" s="17">
        <v>0</v>
      </c>
      <c r="AF671" s="17">
        <v>0</v>
      </c>
      <c r="AG671" s="17">
        <v>0</v>
      </c>
      <c r="AH671" s="17">
        <v>0</v>
      </c>
      <c r="AI671" s="17">
        <f t="shared" si="43"/>
        <v>7</v>
      </c>
      <c r="AJ671" s="17">
        <f t="shared" si="44"/>
        <v>6</v>
      </c>
      <c r="AK671" s="17">
        <f t="shared" si="45"/>
        <v>21</v>
      </c>
      <c r="AL671" s="17">
        <f t="shared" si="46"/>
        <v>0</v>
      </c>
      <c r="AM671" s="17">
        <f>VLOOKUP(AK671,Sheet1!$A$2:$B$25,2,FALSE)</f>
        <v>0</v>
      </c>
    </row>
    <row r="672" spans="1:39" s="17" customFormat="1" x14ac:dyDescent="0.25">
      <c r="A672" s="21">
        <v>44598.885416666664</v>
      </c>
      <c r="B672" s="17">
        <v>7.15</v>
      </c>
      <c r="C672" s="17">
        <v>2.75</v>
      </c>
      <c r="D672" s="17">
        <v>4.4000000000000004</v>
      </c>
      <c r="E672" s="17">
        <v>0</v>
      </c>
      <c r="F672" s="17">
        <v>0</v>
      </c>
      <c r="G672" s="17">
        <v>0</v>
      </c>
      <c r="H672" s="17">
        <v>2.52</v>
      </c>
      <c r="I672" s="17">
        <v>0</v>
      </c>
      <c r="J672" s="17">
        <v>2.5</v>
      </c>
      <c r="K672" s="17">
        <v>0</v>
      </c>
      <c r="L672" s="17">
        <v>0</v>
      </c>
      <c r="M672" s="17">
        <v>0</v>
      </c>
      <c r="N672" s="17">
        <v>0</v>
      </c>
      <c r="O672" s="17">
        <v>0</v>
      </c>
      <c r="P672" s="17">
        <v>0</v>
      </c>
      <c r="Q672" s="17">
        <v>0</v>
      </c>
      <c r="R672" s="17">
        <v>0.24629999999999999</v>
      </c>
      <c r="S672" s="17">
        <v>0</v>
      </c>
      <c r="T672" s="17">
        <v>0</v>
      </c>
      <c r="U672" s="17">
        <v>2.2000000000000002</v>
      </c>
      <c r="V672" s="17">
        <v>0</v>
      </c>
      <c r="W672" s="17">
        <v>1.21</v>
      </c>
      <c r="X672" s="17">
        <v>0</v>
      </c>
      <c r="Y672" s="17">
        <v>0</v>
      </c>
      <c r="Z672" s="17">
        <v>0</v>
      </c>
      <c r="AA672" s="17">
        <v>0</v>
      </c>
      <c r="AB672" s="17">
        <v>0</v>
      </c>
      <c r="AC672" s="17">
        <v>0</v>
      </c>
      <c r="AD672" s="17">
        <v>0</v>
      </c>
      <c r="AE672" s="17">
        <v>0</v>
      </c>
      <c r="AF672" s="17">
        <v>0</v>
      </c>
      <c r="AG672" s="17">
        <v>0</v>
      </c>
      <c r="AH672" s="17">
        <v>0</v>
      </c>
      <c r="AI672" s="17">
        <f t="shared" si="43"/>
        <v>7</v>
      </c>
      <c r="AJ672" s="17">
        <f t="shared" si="44"/>
        <v>6</v>
      </c>
      <c r="AK672" s="17">
        <f t="shared" si="45"/>
        <v>21</v>
      </c>
      <c r="AL672" s="17">
        <f t="shared" si="46"/>
        <v>0</v>
      </c>
      <c r="AM672" s="17">
        <f>VLOOKUP(AK672,Sheet1!$A$2:$B$25,2,FALSE)</f>
        <v>0</v>
      </c>
    </row>
    <row r="673" spans="1:39" s="17" customFormat="1" x14ac:dyDescent="0.25">
      <c r="A673" s="21">
        <v>44598.895833333336</v>
      </c>
      <c r="B673" s="17">
        <v>7.43</v>
      </c>
      <c r="C673" s="17">
        <v>3.13</v>
      </c>
      <c r="D673" s="17">
        <v>4.3</v>
      </c>
      <c r="E673" s="17">
        <v>0</v>
      </c>
      <c r="F673" s="17">
        <v>0</v>
      </c>
      <c r="G673" s="17">
        <v>0</v>
      </c>
      <c r="H673" s="17">
        <v>2.58</v>
      </c>
      <c r="I673" s="17">
        <v>0</v>
      </c>
      <c r="J673" s="17">
        <v>2.5299999999999998</v>
      </c>
      <c r="K673" s="17">
        <v>0</v>
      </c>
      <c r="L673" s="17">
        <v>0</v>
      </c>
      <c r="M673" s="17">
        <v>0</v>
      </c>
      <c r="N673" s="17">
        <v>0</v>
      </c>
      <c r="O673" s="17">
        <v>0</v>
      </c>
      <c r="P673" s="17">
        <v>0</v>
      </c>
      <c r="Q673" s="17">
        <v>0</v>
      </c>
      <c r="R673" s="17">
        <v>0.67659999999999998</v>
      </c>
      <c r="S673" s="17">
        <v>0</v>
      </c>
      <c r="T673" s="17">
        <v>0</v>
      </c>
      <c r="U673" s="17">
        <v>2.2000000000000002</v>
      </c>
      <c r="V673" s="17">
        <v>0</v>
      </c>
      <c r="W673" s="17">
        <v>1.22</v>
      </c>
      <c r="X673" s="17">
        <v>0</v>
      </c>
      <c r="Y673" s="17">
        <v>0</v>
      </c>
      <c r="Z673" s="17">
        <v>0</v>
      </c>
      <c r="AA673" s="17">
        <v>0</v>
      </c>
      <c r="AB673" s="17">
        <v>0</v>
      </c>
      <c r="AC673" s="17">
        <v>0</v>
      </c>
      <c r="AD673" s="17">
        <v>0</v>
      </c>
      <c r="AE673" s="17">
        <v>0</v>
      </c>
      <c r="AF673" s="17">
        <v>0</v>
      </c>
      <c r="AG673" s="17">
        <v>0</v>
      </c>
      <c r="AH673" s="17">
        <v>0</v>
      </c>
      <c r="AI673" s="17">
        <f t="shared" si="43"/>
        <v>7</v>
      </c>
      <c r="AJ673" s="17">
        <f t="shared" si="44"/>
        <v>6</v>
      </c>
      <c r="AK673" s="17">
        <f t="shared" si="45"/>
        <v>21</v>
      </c>
      <c r="AL673" s="17">
        <f t="shared" si="46"/>
        <v>0</v>
      </c>
      <c r="AM673" s="17">
        <f>VLOOKUP(AK673,Sheet1!$A$2:$B$25,2,FALSE)</f>
        <v>0</v>
      </c>
    </row>
    <row r="674" spans="1:39" s="17" customFormat="1" x14ac:dyDescent="0.25">
      <c r="A674" s="21">
        <v>44598.90625</v>
      </c>
      <c r="B674" s="17">
        <v>6.08</v>
      </c>
      <c r="C674" s="17">
        <v>1.62</v>
      </c>
      <c r="D674" s="17">
        <v>4.46</v>
      </c>
      <c r="E674" s="17">
        <v>0</v>
      </c>
      <c r="F674" s="17">
        <v>0</v>
      </c>
      <c r="G674" s="17">
        <v>0</v>
      </c>
      <c r="H674" s="17">
        <v>2.4700000000000002</v>
      </c>
      <c r="I674" s="17">
        <v>0</v>
      </c>
      <c r="J674" s="17">
        <v>2.46</v>
      </c>
      <c r="K674" s="17">
        <v>0</v>
      </c>
      <c r="L674" s="17">
        <v>0</v>
      </c>
      <c r="M674" s="17">
        <v>0</v>
      </c>
      <c r="N674" s="17">
        <v>0</v>
      </c>
      <c r="O674" s="17">
        <v>0</v>
      </c>
      <c r="P674" s="17">
        <v>0</v>
      </c>
      <c r="Q674" s="17">
        <v>0</v>
      </c>
      <c r="R674" s="17">
        <v>0.28420000000000001</v>
      </c>
      <c r="S674" s="17">
        <v>0</v>
      </c>
      <c r="T674" s="17">
        <v>0</v>
      </c>
      <c r="U674" s="17">
        <v>2.21</v>
      </c>
      <c r="V674" s="17">
        <v>0</v>
      </c>
      <c r="W674" s="17">
        <v>1.23</v>
      </c>
      <c r="X674" s="17">
        <v>0</v>
      </c>
      <c r="Y674" s="17">
        <v>0</v>
      </c>
      <c r="Z674" s="17">
        <v>0</v>
      </c>
      <c r="AA674" s="17">
        <v>0</v>
      </c>
      <c r="AB674" s="17">
        <v>0</v>
      </c>
      <c r="AC674" s="17">
        <v>0</v>
      </c>
      <c r="AD674" s="17">
        <v>0</v>
      </c>
      <c r="AE674" s="17">
        <v>0</v>
      </c>
      <c r="AF674" s="17">
        <v>0</v>
      </c>
      <c r="AG674" s="17">
        <v>0</v>
      </c>
      <c r="AH674" s="17">
        <v>0</v>
      </c>
      <c r="AI674" s="17">
        <f t="shared" si="43"/>
        <v>7</v>
      </c>
      <c r="AJ674" s="17">
        <f t="shared" si="44"/>
        <v>6</v>
      </c>
      <c r="AK674" s="17">
        <f t="shared" si="45"/>
        <v>21</v>
      </c>
      <c r="AL674" s="17">
        <f t="shared" si="46"/>
        <v>0</v>
      </c>
      <c r="AM674" s="17">
        <f>VLOOKUP(AK674,Sheet1!$A$2:$B$25,2,FALSE)</f>
        <v>0</v>
      </c>
    </row>
    <row r="675" spans="1:39" s="17" customFormat="1" x14ac:dyDescent="0.25">
      <c r="A675" s="21">
        <v>44598.916666666664</v>
      </c>
      <c r="B675" s="17">
        <v>6.82</v>
      </c>
      <c r="C675" s="17">
        <v>2.5299999999999998</v>
      </c>
      <c r="D675" s="17">
        <v>4.29</v>
      </c>
      <c r="E675" s="17">
        <v>0</v>
      </c>
      <c r="F675" s="17">
        <v>0</v>
      </c>
      <c r="G675" s="17">
        <v>0</v>
      </c>
      <c r="H675" s="17">
        <v>2.37</v>
      </c>
      <c r="I675" s="17">
        <v>0</v>
      </c>
      <c r="J675" s="17">
        <v>2.4</v>
      </c>
      <c r="K675" s="17">
        <v>0</v>
      </c>
      <c r="L675" s="17">
        <v>0</v>
      </c>
      <c r="M675" s="17">
        <v>0</v>
      </c>
      <c r="N675" s="17">
        <v>0</v>
      </c>
      <c r="O675" s="17">
        <v>0</v>
      </c>
      <c r="P675" s="17">
        <v>0</v>
      </c>
      <c r="Q675" s="17">
        <v>0</v>
      </c>
      <c r="R675" s="17">
        <v>0.4516</v>
      </c>
      <c r="S675" s="17">
        <v>0</v>
      </c>
      <c r="T675" s="17">
        <v>0</v>
      </c>
      <c r="U675" s="17">
        <v>2.2000000000000002</v>
      </c>
      <c r="V675" s="17">
        <v>0</v>
      </c>
      <c r="W675" s="17">
        <v>1.22</v>
      </c>
      <c r="X675" s="17">
        <v>0</v>
      </c>
      <c r="Y675" s="17">
        <v>0</v>
      </c>
      <c r="Z675" s="17">
        <v>0</v>
      </c>
      <c r="AA675" s="17">
        <v>0</v>
      </c>
      <c r="AB675" s="17">
        <v>0</v>
      </c>
      <c r="AC675" s="17">
        <v>0</v>
      </c>
      <c r="AD675" s="17">
        <v>0</v>
      </c>
      <c r="AE675" s="17">
        <v>0</v>
      </c>
      <c r="AF675" s="17">
        <v>0</v>
      </c>
      <c r="AG675" s="17">
        <v>0</v>
      </c>
      <c r="AH675" s="17">
        <v>0</v>
      </c>
      <c r="AI675" s="17">
        <f t="shared" si="43"/>
        <v>7</v>
      </c>
      <c r="AJ675" s="17">
        <f t="shared" si="44"/>
        <v>6</v>
      </c>
      <c r="AK675" s="17">
        <f t="shared" si="45"/>
        <v>22</v>
      </c>
      <c r="AL675" s="17">
        <f t="shared" si="46"/>
        <v>0</v>
      </c>
      <c r="AM675" s="17">
        <f>VLOOKUP(AK675,Sheet1!$A$2:$B$25,2,FALSE)</f>
        <v>0</v>
      </c>
    </row>
    <row r="676" spans="1:39" s="17" customFormat="1" x14ac:dyDescent="0.25">
      <c r="A676" s="21">
        <v>44598.927083333336</v>
      </c>
      <c r="B676" s="17">
        <v>7.5</v>
      </c>
      <c r="C676" s="17">
        <v>2.94</v>
      </c>
      <c r="D676" s="17">
        <v>4.5599999999999996</v>
      </c>
      <c r="E676" s="17">
        <v>0</v>
      </c>
      <c r="F676" s="17">
        <v>0</v>
      </c>
      <c r="G676" s="17">
        <v>0</v>
      </c>
      <c r="H676" s="17">
        <v>2.46</v>
      </c>
      <c r="I676" s="17">
        <v>0</v>
      </c>
      <c r="J676" s="17">
        <v>2.37</v>
      </c>
      <c r="K676" s="17">
        <v>0</v>
      </c>
      <c r="L676" s="17">
        <v>0</v>
      </c>
      <c r="M676" s="17">
        <v>0</v>
      </c>
      <c r="N676" s="17">
        <v>0</v>
      </c>
      <c r="O676" s="17">
        <v>0</v>
      </c>
      <c r="P676" s="17">
        <v>0</v>
      </c>
      <c r="Q676" s="17">
        <v>0</v>
      </c>
      <c r="R676" s="17">
        <v>0.68679999999999997</v>
      </c>
      <c r="S676" s="17">
        <v>0</v>
      </c>
      <c r="T676" s="17">
        <v>0</v>
      </c>
      <c r="U676" s="17">
        <v>2.23</v>
      </c>
      <c r="V676" s="17">
        <v>0</v>
      </c>
      <c r="W676" s="17">
        <v>1.25</v>
      </c>
      <c r="X676" s="17">
        <v>0</v>
      </c>
      <c r="Y676" s="17">
        <v>0</v>
      </c>
      <c r="Z676" s="17">
        <v>0</v>
      </c>
      <c r="AA676" s="17">
        <v>0</v>
      </c>
      <c r="AB676" s="17">
        <v>0</v>
      </c>
      <c r="AC676" s="17">
        <v>0</v>
      </c>
      <c r="AD676" s="17">
        <v>0</v>
      </c>
      <c r="AE676" s="17">
        <v>0</v>
      </c>
      <c r="AF676" s="17">
        <v>0</v>
      </c>
      <c r="AG676" s="17">
        <v>0</v>
      </c>
      <c r="AH676" s="17">
        <v>0</v>
      </c>
      <c r="AI676" s="17">
        <f t="shared" si="43"/>
        <v>7</v>
      </c>
      <c r="AJ676" s="17">
        <f t="shared" si="44"/>
        <v>6</v>
      </c>
      <c r="AK676" s="17">
        <f t="shared" si="45"/>
        <v>22</v>
      </c>
      <c r="AL676" s="17">
        <f t="shared" si="46"/>
        <v>0</v>
      </c>
      <c r="AM676" s="17">
        <f>VLOOKUP(AK676,Sheet1!$A$2:$B$25,2,FALSE)</f>
        <v>0</v>
      </c>
    </row>
    <row r="677" spans="1:39" s="17" customFormat="1" x14ac:dyDescent="0.25">
      <c r="A677" s="21">
        <v>44598.9375</v>
      </c>
      <c r="B677" s="17">
        <v>7.59</v>
      </c>
      <c r="C677" s="17">
        <v>2.99</v>
      </c>
      <c r="D677" s="17">
        <v>4.5999999999999996</v>
      </c>
      <c r="E677" s="17">
        <v>0</v>
      </c>
      <c r="F677" s="17">
        <v>0</v>
      </c>
      <c r="G677" s="17">
        <v>0</v>
      </c>
      <c r="H677" s="17">
        <v>2.4500000000000002</v>
      </c>
      <c r="I677" s="17">
        <v>0</v>
      </c>
      <c r="J677" s="17">
        <v>2.4900000000000002</v>
      </c>
      <c r="K677" s="17">
        <v>0</v>
      </c>
      <c r="L677" s="17">
        <v>0</v>
      </c>
      <c r="M677" s="17">
        <v>0</v>
      </c>
      <c r="N677" s="17">
        <v>0</v>
      </c>
      <c r="O677" s="17">
        <v>0</v>
      </c>
      <c r="P677" s="17">
        <v>0</v>
      </c>
      <c r="Q677" s="17">
        <v>0</v>
      </c>
      <c r="R677" s="17">
        <v>0.19889999999999999</v>
      </c>
      <c r="S677" s="17">
        <v>0</v>
      </c>
      <c r="T677" s="17">
        <v>0</v>
      </c>
      <c r="U677" s="17">
        <v>2.2200000000000002</v>
      </c>
      <c r="V677" s="17">
        <v>0</v>
      </c>
      <c r="W677" s="17">
        <v>1.23</v>
      </c>
      <c r="X677" s="17">
        <v>0</v>
      </c>
      <c r="Y677" s="17">
        <v>0</v>
      </c>
      <c r="Z677" s="17">
        <v>0</v>
      </c>
      <c r="AA677" s="17">
        <v>0</v>
      </c>
      <c r="AB677" s="17">
        <v>0</v>
      </c>
      <c r="AC677" s="17">
        <v>0</v>
      </c>
      <c r="AD677" s="17">
        <v>0</v>
      </c>
      <c r="AE677" s="17">
        <v>0</v>
      </c>
      <c r="AF677" s="17">
        <v>0</v>
      </c>
      <c r="AG677" s="17">
        <v>0</v>
      </c>
      <c r="AH677" s="17">
        <v>0</v>
      </c>
      <c r="AI677" s="17">
        <f t="shared" si="43"/>
        <v>7</v>
      </c>
      <c r="AJ677" s="17">
        <f t="shared" si="44"/>
        <v>6</v>
      </c>
      <c r="AK677" s="17">
        <f t="shared" si="45"/>
        <v>22</v>
      </c>
      <c r="AL677" s="17">
        <f t="shared" si="46"/>
        <v>0</v>
      </c>
      <c r="AM677" s="17">
        <f>VLOOKUP(AK677,Sheet1!$A$2:$B$25,2,FALSE)</f>
        <v>0</v>
      </c>
    </row>
    <row r="678" spans="1:39" s="17" customFormat="1" x14ac:dyDescent="0.25">
      <c r="A678" s="21">
        <v>44598.947916666664</v>
      </c>
      <c r="B678" s="17">
        <v>6.24</v>
      </c>
      <c r="C678" s="17">
        <v>1.84</v>
      </c>
      <c r="D678" s="17">
        <v>4.3899999999999997</v>
      </c>
      <c r="E678" s="17">
        <v>0</v>
      </c>
      <c r="F678" s="17">
        <v>0</v>
      </c>
      <c r="G678" s="17">
        <v>0</v>
      </c>
      <c r="H678" s="17">
        <v>2.38</v>
      </c>
      <c r="I678" s="17">
        <v>0</v>
      </c>
      <c r="J678" s="17">
        <v>2.39</v>
      </c>
      <c r="K678" s="17">
        <v>0</v>
      </c>
      <c r="L678" s="17">
        <v>0</v>
      </c>
      <c r="M678" s="17">
        <v>0</v>
      </c>
      <c r="N678" s="17">
        <v>0</v>
      </c>
      <c r="O678" s="17">
        <v>0</v>
      </c>
      <c r="P678" s="17">
        <v>0</v>
      </c>
      <c r="Q678" s="17">
        <v>0</v>
      </c>
      <c r="R678" s="17">
        <v>0.2432</v>
      </c>
      <c r="S678" s="17">
        <v>0</v>
      </c>
      <c r="T678" s="17">
        <v>0</v>
      </c>
      <c r="U678" s="17">
        <v>2.12</v>
      </c>
      <c r="V678" s="17">
        <v>0</v>
      </c>
      <c r="W678" s="17">
        <v>1.1399999999999999</v>
      </c>
      <c r="X678" s="17">
        <v>0</v>
      </c>
      <c r="Y678" s="17">
        <v>0</v>
      </c>
      <c r="Z678" s="17">
        <v>0</v>
      </c>
      <c r="AA678" s="17">
        <v>0</v>
      </c>
      <c r="AB678" s="17">
        <v>0</v>
      </c>
      <c r="AC678" s="17">
        <v>0</v>
      </c>
      <c r="AD678" s="17">
        <v>0</v>
      </c>
      <c r="AE678" s="17">
        <v>0</v>
      </c>
      <c r="AF678" s="17">
        <v>0</v>
      </c>
      <c r="AG678" s="17">
        <v>0</v>
      </c>
      <c r="AH678" s="17">
        <v>0</v>
      </c>
      <c r="AI678" s="17">
        <f t="shared" si="43"/>
        <v>7</v>
      </c>
      <c r="AJ678" s="17">
        <f t="shared" si="44"/>
        <v>6</v>
      </c>
      <c r="AK678" s="17">
        <f t="shared" si="45"/>
        <v>22</v>
      </c>
      <c r="AL678" s="17">
        <f t="shared" si="46"/>
        <v>0</v>
      </c>
      <c r="AM678" s="17">
        <f>VLOOKUP(AK678,Sheet1!$A$2:$B$25,2,FALSE)</f>
        <v>0</v>
      </c>
    </row>
    <row r="679" spans="1:39" s="17" customFormat="1" x14ac:dyDescent="0.25">
      <c r="A679" s="21">
        <v>44598.958333333336</v>
      </c>
      <c r="B679" s="17">
        <v>7.15</v>
      </c>
      <c r="C679" s="17">
        <v>2.77</v>
      </c>
      <c r="D679" s="17">
        <v>4.38</v>
      </c>
      <c r="E679" s="17">
        <v>0</v>
      </c>
      <c r="F679" s="17">
        <v>0</v>
      </c>
      <c r="G679" s="17">
        <v>0</v>
      </c>
      <c r="H679" s="17">
        <v>2.41</v>
      </c>
      <c r="I679" s="17">
        <v>0</v>
      </c>
      <c r="J679" s="17">
        <v>2.4500000000000002</v>
      </c>
      <c r="K679" s="17">
        <v>0</v>
      </c>
      <c r="L679" s="17">
        <v>0</v>
      </c>
      <c r="M679" s="17">
        <v>0</v>
      </c>
      <c r="N679" s="17">
        <v>0</v>
      </c>
      <c r="O679" s="17">
        <v>0</v>
      </c>
      <c r="P679" s="17">
        <v>0</v>
      </c>
      <c r="Q679" s="17">
        <v>0</v>
      </c>
      <c r="R679" s="17">
        <v>0.33710000000000001</v>
      </c>
      <c r="S679" s="17">
        <v>0</v>
      </c>
      <c r="T679" s="17">
        <v>0</v>
      </c>
      <c r="U679" s="17">
        <v>2.13</v>
      </c>
      <c r="V679" s="17">
        <v>0</v>
      </c>
      <c r="W679" s="17">
        <v>1.1499999999999999</v>
      </c>
      <c r="X679" s="17">
        <v>0</v>
      </c>
      <c r="Y679" s="17">
        <v>0</v>
      </c>
      <c r="Z679" s="17">
        <v>0</v>
      </c>
      <c r="AA679" s="17">
        <v>0</v>
      </c>
      <c r="AB679" s="17">
        <v>0</v>
      </c>
      <c r="AC679" s="17">
        <v>0</v>
      </c>
      <c r="AD679" s="17">
        <v>0</v>
      </c>
      <c r="AE679" s="17">
        <v>0</v>
      </c>
      <c r="AF679" s="17">
        <v>0</v>
      </c>
      <c r="AG679" s="17">
        <v>0</v>
      </c>
      <c r="AH679" s="17">
        <v>0</v>
      </c>
      <c r="AI679" s="17">
        <f t="shared" si="43"/>
        <v>7</v>
      </c>
      <c r="AJ679" s="17">
        <f t="shared" si="44"/>
        <v>6</v>
      </c>
      <c r="AK679" s="17">
        <f t="shared" si="45"/>
        <v>23</v>
      </c>
      <c r="AL679" s="17">
        <f t="shared" si="46"/>
        <v>0</v>
      </c>
      <c r="AM679" s="17">
        <f>VLOOKUP(AK679,Sheet1!$A$2:$B$25,2,FALSE)</f>
        <v>0</v>
      </c>
    </row>
    <row r="680" spans="1:39" s="17" customFormat="1" x14ac:dyDescent="0.25">
      <c r="A680" s="21">
        <v>44598.96875</v>
      </c>
      <c r="B680" s="17">
        <v>7.08</v>
      </c>
      <c r="C680" s="17">
        <v>2.71</v>
      </c>
      <c r="D680" s="17">
        <v>4.38</v>
      </c>
      <c r="E680" s="17">
        <v>0</v>
      </c>
      <c r="F680" s="17">
        <v>0</v>
      </c>
      <c r="G680" s="17">
        <v>0</v>
      </c>
      <c r="H680" s="17">
        <v>2.38</v>
      </c>
      <c r="I680" s="17">
        <v>0</v>
      </c>
      <c r="J680" s="17">
        <v>2.39</v>
      </c>
      <c r="K680" s="17">
        <v>0</v>
      </c>
      <c r="L680" s="17">
        <v>0</v>
      </c>
      <c r="M680" s="17">
        <v>0</v>
      </c>
      <c r="N680" s="17">
        <v>0</v>
      </c>
      <c r="O680" s="17">
        <v>0</v>
      </c>
      <c r="P680" s="17">
        <v>0</v>
      </c>
      <c r="Q680" s="17">
        <v>0</v>
      </c>
      <c r="R680" s="17">
        <v>0.33629999999999999</v>
      </c>
      <c r="S680" s="17">
        <v>0</v>
      </c>
      <c r="T680" s="17">
        <v>0</v>
      </c>
      <c r="U680" s="17">
        <v>2.16</v>
      </c>
      <c r="V680" s="17">
        <v>0</v>
      </c>
      <c r="W680" s="17">
        <v>1.17</v>
      </c>
      <c r="X680" s="17">
        <v>0</v>
      </c>
      <c r="Y680" s="17">
        <v>0</v>
      </c>
      <c r="Z680" s="17">
        <v>0</v>
      </c>
      <c r="AA680" s="17">
        <v>0</v>
      </c>
      <c r="AB680" s="17">
        <v>0</v>
      </c>
      <c r="AC680" s="17">
        <v>0</v>
      </c>
      <c r="AD680" s="17">
        <v>0</v>
      </c>
      <c r="AE680" s="17">
        <v>0</v>
      </c>
      <c r="AF680" s="17">
        <v>0</v>
      </c>
      <c r="AG680" s="17">
        <v>0</v>
      </c>
      <c r="AH680" s="17">
        <v>0</v>
      </c>
      <c r="AI680" s="17">
        <f t="shared" si="43"/>
        <v>7</v>
      </c>
      <c r="AJ680" s="17">
        <f t="shared" si="44"/>
        <v>6</v>
      </c>
      <c r="AK680" s="17">
        <f t="shared" si="45"/>
        <v>23</v>
      </c>
      <c r="AL680" s="17">
        <f t="shared" si="46"/>
        <v>0</v>
      </c>
      <c r="AM680" s="17">
        <f>VLOOKUP(AK680,Sheet1!$A$2:$B$25,2,FALSE)</f>
        <v>0</v>
      </c>
    </row>
    <row r="681" spans="1:39" s="17" customFormat="1" x14ac:dyDescent="0.25">
      <c r="A681" s="21">
        <v>44598.979166666664</v>
      </c>
      <c r="B681" s="17">
        <v>6.57</v>
      </c>
      <c r="C681" s="17">
        <v>2.08</v>
      </c>
      <c r="D681" s="17">
        <v>4.49</v>
      </c>
      <c r="E681" s="17">
        <v>0</v>
      </c>
      <c r="F681" s="17">
        <v>0</v>
      </c>
      <c r="G681" s="17">
        <v>0</v>
      </c>
      <c r="H681" s="17">
        <v>2.38</v>
      </c>
      <c r="I681" s="17">
        <v>0</v>
      </c>
      <c r="J681" s="17">
        <v>2.33</v>
      </c>
      <c r="K681" s="17">
        <v>0</v>
      </c>
      <c r="L681" s="17">
        <v>0</v>
      </c>
      <c r="M681" s="17">
        <v>0</v>
      </c>
      <c r="N681" s="17">
        <v>0</v>
      </c>
      <c r="O681" s="17">
        <v>0</v>
      </c>
      <c r="P681" s="17">
        <v>0</v>
      </c>
      <c r="Q681" s="17">
        <v>0</v>
      </c>
      <c r="R681" s="17">
        <v>0.2432</v>
      </c>
      <c r="S681" s="17">
        <v>0</v>
      </c>
      <c r="T681" s="17">
        <v>0</v>
      </c>
      <c r="U681" s="17">
        <v>2.16</v>
      </c>
      <c r="V681" s="17">
        <v>0</v>
      </c>
      <c r="W681" s="17">
        <v>1.17</v>
      </c>
      <c r="X681" s="17">
        <v>0</v>
      </c>
      <c r="Y681" s="17">
        <v>0</v>
      </c>
      <c r="Z681" s="17">
        <v>0</v>
      </c>
      <c r="AA681" s="17">
        <v>0</v>
      </c>
      <c r="AB681" s="17">
        <v>0</v>
      </c>
      <c r="AC681" s="17">
        <v>0</v>
      </c>
      <c r="AD681" s="17">
        <v>0</v>
      </c>
      <c r="AE681" s="17">
        <v>0</v>
      </c>
      <c r="AF681" s="17">
        <v>0</v>
      </c>
      <c r="AG681" s="17">
        <v>0</v>
      </c>
      <c r="AH681" s="17">
        <v>0</v>
      </c>
      <c r="AI681" s="17">
        <f t="shared" si="43"/>
        <v>7</v>
      </c>
      <c r="AJ681" s="17">
        <f t="shared" si="44"/>
        <v>6</v>
      </c>
      <c r="AK681" s="17">
        <f t="shared" si="45"/>
        <v>23</v>
      </c>
      <c r="AL681" s="17">
        <f t="shared" si="46"/>
        <v>0</v>
      </c>
      <c r="AM681" s="17">
        <f>VLOOKUP(AK681,Sheet1!$A$2:$B$25,2,FALSE)</f>
        <v>0</v>
      </c>
    </row>
    <row r="682" spans="1:39" s="17" customFormat="1" x14ac:dyDescent="0.25">
      <c r="A682" s="21">
        <v>44598.989583333336</v>
      </c>
      <c r="B682" s="17">
        <v>8.07</v>
      </c>
      <c r="C682" s="17">
        <v>3.73</v>
      </c>
      <c r="D682" s="17">
        <v>4.34</v>
      </c>
      <c r="E682" s="17">
        <v>0</v>
      </c>
      <c r="F682" s="17">
        <v>0</v>
      </c>
      <c r="G682" s="17">
        <v>0</v>
      </c>
      <c r="H682" s="17">
        <v>2.29</v>
      </c>
      <c r="I682" s="17">
        <v>0</v>
      </c>
      <c r="J682" s="17">
        <v>2.25</v>
      </c>
      <c r="K682" s="17">
        <v>0</v>
      </c>
      <c r="L682" s="17">
        <v>0</v>
      </c>
      <c r="M682" s="17">
        <v>0</v>
      </c>
      <c r="N682" s="17">
        <v>0</v>
      </c>
      <c r="O682" s="17">
        <v>0</v>
      </c>
      <c r="P682" s="17">
        <v>0</v>
      </c>
      <c r="Q682" s="17">
        <v>0</v>
      </c>
      <c r="R682" s="17">
        <v>0.38290000000000002</v>
      </c>
      <c r="S682" s="17">
        <v>0</v>
      </c>
      <c r="T682" s="17">
        <v>0</v>
      </c>
      <c r="U682" s="17">
        <v>2.16</v>
      </c>
      <c r="V682" s="17">
        <v>0</v>
      </c>
      <c r="W682" s="17">
        <v>1.18</v>
      </c>
      <c r="X682" s="17">
        <v>0</v>
      </c>
      <c r="Y682" s="17">
        <v>0</v>
      </c>
      <c r="Z682" s="17">
        <v>0</v>
      </c>
      <c r="AA682" s="17">
        <v>0</v>
      </c>
      <c r="AB682" s="17">
        <v>0</v>
      </c>
      <c r="AC682" s="17">
        <v>0</v>
      </c>
      <c r="AD682" s="17">
        <v>0</v>
      </c>
      <c r="AE682" s="17">
        <v>0</v>
      </c>
      <c r="AF682" s="17">
        <v>0</v>
      </c>
      <c r="AG682" s="17">
        <v>0</v>
      </c>
      <c r="AH682" s="17">
        <v>0</v>
      </c>
      <c r="AI682" s="17">
        <f t="shared" si="43"/>
        <v>7</v>
      </c>
      <c r="AJ682" s="17">
        <f t="shared" si="44"/>
        <v>6</v>
      </c>
      <c r="AK682" s="17">
        <f t="shared" si="45"/>
        <v>23</v>
      </c>
      <c r="AL682" s="17">
        <f t="shared" si="46"/>
        <v>0</v>
      </c>
      <c r="AM682" s="17">
        <f>VLOOKUP(AK682,Sheet1!$A$2:$B$25,2,FALSE)</f>
        <v>0</v>
      </c>
    </row>
  </sheetData>
  <autoFilter ref="A3:AM682"/>
  <sortState ref="O2:AT2">
    <sortCondition descending="1" ref="O1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41"/>
  <sheetViews>
    <sheetView workbookViewId="0">
      <selection activeCell="C4" sqref="C4"/>
    </sheetView>
  </sheetViews>
  <sheetFormatPr defaultRowHeight="15" x14ac:dyDescent="0.25"/>
  <cols>
    <col min="1" max="1" width="14.85546875" bestFit="1" customWidth="1"/>
    <col min="2" max="2" width="13.28515625" bestFit="1" customWidth="1"/>
    <col min="3" max="3" width="11.28515625" bestFit="1" customWidth="1"/>
    <col min="4" max="4" width="5.140625" bestFit="1" customWidth="1"/>
    <col min="5" max="5" width="5.28515625" bestFit="1" customWidth="1"/>
    <col min="6" max="6" width="11" bestFit="1" customWidth="1"/>
    <col min="7" max="7" width="12" bestFit="1" customWidth="1"/>
  </cols>
  <sheetData>
    <row r="1" spans="1:7" x14ac:dyDescent="0.25">
      <c r="A1" s="10" t="s">
        <v>15</v>
      </c>
      <c r="B1" s="10" t="s">
        <v>16</v>
      </c>
      <c r="C1" s="1" t="s">
        <v>3</v>
      </c>
      <c r="D1" s="1" t="s">
        <v>2</v>
      </c>
      <c r="E1" s="1" t="s">
        <v>1</v>
      </c>
      <c r="F1" s="1" t="s">
        <v>7</v>
      </c>
      <c r="G1" s="1" t="s">
        <v>6</v>
      </c>
    </row>
    <row r="2" spans="1:7" x14ac:dyDescent="0.25">
      <c r="A2" s="11">
        <v>44562.020833333336</v>
      </c>
      <c r="B2" s="10">
        <v>252.62</v>
      </c>
      <c r="C2">
        <f t="shared" ref="C2:C65" si="0">WEEKDAY(A2,2)</f>
        <v>6</v>
      </c>
      <c r="D2">
        <f t="shared" ref="D2:D65" si="1">DAY(A2)</f>
        <v>1</v>
      </c>
      <c r="E2">
        <f t="shared" ref="E2:E65" si="2">HOUR(A2)</f>
        <v>0</v>
      </c>
      <c r="F2">
        <f>IF(C2&gt;=6,0,1)</f>
        <v>0</v>
      </c>
      <c r="G2">
        <f>VLOOKUP(E2,Sheet1!$A$2:$B$25,2,FALSE)</f>
        <v>0</v>
      </c>
    </row>
    <row r="3" spans="1:7" x14ac:dyDescent="0.25">
      <c r="A3" s="11">
        <v>44562.041666666664</v>
      </c>
      <c r="B3" s="10">
        <v>250.20099999999999</v>
      </c>
      <c r="C3">
        <f t="shared" si="0"/>
        <v>6</v>
      </c>
      <c r="D3">
        <f t="shared" si="1"/>
        <v>1</v>
      </c>
      <c r="E3">
        <f t="shared" si="2"/>
        <v>1</v>
      </c>
      <c r="F3">
        <f t="shared" ref="F3:F66" si="3">IF(C3&gt;=6,0,1)</f>
        <v>0</v>
      </c>
      <c r="G3">
        <f>VLOOKUP(E3,Sheet1!$A$2:$B$25,2,FALSE)</f>
        <v>0</v>
      </c>
    </row>
    <row r="4" spans="1:7" x14ac:dyDescent="0.25">
      <c r="A4" s="11">
        <v>44562.0625</v>
      </c>
      <c r="B4" s="10">
        <v>247.196</v>
      </c>
      <c r="C4">
        <f t="shared" si="0"/>
        <v>6</v>
      </c>
      <c r="D4">
        <f t="shared" si="1"/>
        <v>1</v>
      </c>
      <c r="E4">
        <f t="shared" si="2"/>
        <v>1</v>
      </c>
      <c r="F4">
        <f t="shared" si="3"/>
        <v>0</v>
      </c>
      <c r="G4">
        <f>VLOOKUP(E4,Sheet1!$A$2:$B$25,2,FALSE)</f>
        <v>0</v>
      </c>
    </row>
    <row r="5" spans="1:7" x14ac:dyDescent="0.25">
      <c r="A5" s="11">
        <v>44562.083333333336</v>
      </c>
      <c r="B5" s="10">
        <v>248.756</v>
      </c>
      <c r="C5">
        <f t="shared" si="0"/>
        <v>6</v>
      </c>
      <c r="D5">
        <f t="shared" si="1"/>
        <v>1</v>
      </c>
      <c r="E5">
        <f t="shared" si="2"/>
        <v>2</v>
      </c>
      <c r="F5">
        <f t="shared" si="3"/>
        <v>0</v>
      </c>
      <c r="G5">
        <f>VLOOKUP(E5,Sheet1!$A$2:$B$25,2,FALSE)</f>
        <v>0</v>
      </c>
    </row>
    <row r="6" spans="1:7" x14ac:dyDescent="0.25">
      <c r="A6" s="11">
        <v>44562.104166666664</v>
      </c>
      <c r="B6" s="10">
        <v>247.79599999999999</v>
      </c>
      <c r="C6">
        <f t="shared" si="0"/>
        <v>6</v>
      </c>
      <c r="D6">
        <f t="shared" si="1"/>
        <v>1</v>
      </c>
      <c r="E6">
        <f t="shared" si="2"/>
        <v>2</v>
      </c>
      <c r="F6">
        <f t="shared" si="3"/>
        <v>0</v>
      </c>
      <c r="G6">
        <f>VLOOKUP(E6,Sheet1!$A$2:$B$25,2,FALSE)</f>
        <v>0</v>
      </c>
    </row>
    <row r="7" spans="1:7" x14ac:dyDescent="0.25">
      <c r="A7" s="11">
        <v>44562.125</v>
      </c>
      <c r="B7" s="10">
        <v>247.22499999999999</v>
      </c>
      <c r="C7">
        <f t="shared" si="0"/>
        <v>6</v>
      </c>
      <c r="D7">
        <f t="shared" si="1"/>
        <v>1</v>
      </c>
      <c r="E7">
        <f t="shared" si="2"/>
        <v>3</v>
      </c>
      <c r="F7">
        <f t="shared" si="3"/>
        <v>0</v>
      </c>
      <c r="G7">
        <f>VLOOKUP(E7,Sheet1!$A$2:$B$25,2,FALSE)</f>
        <v>0</v>
      </c>
    </row>
    <row r="8" spans="1:7" x14ac:dyDescent="0.25">
      <c r="A8" s="11">
        <v>44562.145833333336</v>
      </c>
      <c r="B8" s="10">
        <v>249.98</v>
      </c>
      <c r="C8">
        <f t="shared" si="0"/>
        <v>6</v>
      </c>
      <c r="D8">
        <f t="shared" si="1"/>
        <v>1</v>
      </c>
      <c r="E8">
        <f t="shared" si="2"/>
        <v>3</v>
      </c>
      <c r="F8">
        <f t="shared" si="3"/>
        <v>0</v>
      </c>
      <c r="G8">
        <f>VLOOKUP(E8,Sheet1!$A$2:$B$25,2,FALSE)</f>
        <v>0</v>
      </c>
    </row>
    <row r="9" spans="1:7" x14ac:dyDescent="0.25">
      <c r="A9" s="11">
        <v>44562.166666666664</v>
      </c>
      <c r="B9" s="10">
        <v>256.70499999999998</v>
      </c>
      <c r="C9">
        <f t="shared" si="0"/>
        <v>6</v>
      </c>
      <c r="D9">
        <f t="shared" si="1"/>
        <v>1</v>
      </c>
      <c r="E9">
        <f t="shared" si="2"/>
        <v>4</v>
      </c>
      <c r="F9">
        <f t="shared" si="3"/>
        <v>0</v>
      </c>
      <c r="G9">
        <f>VLOOKUP(E9,Sheet1!$A$2:$B$25,2,FALSE)</f>
        <v>1</v>
      </c>
    </row>
    <row r="10" spans="1:7" x14ac:dyDescent="0.25">
      <c r="A10" s="11">
        <v>44562.1875</v>
      </c>
      <c r="B10" s="10">
        <v>261.02</v>
      </c>
      <c r="C10">
        <f t="shared" si="0"/>
        <v>6</v>
      </c>
      <c r="D10">
        <f t="shared" si="1"/>
        <v>1</v>
      </c>
      <c r="E10">
        <f t="shared" si="2"/>
        <v>4</v>
      </c>
      <c r="F10">
        <f t="shared" si="3"/>
        <v>0</v>
      </c>
      <c r="G10">
        <f>VLOOKUP(E10,Sheet1!$A$2:$B$25,2,FALSE)</f>
        <v>1</v>
      </c>
    </row>
    <row r="11" spans="1:7" x14ac:dyDescent="0.25">
      <c r="A11" s="11">
        <v>44562.208333333336</v>
      </c>
      <c r="B11" s="10">
        <v>255.71600000000001</v>
      </c>
      <c r="C11">
        <f t="shared" si="0"/>
        <v>6</v>
      </c>
      <c r="D11">
        <f t="shared" si="1"/>
        <v>1</v>
      </c>
      <c r="E11">
        <f t="shared" si="2"/>
        <v>5</v>
      </c>
      <c r="F11">
        <f t="shared" si="3"/>
        <v>0</v>
      </c>
      <c r="G11">
        <f>VLOOKUP(E11,Sheet1!$A$2:$B$25,2,FALSE)</f>
        <v>1</v>
      </c>
    </row>
    <row r="12" spans="1:7" x14ac:dyDescent="0.25">
      <c r="A12" s="11">
        <v>44562.229166666664</v>
      </c>
      <c r="B12" s="10">
        <v>260.065</v>
      </c>
      <c r="C12">
        <f t="shared" si="0"/>
        <v>6</v>
      </c>
      <c r="D12">
        <f t="shared" si="1"/>
        <v>1</v>
      </c>
      <c r="E12">
        <f t="shared" si="2"/>
        <v>5</v>
      </c>
      <c r="F12">
        <f t="shared" si="3"/>
        <v>0</v>
      </c>
      <c r="G12">
        <f>VLOOKUP(E12,Sheet1!$A$2:$B$25,2,FALSE)</f>
        <v>1</v>
      </c>
    </row>
    <row r="13" spans="1:7" x14ac:dyDescent="0.25">
      <c r="A13" s="11">
        <v>44562.25</v>
      </c>
      <c r="B13" s="10">
        <v>258.83600000000001</v>
      </c>
      <c r="C13">
        <f t="shared" si="0"/>
        <v>6</v>
      </c>
      <c r="D13">
        <f t="shared" si="1"/>
        <v>1</v>
      </c>
      <c r="E13">
        <f t="shared" si="2"/>
        <v>6</v>
      </c>
      <c r="F13">
        <f t="shared" si="3"/>
        <v>0</v>
      </c>
      <c r="G13">
        <f>VLOOKUP(E13,Sheet1!$A$2:$B$25,2,FALSE)</f>
        <v>1</v>
      </c>
    </row>
    <row r="14" spans="1:7" x14ac:dyDescent="0.25">
      <c r="A14" s="11">
        <v>44562.270833333336</v>
      </c>
      <c r="B14" s="10">
        <v>256.43599999999998</v>
      </c>
      <c r="C14">
        <f t="shared" si="0"/>
        <v>6</v>
      </c>
      <c r="D14">
        <f t="shared" si="1"/>
        <v>1</v>
      </c>
      <c r="E14">
        <f t="shared" si="2"/>
        <v>6</v>
      </c>
      <c r="F14">
        <f t="shared" si="3"/>
        <v>0</v>
      </c>
      <c r="G14">
        <f>VLOOKUP(E14,Sheet1!$A$2:$B$25,2,FALSE)</f>
        <v>1</v>
      </c>
    </row>
    <row r="15" spans="1:7" x14ac:dyDescent="0.25">
      <c r="A15" s="11">
        <v>44562.291666666664</v>
      </c>
      <c r="B15" s="10">
        <v>256.58499999999998</v>
      </c>
      <c r="C15">
        <f t="shared" si="0"/>
        <v>6</v>
      </c>
      <c r="D15">
        <f t="shared" si="1"/>
        <v>1</v>
      </c>
      <c r="E15">
        <f t="shared" si="2"/>
        <v>7</v>
      </c>
      <c r="F15">
        <f t="shared" si="3"/>
        <v>0</v>
      </c>
      <c r="G15">
        <f>VLOOKUP(E15,Sheet1!$A$2:$B$25,2,FALSE)</f>
        <v>1</v>
      </c>
    </row>
    <row r="16" spans="1:7" x14ac:dyDescent="0.25">
      <c r="A16" s="11">
        <v>44562.3125</v>
      </c>
      <c r="B16" s="10">
        <v>254.636</v>
      </c>
      <c r="C16">
        <f t="shared" si="0"/>
        <v>6</v>
      </c>
      <c r="D16">
        <f t="shared" si="1"/>
        <v>1</v>
      </c>
      <c r="E16">
        <f t="shared" si="2"/>
        <v>7</v>
      </c>
      <c r="F16">
        <f t="shared" si="3"/>
        <v>0</v>
      </c>
      <c r="G16">
        <f>VLOOKUP(E16,Sheet1!$A$2:$B$25,2,FALSE)</f>
        <v>1</v>
      </c>
    </row>
    <row r="17" spans="1:7" x14ac:dyDescent="0.25">
      <c r="A17" s="11">
        <v>44562.333333333336</v>
      </c>
      <c r="B17" s="10">
        <v>248.636</v>
      </c>
      <c r="C17">
        <f t="shared" si="0"/>
        <v>6</v>
      </c>
      <c r="D17">
        <f t="shared" si="1"/>
        <v>1</v>
      </c>
      <c r="E17">
        <f t="shared" si="2"/>
        <v>8</v>
      </c>
      <c r="F17">
        <f t="shared" si="3"/>
        <v>0</v>
      </c>
      <c r="G17">
        <f>VLOOKUP(E17,Sheet1!$A$2:$B$25,2,FALSE)</f>
        <v>1</v>
      </c>
    </row>
    <row r="18" spans="1:7" x14ac:dyDescent="0.25">
      <c r="A18" s="11">
        <v>44562.354166666664</v>
      </c>
      <c r="B18" s="10">
        <v>245.51599999999999</v>
      </c>
      <c r="C18">
        <f t="shared" si="0"/>
        <v>6</v>
      </c>
      <c r="D18">
        <f t="shared" si="1"/>
        <v>1</v>
      </c>
      <c r="E18">
        <f t="shared" si="2"/>
        <v>8</v>
      </c>
      <c r="F18">
        <f t="shared" si="3"/>
        <v>0</v>
      </c>
      <c r="G18">
        <f>VLOOKUP(E18,Sheet1!$A$2:$B$25,2,FALSE)</f>
        <v>1</v>
      </c>
    </row>
    <row r="19" spans="1:7" x14ac:dyDescent="0.25">
      <c r="A19" s="11">
        <v>44562.375</v>
      </c>
      <c r="B19" s="10">
        <v>245.40100000000001</v>
      </c>
      <c r="C19">
        <f t="shared" si="0"/>
        <v>6</v>
      </c>
      <c r="D19">
        <f t="shared" si="1"/>
        <v>1</v>
      </c>
      <c r="E19">
        <f t="shared" si="2"/>
        <v>9</v>
      </c>
      <c r="F19">
        <f t="shared" si="3"/>
        <v>0</v>
      </c>
      <c r="G19">
        <f>VLOOKUP(E19,Sheet1!$A$2:$B$25,2,FALSE)</f>
        <v>1</v>
      </c>
    </row>
    <row r="20" spans="1:7" x14ac:dyDescent="0.25">
      <c r="A20" s="11">
        <v>44562.395833333336</v>
      </c>
      <c r="B20" s="10">
        <v>242.66</v>
      </c>
      <c r="C20">
        <f t="shared" si="0"/>
        <v>6</v>
      </c>
      <c r="D20">
        <f t="shared" si="1"/>
        <v>1</v>
      </c>
      <c r="E20">
        <f t="shared" si="2"/>
        <v>9</v>
      </c>
      <c r="F20">
        <f t="shared" si="3"/>
        <v>0</v>
      </c>
      <c r="G20">
        <f>VLOOKUP(E20,Sheet1!$A$2:$B$25,2,FALSE)</f>
        <v>1</v>
      </c>
    </row>
    <row r="21" spans="1:7" x14ac:dyDescent="0.25">
      <c r="A21" s="11">
        <v>44562.416666666664</v>
      </c>
      <c r="B21" s="10">
        <v>240.86</v>
      </c>
      <c r="C21">
        <f t="shared" si="0"/>
        <v>6</v>
      </c>
      <c r="D21">
        <f t="shared" si="1"/>
        <v>1</v>
      </c>
      <c r="E21">
        <f t="shared" si="2"/>
        <v>10</v>
      </c>
      <c r="F21">
        <f t="shared" si="3"/>
        <v>0</v>
      </c>
      <c r="G21">
        <f>VLOOKUP(E21,Sheet1!$A$2:$B$25,2,FALSE)</f>
        <v>1</v>
      </c>
    </row>
    <row r="22" spans="1:7" x14ac:dyDescent="0.25">
      <c r="A22" s="11">
        <v>44562.4375</v>
      </c>
      <c r="B22" s="10">
        <v>243.596</v>
      </c>
      <c r="C22">
        <f t="shared" si="0"/>
        <v>6</v>
      </c>
      <c r="D22">
        <f t="shared" si="1"/>
        <v>1</v>
      </c>
      <c r="E22">
        <f t="shared" si="2"/>
        <v>10</v>
      </c>
      <c r="F22">
        <f t="shared" si="3"/>
        <v>0</v>
      </c>
      <c r="G22">
        <f>VLOOKUP(E22,Sheet1!$A$2:$B$25,2,FALSE)</f>
        <v>1</v>
      </c>
    </row>
    <row r="23" spans="1:7" x14ac:dyDescent="0.25">
      <c r="A23" s="11">
        <v>44562.458333333336</v>
      </c>
      <c r="B23" s="10">
        <v>248.9</v>
      </c>
      <c r="C23">
        <f t="shared" si="0"/>
        <v>6</v>
      </c>
      <c r="D23">
        <f t="shared" si="1"/>
        <v>1</v>
      </c>
      <c r="E23">
        <f t="shared" si="2"/>
        <v>11</v>
      </c>
      <c r="F23">
        <f t="shared" si="3"/>
        <v>0</v>
      </c>
      <c r="G23">
        <f>VLOOKUP(E23,Sheet1!$A$2:$B$25,2,FALSE)</f>
        <v>1</v>
      </c>
    </row>
    <row r="24" spans="1:7" x14ac:dyDescent="0.25">
      <c r="A24" s="11">
        <v>44562.479166666664</v>
      </c>
      <c r="B24" s="10">
        <v>244.82</v>
      </c>
      <c r="C24">
        <f t="shared" si="0"/>
        <v>6</v>
      </c>
      <c r="D24">
        <f t="shared" si="1"/>
        <v>1</v>
      </c>
      <c r="E24">
        <f t="shared" si="2"/>
        <v>11</v>
      </c>
      <c r="F24">
        <f t="shared" si="3"/>
        <v>0</v>
      </c>
      <c r="G24">
        <f>VLOOKUP(E24,Sheet1!$A$2:$B$25,2,FALSE)</f>
        <v>1</v>
      </c>
    </row>
    <row r="25" spans="1:7" x14ac:dyDescent="0.25">
      <c r="A25" s="11">
        <v>44562.5</v>
      </c>
      <c r="B25" s="10">
        <v>240.96100000000001</v>
      </c>
      <c r="C25">
        <f t="shared" si="0"/>
        <v>6</v>
      </c>
      <c r="D25">
        <f t="shared" si="1"/>
        <v>1</v>
      </c>
      <c r="E25">
        <f t="shared" si="2"/>
        <v>12</v>
      </c>
      <c r="F25">
        <f t="shared" si="3"/>
        <v>0</v>
      </c>
      <c r="G25">
        <f>VLOOKUP(E25,Sheet1!$A$2:$B$25,2,FALSE)</f>
        <v>1</v>
      </c>
    </row>
    <row r="26" spans="1:7" x14ac:dyDescent="0.25">
      <c r="A26" s="11">
        <v>44562.520833333336</v>
      </c>
      <c r="B26" s="10">
        <v>240.71600000000001</v>
      </c>
      <c r="C26">
        <f t="shared" si="0"/>
        <v>6</v>
      </c>
      <c r="D26">
        <f t="shared" si="1"/>
        <v>1</v>
      </c>
      <c r="E26">
        <f t="shared" si="2"/>
        <v>12</v>
      </c>
      <c r="F26">
        <f t="shared" si="3"/>
        <v>0</v>
      </c>
      <c r="G26">
        <f>VLOOKUP(E26,Sheet1!$A$2:$B$25,2,FALSE)</f>
        <v>1</v>
      </c>
    </row>
    <row r="27" spans="1:7" x14ac:dyDescent="0.25">
      <c r="A27" s="11">
        <v>44562.541666666664</v>
      </c>
      <c r="B27" s="10">
        <v>244.34</v>
      </c>
      <c r="C27">
        <f t="shared" si="0"/>
        <v>6</v>
      </c>
      <c r="D27">
        <f t="shared" si="1"/>
        <v>1</v>
      </c>
      <c r="E27">
        <f t="shared" si="2"/>
        <v>13</v>
      </c>
      <c r="F27">
        <f t="shared" si="3"/>
        <v>0</v>
      </c>
      <c r="G27">
        <f>VLOOKUP(E27,Sheet1!$A$2:$B$25,2,FALSE)</f>
        <v>1</v>
      </c>
    </row>
    <row r="28" spans="1:7" x14ac:dyDescent="0.25">
      <c r="A28" s="11">
        <v>44562.5625</v>
      </c>
      <c r="B28" s="10">
        <v>241.1</v>
      </c>
      <c r="C28">
        <f t="shared" si="0"/>
        <v>6</v>
      </c>
      <c r="D28">
        <f t="shared" si="1"/>
        <v>1</v>
      </c>
      <c r="E28">
        <f t="shared" si="2"/>
        <v>13</v>
      </c>
      <c r="F28">
        <f t="shared" si="3"/>
        <v>0</v>
      </c>
      <c r="G28">
        <f>VLOOKUP(E28,Sheet1!$A$2:$B$25,2,FALSE)</f>
        <v>1</v>
      </c>
    </row>
    <row r="29" spans="1:7" x14ac:dyDescent="0.25">
      <c r="A29" s="11">
        <v>44562.583333333336</v>
      </c>
      <c r="B29" s="10">
        <v>242.036</v>
      </c>
      <c r="C29">
        <f t="shared" si="0"/>
        <v>6</v>
      </c>
      <c r="D29">
        <f t="shared" si="1"/>
        <v>1</v>
      </c>
      <c r="E29">
        <f t="shared" si="2"/>
        <v>14</v>
      </c>
      <c r="F29">
        <f t="shared" si="3"/>
        <v>0</v>
      </c>
      <c r="G29">
        <f>VLOOKUP(E29,Sheet1!$A$2:$B$25,2,FALSE)</f>
        <v>1</v>
      </c>
    </row>
    <row r="30" spans="1:7" x14ac:dyDescent="0.25">
      <c r="A30" s="11">
        <v>44562.604166666664</v>
      </c>
      <c r="B30" s="10">
        <v>235.67599999999999</v>
      </c>
      <c r="C30">
        <f t="shared" si="0"/>
        <v>6</v>
      </c>
      <c r="D30">
        <f t="shared" si="1"/>
        <v>1</v>
      </c>
      <c r="E30">
        <f t="shared" si="2"/>
        <v>14</v>
      </c>
      <c r="F30">
        <f t="shared" si="3"/>
        <v>0</v>
      </c>
      <c r="G30">
        <f>VLOOKUP(E30,Sheet1!$A$2:$B$25,2,FALSE)</f>
        <v>1</v>
      </c>
    </row>
    <row r="31" spans="1:7" x14ac:dyDescent="0.25">
      <c r="A31" s="11">
        <v>44562.625</v>
      </c>
      <c r="B31" s="10">
        <v>240.86</v>
      </c>
      <c r="C31">
        <f t="shared" si="0"/>
        <v>6</v>
      </c>
      <c r="D31">
        <f t="shared" si="1"/>
        <v>1</v>
      </c>
      <c r="E31">
        <f t="shared" si="2"/>
        <v>15</v>
      </c>
      <c r="F31">
        <f t="shared" si="3"/>
        <v>0</v>
      </c>
      <c r="G31">
        <f>VLOOKUP(E31,Sheet1!$A$2:$B$25,2,FALSE)</f>
        <v>1</v>
      </c>
    </row>
    <row r="32" spans="1:7" x14ac:dyDescent="0.25">
      <c r="A32" s="11">
        <v>44562.645833333336</v>
      </c>
      <c r="B32" s="10">
        <v>241.321</v>
      </c>
      <c r="C32">
        <f t="shared" si="0"/>
        <v>6</v>
      </c>
      <c r="D32">
        <f t="shared" si="1"/>
        <v>1</v>
      </c>
      <c r="E32">
        <f t="shared" si="2"/>
        <v>15</v>
      </c>
      <c r="F32">
        <f t="shared" si="3"/>
        <v>0</v>
      </c>
      <c r="G32">
        <f>VLOOKUP(E32,Sheet1!$A$2:$B$25,2,FALSE)</f>
        <v>1</v>
      </c>
    </row>
    <row r="33" spans="1:7" x14ac:dyDescent="0.25">
      <c r="A33" s="11">
        <v>44562.666666666664</v>
      </c>
      <c r="B33" s="10">
        <v>243.86</v>
      </c>
      <c r="C33">
        <f t="shared" si="0"/>
        <v>6</v>
      </c>
      <c r="D33">
        <f t="shared" si="1"/>
        <v>1</v>
      </c>
      <c r="E33">
        <f t="shared" si="2"/>
        <v>16</v>
      </c>
      <c r="F33">
        <f t="shared" si="3"/>
        <v>0</v>
      </c>
      <c r="G33">
        <f>VLOOKUP(E33,Sheet1!$A$2:$B$25,2,FALSE)</f>
        <v>0</v>
      </c>
    </row>
    <row r="34" spans="1:7" x14ac:dyDescent="0.25">
      <c r="A34" s="11">
        <v>44562.6875</v>
      </c>
      <c r="B34" s="10">
        <v>243.5</v>
      </c>
      <c r="C34">
        <f t="shared" si="0"/>
        <v>6</v>
      </c>
      <c r="D34">
        <f t="shared" si="1"/>
        <v>1</v>
      </c>
      <c r="E34">
        <f t="shared" si="2"/>
        <v>16</v>
      </c>
      <c r="F34">
        <f t="shared" si="3"/>
        <v>0</v>
      </c>
      <c r="G34">
        <f>VLOOKUP(E34,Sheet1!$A$2:$B$25,2,FALSE)</f>
        <v>0</v>
      </c>
    </row>
    <row r="35" spans="1:7" x14ac:dyDescent="0.25">
      <c r="A35" s="11">
        <v>44562.708333333336</v>
      </c>
      <c r="B35" s="10">
        <v>244.94499999999999</v>
      </c>
      <c r="C35">
        <f t="shared" si="0"/>
        <v>6</v>
      </c>
      <c r="D35">
        <f t="shared" si="1"/>
        <v>1</v>
      </c>
      <c r="E35">
        <f t="shared" si="2"/>
        <v>17</v>
      </c>
      <c r="F35">
        <f t="shared" si="3"/>
        <v>0</v>
      </c>
      <c r="G35">
        <f>VLOOKUP(E35,Sheet1!$A$2:$B$25,2,FALSE)</f>
        <v>0</v>
      </c>
    </row>
    <row r="36" spans="1:7" x14ac:dyDescent="0.25">
      <c r="A36" s="11">
        <v>44562.729166666664</v>
      </c>
      <c r="B36" s="10">
        <v>258.11599999999999</v>
      </c>
      <c r="C36">
        <f t="shared" si="0"/>
        <v>6</v>
      </c>
      <c r="D36">
        <f t="shared" si="1"/>
        <v>1</v>
      </c>
      <c r="E36">
        <f t="shared" si="2"/>
        <v>17</v>
      </c>
      <c r="F36">
        <f t="shared" si="3"/>
        <v>0</v>
      </c>
      <c r="G36">
        <f>VLOOKUP(E36,Sheet1!$A$2:$B$25,2,FALSE)</f>
        <v>0</v>
      </c>
    </row>
    <row r="37" spans="1:7" x14ac:dyDescent="0.25">
      <c r="A37" s="11">
        <v>44562.75</v>
      </c>
      <c r="B37" s="10">
        <v>259.10000000000002</v>
      </c>
      <c r="C37">
        <f t="shared" si="0"/>
        <v>6</v>
      </c>
      <c r="D37">
        <f t="shared" si="1"/>
        <v>1</v>
      </c>
      <c r="E37">
        <f t="shared" si="2"/>
        <v>18</v>
      </c>
      <c r="F37">
        <f t="shared" si="3"/>
        <v>0</v>
      </c>
      <c r="G37">
        <f>VLOOKUP(E37,Sheet1!$A$2:$B$25,2,FALSE)</f>
        <v>0</v>
      </c>
    </row>
    <row r="38" spans="1:7" x14ac:dyDescent="0.25">
      <c r="A38" s="11">
        <v>44562.770833333336</v>
      </c>
      <c r="B38" s="10">
        <v>253.67599999999999</v>
      </c>
      <c r="C38">
        <f t="shared" si="0"/>
        <v>6</v>
      </c>
      <c r="D38">
        <f t="shared" si="1"/>
        <v>1</v>
      </c>
      <c r="E38">
        <f t="shared" si="2"/>
        <v>18</v>
      </c>
      <c r="F38">
        <f t="shared" si="3"/>
        <v>0</v>
      </c>
      <c r="G38">
        <f>VLOOKUP(E38,Sheet1!$A$2:$B$25,2,FALSE)</f>
        <v>0</v>
      </c>
    </row>
    <row r="39" spans="1:7" x14ac:dyDescent="0.25">
      <c r="A39" s="11">
        <v>44562.791666666664</v>
      </c>
      <c r="B39" s="10">
        <v>256.7</v>
      </c>
      <c r="C39">
        <f t="shared" si="0"/>
        <v>6</v>
      </c>
      <c r="D39">
        <f t="shared" si="1"/>
        <v>1</v>
      </c>
      <c r="E39">
        <f t="shared" si="2"/>
        <v>19</v>
      </c>
      <c r="F39">
        <f t="shared" si="3"/>
        <v>0</v>
      </c>
      <c r="G39">
        <f>VLOOKUP(E39,Sheet1!$A$2:$B$25,2,FALSE)</f>
        <v>0</v>
      </c>
    </row>
    <row r="40" spans="1:7" x14ac:dyDescent="0.25">
      <c r="A40" s="11">
        <v>44562.8125</v>
      </c>
      <c r="B40" s="10">
        <v>253.82499999999999</v>
      </c>
      <c r="C40">
        <f t="shared" si="0"/>
        <v>6</v>
      </c>
      <c r="D40">
        <f t="shared" si="1"/>
        <v>1</v>
      </c>
      <c r="E40">
        <f t="shared" si="2"/>
        <v>19</v>
      </c>
      <c r="F40">
        <f t="shared" si="3"/>
        <v>0</v>
      </c>
      <c r="G40">
        <f>VLOOKUP(E40,Sheet1!$A$2:$B$25,2,FALSE)</f>
        <v>0</v>
      </c>
    </row>
    <row r="41" spans="1:7" x14ac:dyDescent="0.25">
      <c r="A41" s="11">
        <v>44562.833333333336</v>
      </c>
      <c r="B41" s="10">
        <v>245.06</v>
      </c>
      <c r="C41">
        <f t="shared" si="0"/>
        <v>6</v>
      </c>
      <c r="D41">
        <f t="shared" si="1"/>
        <v>1</v>
      </c>
      <c r="E41">
        <f t="shared" si="2"/>
        <v>20</v>
      </c>
      <c r="F41">
        <f t="shared" si="3"/>
        <v>0</v>
      </c>
      <c r="G41">
        <f>VLOOKUP(E41,Sheet1!$A$2:$B$25,2,FALSE)</f>
        <v>0</v>
      </c>
    </row>
    <row r="42" spans="1:7" x14ac:dyDescent="0.25">
      <c r="A42" s="11">
        <v>44562.854166666664</v>
      </c>
      <c r="B42" s="10">
        <v>268.916</v>
      </c>
      <c r="C42">
        <f t="shared" si="0"/>
        <v>6</v>
      </c>
      <c r="D42">
        <f t="shared" si="1"/>
        <v>1</v>
      </c>
      <c r="E42">
        <f t="shared" si="2"/>
        <v>20</v>
      </c>
      <c r="F42">
        <f t="shared" si="3"/>
        <v>0</v>
      </c>
      <c r="G42">
        <f>VLOOKUP(E42,Sheet1!$A$2:$B$25,2,FALSE)</f>
        <v>0</v>
      </c>
    </row>
    <row r="43" spans="1:7" x14ac:dyDescent="0.25">
      <c r="A43" s="11">
        <v>44562.875</v>
      </c>
      <c r="B43" s="10">
        <v>256.58499999999998</v>
      </c>
      <c r="C43">
        <f t="shared" si="0"/>
        <v>6</v>
      </c>
      <c r="D43">
        <f t="shared" si="1"/>
        <v>1</v>
      </c>
      <c r="E43">
        <f t="shared" si="2"/>
        <v>21</v>
      </c>
      <c r="F43">
        <f t="shared" si="3"/>
        <v>0</v>
      </c>
      <c r="G43">
        <f>VLOOKUP(E43,Sheet1!$A$2:$B$25,2,FALSE)</f>
        <v>0</v>
      </c>
    </row>
    <row r="44" spans="1:7" x14ac:dyDescent="0.25">
      <c r="A44" s="11">
        <v>44562.895833333336</v>
      </c>
      <c r="B44" s="10">
        <v>255.74</v>
      </c>
      <c r="C44">
        <f t="shared" si="0"/>
        <v>6</v>
      </c>
      <c r="D44">
        <f t="shared" si="1"/>
        <v>1</v>
      </c>
      <c r="E44">
        <f t="shared" si="2"/>
        <v>21</v>
      </c>
      <c r="F44">
        <f t="shared" si="3"/>
        <v>0</v>
      </c>
      <c r="G44">
        <f>VLOOKUP(E44,Sheet1!$A$2:$B$25,2,FALSE)</f>
        <v>0</v>
      </c>
    </row>
    <row r="45" spans="1:7" x14ac:dyDescent="0.25">
      <c r="A45" s="11">
        <v>44562.916666666664</v>
      </c>
      <c r="B45" s="10">
        <v>251.756</v>
      </c>
      <c r="C45">
        <f t="shared" si="0"/>
        <v>6</v>
      </c>
      <c r="D45">
        <f t="shared" si="1"/>
        <v>1</v>
      </c>
      <c r="E45">
        <f t="shared" si="2"/>
        <v>22</v>
      </c>
      <c r="F45">
        <f t="shared" si="3"/>
        <v>0</v>
      </c>
      <c r="G45">
        <f>VLOOKUP(E45,Sheet1!$A$2:$B$25,2,FALSE)</f>
        <v>0</v>
      </c>
    </row>
    <row r="46" spans="1:7" x14ac:dyDescent="0.25">
      <c r="A46" s="11">
        <v>44562.9375</v>
      </c>
      <c r="B46" s="10">
        <v>258.86500000000001</v>
      </c>
      <c r="C46">
        <f t="shared" si="0"/>
        <v>6</v>
      </c>
      <c r="D46">
        <f t="shared" si="1"/>
        <v>1</v>
      </c>
      <c r="E46">
        <f t="shared" si="2"/>
        <v>22</v>
      </c>
      <c r="F46">
        <f t="shared" si="3"/>
        <v>0</v>
      </c>
      <c r="G46">
        <f>VLOOKUP(E46,Sheet1!$A$2:$B$25,2,FALSE)</f>
        <v>0</v>
      </c>
    </row>
    <row r="47" spans="1:7" x14ac:dyDescent="0.25">
      <c r="A47" s="11">
        <v>44562.958333333336</v>
      </c>
      <c r="B47" s="10">
        <v>256.33999999999997</v>
      </c>
      <c r="C47">
        <f t="shared" si="0"/>
        <v>6</v>
      </c>
      <c r="D47">
        <f t="shared" si="1"/>
        <v>1</v>
      </c>
      <c r="E47">
        <f t="shared" si="2"/>
        <v>23</v>
      </c>
      <c r="F47">
        <f t="shared" si="3"/>
        <v>0</v>
      </c>
      <c r="G47">
        <f>VLOOKUP(E47,Sheet1!$A$2:$B$25,2,FALSE)</f>
        <v>0</v>
      </c>
    </row>
    <row r="48" spans="1:7" x14ac:dyDescent="0.25">
      <c r="A48" s="11">
        <v>44562.979166666664</v>
      </c>
      <c r="B48" s="10">
        <v>255.11600000000001</v>
      </c>
      <c r="C48">
        <f t="shared" si="0"/>
        <v>6</v>
      </c>
      <c r="D48">
        <f t="shared" si="1"/>
        <v>1</v>
      </c>
      <c r="E48">
        <f t="shared" si="2"/>
        <v>23</v>
      </c>
      <c r="F48">
        <f t="shared" si="3"/>
        <v>0</v>
      </c>
      <c r="G48">
        <f>VLOOKUP(E48,Sheet1!$A$2:$B$25,2,FALSE)</f>
        <v>0</v>
      </c>
    </row>
    <row r="49" spans="1:7" x14ac:dyDescent="0.25">
      <c r="A49" s="11">
        <v>44563</v>
      </c>
      <c r="B49" s="10">
        <v>254.66499999999999</v>
      </c>
      <c r="C49">
        <f t="shared" si="0"/>
        <v>7</v>
      </c>
      <c r="D49">
        <f t="shared" si="1"/>
        <v>2</v>
      </c>
      <c r="E49">
        <f t="shared" si="2"/>
        <v>0</v>
      </c>
      <c r="F49">
        <f t="shared" si="3"/>
        <v>0</v>
      </c>
      <c r="G49">
        <f>VLOOKUP(E49,Sheet1!$A$2:$B$25,2,FALSE)</f>
        <v>0</v>
      </c>
    </row>
    <row r="50" spans="1:7" x14ac:dyDescent="0.25">
      <c r="A50" s="11">
        <v>44563.020833333336</v>
      </c>
      <c r="B50" s="10">
        <v>253.316</v>
      </c>
      <c r="C50">
        <f t="shared" si="0"/>
        <v>7</v>
      </c>
      <c r="D50">
        <f t="shared" si="1"/>
        <v>2</v>
      </c>
      <c r="E50">
        <f t="shared" si="2"/>
        <v>0</v>
      </c>
      <c r="F50">
        <f t="shared" si="3"/>
        <v>0</v>
      </c>
      <c r="G50">
        <f>VLOOKUP(E50,Sheet1!$A$2:$B$25,2,FALSE)</f>
        <v>0</v>
      </c>
    </row>
    <row r="51" spans="1:7" x14ac:dyDescent="0.25">
      <c r="A51" s="11">
        <v>44563.041666666664</v>
      </c>
      <c r="B51" s="10">
        <v>257.15600000000001</v>
      </c>
      <c r="C51">
        <f t="shared" si="0"/>
        <v>7</v>
      </c>
      <c r="D51">
        <f t="shared" si="1"/>
        <v>2</v>
      </c>
      <c r="E51">
        <f t="shared" si="2"/>
        <v>1</v>
      </c>
      <c r="F51">
        <f t="shared" si="3"/>
        <v>0</v>
      </c>
      <c r="G51">
        <f>VLOOKUP(E51,Sheet1!$A$2:$B$25,2,FALSE)</f>
        <v>0</v>
      </c>
    </row>
    <row r="52" spans="1:7" x14ac:dyDescent="0.25">
      <c r="A52" s="11">
        <v>44563.0625</v>
      </c>
      <c r="B52" s="10">
        <v>254.876</v>
      </c>
      <c r="C52">
        <f t="shared" si="0"/>
        <v>7</v>
      </c>
      <c r="D52">
        <f t="shared" si="1"/>
        <v>2</v>
      </c>
      <c r="E52">
        <f t="shared" si="2"/>
        <v>1</v>
      </c>
      <c r="F52">
        <f t="shared" si="3"/>
        <v>0</v>
      </c>
      <c r="G52">
        <f>VLOOKUP(E52,Sheet1!$A$2:$B$25,2,FALSE)</f>
        <v>0</v>
      </c>
    </row>
    <row r="53" spans="1:7" x14ac:dyDescent="0.25">
      <c r="A53" s="11">
        <v>44563.083333333336</v>
      </c>
      <c r="B53" s="10">
        <v>255.11600000000001</v>
      </c>
      <c r="C53">
        <f t="shared" si="0"/>
        <v>7</v>
      </c>
      <c r="D53">
        <f t="shared" si="1"/>
        <v>2</v>
      </c>
      <c r="E53">
        <f t="shared" si="2"/>
        <v>2</v>
      </c>
      <c r="F53">
        <f t="shared" si="3"/>
        <v>0</v>
      </c>
      <c r="G53">
        <f>VLOOKUP(E53,Sheet1!$A$2:$B$25,2,FALSE)</f>
        <v>0</v>
      </c>
    </row>
    <row r="54" spans="1:7" x14ac:dyDescent="0.25">
      <c r="A54" s="11">
        <v>44563.104166666664</v>
      </c>
      <c r="B54" s="10">
        <v>245.15600000000001</v>
      </c>
      <c r="C54">
        <f t="shared" si="0"/>
        <v>7</v>
      </c>
      <c r="D54">
        <f t="shared" si="1"/>
        <v>2</v>
      </c>
      <c r="E54">
        <f t="shared" si="2"/>
        <v>2</v>
      </c>
      <c r="F54">
        <f t="shared" si="3"/>
        <v>0</v>
      </c>
      <c r="G54">
        <f>VLOOKUP(E54,Sheet1!$A$2:$B$25,2,FALSE)</f>
        <v>0</v>
      </c>
    </row>
    <row r="55" spans="1:7" x14ac:dyDescent="0.25">
      <c r="A55" s="11">
        <v>44563.125</v>
      </c>
      <c r="B55" s="10">
        <v>238.70500000000001</v>
      </c>
      <c r="C55">
        <f t="shared" si="0"/>
        <v>7</v>
      </c>
      <c r="D55">
        <f t="shared" si="1"/>
        <v>2</v>
      </c>
      <c r="E55">
        <f t="shared" si="2"/>
        <v>3</v>
      </c>
      <c r="F55">
        <f t="shared" si="3"/>
        <v>0</v>
      </c>
      <c r="G55">
        <f>VLOOKUP(E55,Sheet1!$A$2:$B$25,2,FALSE)</f>
        <v>0</v>
      </c>
    </row>
    <row r="56" spans="1:7" x14ac:dyDescent="0.25">
      <c r="A56" s="11">
        <v>44563.145833333336</v>
      </c>
      <c r="B56" s="10">
        <v>242.756</v>
      </c>
      <c r="C56">
        <f t="shared" si="0"/>
        <v>7</v>
      </c>
      <c r="D56">
        <f t="shared" si="1"/>
        <v>2</v>
      </c>
      <c r="E56">
        <f t="shared" si="2"/>
        <v>3</v>
      </c>
      <c r="F56">
        <f t="shared" si="3"/>
        <v>0</v>
      </c>
      <c r="G56">
        <f>VLOOKUP(E56,Sheet1!$A$2:$B$25,2,FALSE)</f>
        <v>0</v>
      </c>
    </row>
    <row r="57" spans="1:7" x14ac:dyDescent="0.25">
      <c r="A57" s="11">
        <v>44563.166666666664</v>
      </c>
      <c r="B57" s="10">
        <v>244.68100000000001</v>
      </c>
      <c r="C57">
        <f t="shared" si="0"/>
        <v>7</v>
      </c>
      <c r="D57">
        <f t="shared" si="1"/>
        <v>2</v>
      </c>
      <c r="E57">
        <f t="shared" si="2"/>
        <v>4</v>
      </c>
      <c r="F57">
        <f t="shared" si="3"/>
        <v>0</v>
      </c>
      <c r="G57">
        <f>VLOOKUP(E57,Sheet1!$A$2:$B$25,2,FALSE)</f>
        <v>1</v>
      </c>
    </row>
    <row r="58" spans="1:7" x14ac:dyDescent="0.25">
      <c r="A58" s="11">
        <v>44563.1875</v>
      </c>
      <c r="B58" s="10">
        <v>247.7</v>
      </c>
      <c r="C58">
        <f t="shared" si="0"/>
        <v>7</v>
      </c>
      <c r="D58">
        <f t="shared" si="1"/>
        <v>2</v>
      </c>
      <c r="E58">
        <f t="shared" si="2"/>
        <v>4</v>
      </c>
      <c r="F58">
        <f t="shared" si="3"/>
        <v>0</v>
      </c>
      <c r="G58">
        <f>VLOOKUP(E58,Sheet1!$A$2:$B$25,2,FALSE)</f>
        <v>1</v>
      </c>
    </row>
    <row r="59" spans="1:7" x14ac:dyDescent="0.25">
      <c r="A59" s="11">
        <v>44563.208333333336</v>
      </c>
      <c r="B59" s="10">
        <v>243.11600000000001</v>
      </c>
      <c r="C59">
        <f t="shared" si="0"/>
        <v>7</v>
      </c>
      <c r="D59">
        <f t="shared" si="1"/>
        <v>2</v>
      </c>
      <c r="E59">
        <f t="shared" si="2"/>
        <v>5</v>
      </c>
      <c r="F59">
        <f t="shared" si="3"/>
        <v>0</v>
      </c>
      <c r="G59">
        <f>VLOOKUP(E59,Sheet1!$A$2:$B$25,2,FALSE)</f>
        <v>1</v>
      </c>
    </row>
    <row r="60" spans="1:7" x14ac:dyDescent="0.25">
      <c r="A60" s="11">
        <v>44563.229166666664</v>
      </c>
      <c r="B60" s="10">
        <v>242.78</v>
      </c>
      <c r="C60">
        <f t="shared" si="0"/>
        <v>7</v>
      </c>
      <c r="D60">
        <f t="shared" si="1"/>
        <v>2</v>
      </c>
      <c r="E60">
        <f t="shared" si="2"/>
        <v>5</v>
      </c>
      <c r="F60">
        <f t="shared" si="3"/>
        <v>0</v>
      </c>
      <c r="G60">
        <f>VLOOKUP(E60,Sheet1!$A$2:$B$25,2,FALSE)</f>
        <v>1</v>
      </c>
    </row>
    <row r="61" spans="1:7" x14ac:dyDescent="0.25">
      <c r="A61" s="11">
        <v>44563.25</v>
      </c>
      <c r="B61" s="10">
        <v>241.46</v>
      </c>
      <c r="C61">
        <f t="shared" si="0"/>
        <v>7</v>
      </c>
      <c r="D61">
        <f t="shared" si="1"/>
        <v>2</v>
      </c>
      <c r="E61">
        <f t="shared" si="2"/>
        <v>6</v>
      </c>
      <c r="F61">
        <f t="shared" si="3"/>
        <v>0</v>
      </c>
      <c r="G61">
        <f>VLOOKUP(E61,Sheet1!$A$2:$B$25,2,FALSE)</f>
        <v>1</v>
      </c>
    </row>
    <row r="62" spans="1:7" x14ac:dyDescent="0.25">
      <c r="A62" s="11">
        <v>44563.270833333336</v>
      </c>
      <c r="B62" s="10">
        <v>246.23599999999999</v>
      </c>
      <c r="C62">
        <f t="shared" si="0"/>
        <v>7</v>
      </c>
      <c r="D62">
        <f t="shared" si="1"/>
        <v>2</v>
      </c>
      <c r="E62">
        <f t="shared" si="2"/>
        <v>6</v>
      </c>
      <c r="F62">
        <f t="shared" si="3"/>
        <v>0</v>
      </c>
      <c r="G62">
        <f>VLOOKUP(E62,Sheet1!$A$2:$B$25,2,FALSE)</f>
        <v>1</v>
      </c>
    </row>
    <row r="63" spans="1:7" x14ac:dyDescent="0.25">
      <c r="A63" s="11">
        <v>44563.291666666664</v>
      </c>
      <c r="B63" s="10">
        <v>231.745</v>
      </c>
      <c r="C63">
        <f t="shared" si="0"/>
        <v>7</v>
      </c>
      <c r="D63">
        <f t="shared" si="1"/>
        <v>2</v>
      </c>
      <c r="E63">
        <f t="shared" si="2"/>
        <v>7</v>
      </c>
      <c r="F63">
        <f t="shared" si="3"/>
        <v>0</v>
      </c>
      <c r="G63">
        <f>VLOOKUP(E63,Sheet1!$A$2:$B$25,2,FALSE)</f>
        <v>1</v>
      </c>
    </row>
    <row r="64" spans="1:7" x14ac:dyDescent="0.25">
      <c r="A64" s="11">
        <v>44563.3125</v>
      </c>
      <c r="B64" s="10">
        <v>230.99600000000001</v>
      </c>
      <c r="C64">
        <f t="shared" si="0"/>
        <v>7</v>
      </c>
      <c r="D64">
        <f t="shared" si="1"/>
        <v>2</v>
      </c>
      <c r="E64">
        <f t="shared" si="2"/>
        <v>7</v>
      </c>
      <c r="F64">
        <f t="shared" si="3"/>
        <v>0</v>
      </c>
      <c r="G64">
        <f>VLOOKUP(E64,Sheet1!$A$2:$B$25,2,FALSE)</f>
        <v>1</v>
      </c>
    </row>
    <row r="65" spans="1:7" x14ac:dyDescent="0.25">
      <c r="A65" s="11">
        <v>44563.333333333336</v>
      </c>
      <c r="B65" s="10">
        <v>227.756</v>
      </c>
      <c r="C65">
        <f t="shared" si="0"/>
        <v>7</v>
      </c>
      <c r="D65">
        <f t="shared" si="1"/>
        <v>2</v>
      </c>
      <c r="E65">
        <f t="shared" si="2"/>
        <v>8</v>
      </c>
      <c r="F65">
        <f t="shared" si="3"/>
        <v>0</v>
      </c>
      <c r="G65">
        <f>VLOOKUP(E65,Sheet1!$A$2:$B$25,2,FALSE)</f>
        <v>1</v>
      </c>
    </row>
    <row r="66" spans="1:7" x14ac:dyDescent="0.25">
      <c r="A66" s="11">
        <v>44563.354166666664</v>
      </c>
      <c r="B66" s="10">
        <v>211.82499999999999</v>
      </c>
      <c r="C66">
        <f t="shared" ref="C66:C129" si="4">WEEKDAY(A66,2)</f>
        <v>7</v>
      </c>
      <c r="D66">
        <f t="shared" ref="D66:D129" si="5">DAY(A66)</f>
        <v>2</v>
      </c>
      <c r="E66">
        <f t="shared" ref="E66:E129" si="6">HOUR(A66)</f>
        <v>8</v>
      </c>
      <c r="F66">
        <f t="shared" si="3"/>
        <v>0</v>
      </c>
      <c r="G66">
        <f>VLOOKUP(E66,Sheet1!$A$2:$B$25,2,FALSE)</f>
        <v>1</v>
      </c>
    </row>
    <row r="67" spans="1:7" x14ac:dyDescent="0.25">
      <c r="A67" s="11">
        <v>44563.375</v>
      </c>
      <c r="B67" s="10">
        <v>211.46</v>
      </c>
      <c r="C67">
        <f t="shared" si="4"/>
        <v>7</v>
      </c>
      <c r="D67">
        <f t="shared" si="5"/>
        <v>2</v>
      </c>
      <c r="E67">
        <f t="shared" si="6"/>
        <v>9</v>
      </c>
      <c r="F67">
        <f t="shared" ref="F67:F130" si="7">IF(C67&gt;=6,0,1)</f>
        <v>0</v>
      </c>
      <c r="G67">
        <f>VLOOKUP(E67,Sheet1!$A$2:$B$25,2,FALSE)</f>
        <v>1</v>
      </c>
    </row>
    <row r="68" spans="1:7" x14ac:dyDescent="0.25">
      <c r="A68" s="11">
        <v>44563.395833333336</v>
      </c>
      <c r="B68" s="10">
        <v>218.15600000000001</v>
      </c>
      <c r="C68">
        <f t="shared" si="4"/>
        <v>7</v>
      </c>
      <c r="D68">
        <f t="shared" si="5"/>
        <v>2</v>
      </c>
      <c r="E68">
        <f t="shared" si="6"/>
        <v>9</v>
      </c>
      <c r="F68">
        <f t="shared" si="7"/>
        <v>0</v>
      </c>
      <c r="G68">
        <f>VLOOKUP(E68,Sheet1!$A$2:$B$25,2,FALSE)</f>
        <v>1</v>
      </c>
    </row>
    <row r="69" spans="1:7" x14ac:dyDescent="0.25">
      <c r="A69" s="11">
        <v>44563.416666666664</v>
      </c>
      <c r="B69" s="10">
        <v>213.476</v>
      </c>
      <c r="C69">
        <f t="shared" si="4"/>
        <v>7</v>
      </c>
      <c r="D69">
        <f t="shared" si="5"/>
        <v>2</v>
      </c>
      <c r="E69">
        <f t="shared" si="6"/>
        <v>10</v>
      </c>
      <c r="F69">
        <f t="shared" si="7"/>
        <v>0</v>
      </c>
      <c r="G69">
        <f>VLOOKUP(E69,Sheet1!$A$2:$B$25,2,FALSE)</f>
        <v>1</v>
      </c>
    </row>
    <row r="70" spans="1:7" x14ac:dyDescent="0.25">
      <c r="A70" s="11">
        <v>44563.4375</v>
      </c>
      <c r="B70" s="10">
        <v>218.881</v>
      </c>
      <c r="C70">
        <f t="shared" si="4"/>
        <v>7</v>
      </c>
      <c r="D70">
        <f t="shared" si="5"/>
        <v>2</v>
      </c>
      <c r="E70">
        <f t="shared" si="6"/>
        <v>10</v>
      </c>
      <c r="F70">
        <f t="shared" si="7"/>
        <v>0</v>
      </c>
      <c r="G70">
        <f>VLOOKUP(E70,Sheet1!$A$2:$B$25,2,FALSE)</f>
        <v>1</v>
      </c>
    </row>
    <row r="71" spans="1:7" x14ac:dyDescent="0.25">
      <c r="A71" s="11">
        <v>44563.458333333336</v>
      </c>
      <c r="B71" s="10">
        <v>214.94</v>
      </c>
      <c r="C71">
        <f t="shared" si="4"/>
        <v>7</v>
      </c>
      <c r="D71">
        <f t="shared" si="5"/>
        <v>2</v>
      </c>
      <c r="E71">
        <f t="shared" si="6"/>
        <v>11</v>
      </c>
      <c r="F71">
        <f t="shared" si="7"/>
        <v>0</v>
      </c>
      <c r="G71">
        <f>VLOOKUP(E71,Sheet1!$A$2:$B$25,2,FALSE)</f>
        <v>1</v>
      </c>
    </row>
    <row r="72" spans="1:7" x14ac:dyDescent="0.25">
      <c r="A72" s="11">
        <v>44563.479166666664</v>
      </c>
      <c r="B72" s="10">
        <v>227.18</v>
      </c>
      <c r="C72">
        <f t="shared" si="4"/>
        <v>7</v>
      </c>
      <c r="D72">
        <f t="shared" si="5"/>
        <v>2</v>
      </c>
      <c r="E72">
        <f t="shared" si="6"/>
        <v>11</v>
      </c>
      <c r="F72">
        <f t="shared" si="7"/>
        <v>0</v>
      </c>
      <c r="G72">
        <f>VLOOKUP(E72,Sheet1!$A$2:$B$25,2,FALSE)</f>
        <v>1</v>
      </c>
    </row>
    <row r="73" spans="1:7" x14ac:dyDescent="0.25">
      <c r="A73" s="11">
        <v>44563.5</v>
      </c>
      <c r="B73" s="10">
        <v>215.28100000000001</v>
      </c>
      <c r="C73">
        <f t="shared" si="4"/>
        <v>7</v>
      </c>
      <c r="D73">
        <f t="shared" si="5"/>
        <v>2</v>
      </c>
      <c r="E73">
        <f t="shared" si="6"/>
        <v>12</v>
      </c>
      <c r="F73">
        <f t="shared" si="7"/>
        <v>0</v>
      </c>
      <c r="G73">
        <f>VLOOKUP(E73,Sheet1!$A$2:$B$25,2,FALSE)</f>
        <v>1</v>
      </c>
    </row>
    <row r="74" spans="1:7" x14ac:dyDescent="0.25">
      <c r="A74" s="11">
        <v>44563.520833333336</v>
      </c>
      <c r="B74" s="10">
        <v>216.5</v>
      </c>
      <c r="C74">
        <f t="shared" si="4"/>
        <v>7</v>
      </c>
      <c r="D74">
        <f t="shared" si="5"/>
        <v>2</v>
      </c>
      <c r="E74">
        <f t="shared" si="6"/>
        <v>12</v>
      </c>
      <c r="F74">
        <f t="shared" si="7"/>
        <v>0</v>
      </c>
      <c r="G74">
        <f>VLOOKUP(E74,Sheet1!$A$2:$B$25,2,FALSE)</f>
        <v>1</v>
      </c>
    </row>
    <row r="75" spans="1:7" x14ac:dyDescent="0.25">
      <c r="A75" s="11">
        <v>44563.541666666664</v>
      </c>
      <c r="B75" s="10">
        <v>221.39599999999999</v>
      </c>
      <c r="C75">
        <f t="shared" si="4"/>
        <v>7</v>
      </c>
      <c r="D75">
        <f t="shared" si="5"/>
        <v>2</v>
      </c>
      <c r="E75">
        <f t="shared" si="6"/>
        <v>13</v>
      </c>
      <c r="F75">
        <f t="shared" si="7"/>
        <v>0</v>
      </c>
      <c r="G75">
        <f>VLOOKUP(E75,Sheet1!$A$2:$B$25,2,FALSE)</f>
        <v>1</v>
      </c>
    </row>
    <row r="76" spans="1:7" x14ac:dyDescent="0.25">
      <c r="A76" s="11">
        <v>44563.5625</v>
      </c>
      <c r="B76" s="10">
        <v>214.196</v>
      </c>
      <c r="C76">
        <f t="shared" si="4"/>
        <v>7</v>
      </c>
      <c r="D76">
        <f t="shared" si="5"/>
        <v>2</v>
      </c>
      <c r="E76">
        <f t="shared" si="6"/>
        <v>13</v>
      </c>
      <c r="F76">
        <f t="shared" si="7"/>
        <v>0</v>
      </c>
      <c r="G76">
        <f>VLOOKUP(E76,Sheet1!$A$2:$B$25,2,FALSE)</f>
        <v>1</v>
      </c>
    </row>
    <row r="77" spans="1:7" x14ac:dyDescent="0.25">
      <c r="A77" s="11">
        <v>44563.583333333336</v>
      </c>
      <c r="B77" s="10">
        <v>215.42500000000001</v>
      </c>
      <c r="C77">
        <f t="shared" si="4"/>
        <v>7</v>
      </c>
      <c r="D77">
        <f t="shared" si="5"/>
        <v>2</v>
      </c>
      <c r="E77">
        <f t="shared" si="6"/>
        <v>14</v>
      </c>
      <c r="F77">
        <f t="shared" si="7"/>
        <v>0</v>
      </c>
      <c r="G77">
        <f>VLOOKUP(E77,Sheet1!$A$2:$B$25,2,FALSE)</f>
        <v>1</v>
      </c>
    </row>
    <row r="78" spans="1:7" x14ac:dyDescent="0.25">
      <c r="A78" s="11">
        <v>44563.604166666664</v>
      </c>
      <c r="B78" s="10">
        <v>215.06</v>
      </c>
      <c r="C78">
        <f t="shared" si="4"/>
        <v>7</v>
      </c>
      <c r="D78">
        <f t="shared" si="5"/>
        <v>2</v>
      </c>
      <c r="E78">
        <f t="shared" si="6"/>
        <v>14</v>
      </c>
      <c r="F78">
        <f t="shared" si="7"/>
        <v>0</v>
      </c>
      <c r="G78">
        <f>VLOOKUP(E78,Sheet1!$A$2:$B$25,2,FALSE)</f>
        <v>1</v>
      </c>
    </row>
    <row r="79" spans="1:7" x14ac:dyDescent="0.25">
      <c r="A79" s="11">
        <v>44563.625</v>
      </c>
      <c r="B79" s="10">
        <v>231.74</v>
      </c>
      <c r="C79">
        <f t="shared" si="4"/>
        <v>7</v>
      </c>
      <c r="D79">
        <f t="shared" si="5"/>
        <v>2</v>
      </c>
      <c r="E79">
        <f t="shared" si="6"/>
        <v>15</v>
      </c>
      <c r="F79">
        <f t="shared" si="7"/>
        <v>0</v>
      </c>
      <c r="G79">
        <f>VLOOKUP(E79,Sheet1!$A$2:$B$25,2,FALSE)</f>
        <v>1</v>
      </c>
    </row>
    <row r="80" spans="1:7" x14ac:dyDescent="0.25">
      <c r="A80" s="11">
        <v>44563.645833333336</v>
      </c>
      <c r="B80" s="10">
        <v>225.23599999999999</v>
      </c>
      <c r="C80">
        <f t="shared" si="4"/>
        <v>7</v>
      </c>
      <c r="D80">
        <f t="shared" si="5"/>
        <v>2</v>
      </c>
      <c r="E80">
        <f t="shared" si="6"/>
        <v>15</v>
      </c>
      <c r="F80">
        <f t="shared" si="7"/>
        <v>0</v>
      </c>
      <c r="G80">
        <f>VLOOKUP(E80,Sheet1!$A$2:$B$25,2,FALSE)</f>
        <v>1</v>
      </c>
    </row>
    <row r="81" spans="1:7" x14ac:dyDescent="0.25">
      <c r="A81" s="11">
        <v>44563.666666666664</v>
      </c>
      <c r="B81" s="10">
        <v>215.54499999999999</v>
      </c>
      <c r="C81">
        <f t="shared" si="4"/>
        <v>7</v>
      </c>
      <c r="D81">
        <f t="shared" si="5"/>
        <v>2</v>
      </c>
      <c r="E81">
        <f t="shared" si="6"/>
        <v>16</v>
      </c>
      <c r="F81">
        <f t="shared" si="7"/>
        <v>0</v>
      </c>
      <c r="G81">
        <f>VLOOKUP(E81,Sheet1!$A$2:$B$25,2,FALSE)</f>
        <v>0</v>
      </c>
    </row>
    <row r="82" spans="1:7" x14ac:dyDescent="0.25">
      <c r="A82" s="11">
        <v>44563.6875</v>
      </c>
      <c r="B82" s="10">
        <v>213.35599999999999</v>
      </c>
      <c r="C82">
        <f t="shared" si="4"/>
        <v>7</v>
      </c>
      <c r="D82">
        <f t="shared" si="5"/>
        <v>2</v>
      </c>
      <c r="E82">
        <f t="shared" si="6"/>
        <v>16</v>
      </c>
      <c r="F82">
        <f t="shared" si="7"/>
        <v>0</v>
      </c>
      <c r="G82">
        <f>VLOOKUP(E82,Sheet1!$A$2:$B$25,2,FALSE)</f>
        <v>0</v>
      </c>
    </row>
    <row r="83" spans="1:7" x14ac:dyDescent="0.25">
      <c r="A83" s="11">
        <v>44563.708333333336</v>
      </c>
      <c r="B83" s="10">
        <v>218.036</v>
      </c>
      <c r="C83">
        <f t="shared" si="4"/>
        <v>7</v>
      </c>
      <c r="D83">
        <f t="shared" si="5"/>
        <v>2</v>
      </c>
      <c r="E83">
        <f t="shared" si="6"/>
        <v>17</v>
      </c>
      <c r="F83">
        <f t="shared" si="7"/>
        <v>0</v>
      </c>
      <c r="G83">
        <f>VLOOKUP(E83,Sheet1!$A$2:$B$25,2,FALSE)</f>
        <v>0</v>
      </c>
    </row>
    <row r="84" spans="1:7" x14ac:dyDescent="0.25">
      <c r="A84" s="11">
        <v>44563.729166666664</v>
      </c>
      <c r="B84" s="10">
        <v>233.39599999999999</v>
      </c>
      <c r="C84">
        <f t="shared" si="4"/>
        <v>7</v>
      </c>
      <c r="D84">
        <f t="shared" si="5"/>
        <v>2</v>
      </c>
      <c r="E84">
        <f t="shared" si="6"/>
        <v>17</v>
      </c>
      <c r="F84">
        <f t="shared" si="7"/>
        <v>0</v>
      </c>
      <c r="G84">
        <f>VLOOKUP(E84,Sheet1!$A$2:$B$25,2,FALSE)</f>
        <v>0</v>
      </c>
    </row>
    <row r="85" spans="1:7" x14ac:dyDescent="0.25">
      <c r="A85" s="11">
        <v>44563.75</v>
      </c>
      <c r="B85" s="10">
        <v>227.881</v>
      </c>
      <c r="C85">
        <f t="shared" si="4"/>
        <v>7</v>
      </c>
      <c r="D85">
        <f t="shared" si="5"/>
        <v>2</v>
      </c>
      <c r="E85">
        <f t="shared" si="6"/>
        <v>18</v>
      </c>
      <c r="F85">
        <f t="shared" si="7"/>
        <v>0</v>
      </c>
      <c r="G85">
        <f>VLOOKUP(E85,Sheet1!$A$2:$B$25,2,FALSE)</f>
        <v>0</v>
      </c>
    </row>
    <row r="86" spans="1:7" x14ac:dyDescent="0.25">
      <c r="A86" s="11">
        <v>44563.770833333336</v>
      </c>
      <c r="B86" s="10">
        <v>226.82</v>
      </c>
      <c r="C86">
        <f t="shared" si="4"/>
        <v>7</v>
      </c>
      <c r="D86">
        <f t="shared" si="5"/>
        <v>2</v>
      </c>
      <c r="E86">
        <f t="shared" si="6"/>
        <v>18</v>
      </c>
      <c r="F86">
        <f t="shared" si="7"/>
        <v>0</v>
      </c>
      <c r="G86">
        <f>VLOOKUP(E86,Sheet1!$A$2:$B$25,2,FALSE)</f>
        <v>0</v>
      </c>
    </row>
    <row r="87" spans="1:7" x14ac:dyDescent="0.25">
      <c r="A87" s="11">
        <v>44563.791666666664</v>
      </c>
      <c r="B87" s="10">
        <v>228.14</v>
      </c>
      <c r="C87">
        <f t="shared" si="4"/>
        <v>7</v>
      </c>
      <c r="D87">
        <f t="shared" si="5"/>
        <v>2</v>
      </c>
      <c r="E87">
        <f t="shared" si="6"/>
        <v>19</v>
      </c>
      <c r="F87">
        <f t="shared" si="7"/>
        <v>0</v>
      </c>
      <c r="G87">
        <f>VLOOKUP(E87,Sheet1!$A$2:$B$25,2,FALSE)</f>
        <v>0</v>
      </c>
    </row>
    <row r="88" spans="1:7" x14ac:dyDescent="0.25">
      <c r="A88" s="11">
        <v>44563.8125</v>
      </c>
      <c r="B88" s="10">
        <v>232.22499999999999</v>
      </c>
      <c r="C88">
        <f t="shared" si="4"/>
        <v>7</v>
      </c>
      <c r="D88">
        <f t="shared" si="5"/>
        <v>2</v>
      </c>
      <c r="E88">
        <f t="shared" si="6"/>
        <v>19</v>
      </c>
      <c r="F88">
        <f t="shared" si="7"/>
        <v>0</v>
      </c>
      <c r="G88">
        <f>VLOOKUP(E88,Sheet1!$A$2:$B$25,2,FALSE)</f>
        <v>0</v>
      </c>
    </row>
    <row r="89" spans="1:7" x14ac:dyDescent="0.25">
      <c r="A89" s="11">
        <v>44563.833333333336</v>
      </c>
      <c r="B89" s="10">
        <v>228.476</v>
      </c>
      <c r="C89">
        <f t="shared" si="4"/>
        <v>7</v>
      </c>
      <c r="D89">
        <f t="shared" si="5"/>
        <v>2</v>
      </c>
      <c r="E89">
        <f t="shared" si="6"/>
        <v>20</v>
      </c>
      <c r="F89">
        <f t="shared" si="7"/>
        <v>0</v>
      </c>
      <c r="G89">
        <f>VLOOKUP(E89,Sheet1!$A$2:$B$25,2,FALSE)</f>
        <v>0</v>
      </c>
    </row>
    <row r="90" spans="1:7" x14ac:dyDescent="0.25">
      <c r="A90" s="11">
        <v>44563.854166666664</v>
      </c>
      <c r="B90" s="10">
        <v>226.46</v>
      </c>
      <c r="C90">
        <f t="shared" si="4"/>
        <v>7</v>
      </c>
      <c r="D90">
        <f t="shared" si="5"/>
        <v>2</v>
      </c>
      <c r="E90">
        <f t="shared" si="6"/>
        <v>20</v>
      </c>
      <c r="F90">
        <f t="shared" si="7"/>
        <v>0</v>
      </c>
      <c r="G90">
        <f>VLOOKUP(E90,Sheet1!$A$2:$B$25,2,FALSE)</f>
        <v>0</v>
      </c>
    </row>
    <row r="91" spans="1:7" x14ac:dyDescent="0.25">
      <c r="A91" s="11">
        <v>44563.875</v>
      </c>
      <c r="B91" s="10">
        <v>226.82</v>
      </c>
      <c r="C91">
        <f t="shared" si="4"/>
        <v>7</v>
      </c>
      <c r="D91">
        <f t="shared" si="5"/>
        <v>2</v>
      </c>
      <c r="E91">
        <f t="shared" si="6"/>
        <v>21</v>
      </c>
      <c r="F91">
        <f t="shared" si="7"/>
        <v>0</v>
      </c>
      <c r="G91">
        <f>VLOOKUP(E91,Sheet1!$A$2:$B$25,2,FALSE)</f>
        <v>0</v>
      </c>
    </row>
    <row r="92" spans="1:7" x14ac:dyDescent="0.25">
      <c r="A92" s="11">
        <v>44563.895833333336</v>
      </c>
      <c r="B92" s="10">
        <v>236.78</v>
      </c>
      <c r="C92">
        <f t="shared" si="4"/>
        <v>7</v>
      </c>
      <c r="D92">
        <f t="shared" si="5"/>
        <v>2</v>
      </c>
      <c r="E92">
        <f t="shared" si="6"/>
        <v>21</v>
      </c>
      <c r="F92">
        <f t="shared" si="7"/>
        <v>0</v>
      </c>
      <c r="G92">
        <f>VLOOKUP(E92,Sheet1!$A$2:$B$25,2,FALSE)</f>
        <v>0</v>
      </c>
    </row>
    <row r="93" spans="1:7" x14ac:dyDescent="0.25">
      <c r="A93" s="11">
        <v>44563.916666666664</v>
      </c>
      <c r="B93" s="10">
        <v>222.74</v>
      </c>
      <c r="C93">
        <f t="shared" si="4"/>
        <v>7</v>
      </c>
      <c r="D93">
        <f t="shared" si="5"/>
        <v>2</v>
      </c>
      <c r="E93">
        <f t="shared" si="6"/>
        <v>22</v>
      </c>
      <c r="F93">
        <f t="shared" si="7"/>
        <v>0</v>
      </c>
      <c r="G93">
        <f>VLOOKUP(E93,Sheet1!$A$2:$B$25,2,FALSE)</f>
        <v>0</v>
      </c>
    </row>
    <row r="94" spans="1:7" x14ac:dyDescent="0.25">
      <c r="A94" s="11">
        <v>44563.9375</v>
      </c>
      <c r="B94" s="10">
        <v>231.95599999999999</v>
      </c>
      <c r="C94">
        <f t="shared" si="4"/>
        <v>7</v>
      </c>
      <c r="D94">
        <f t="shared" si="5"/>
        <v>2</v>
      </c>
      <c r="E94">
        <f t="shared" si="6"/>
        <v>22</v>
      </c>
      <c r="F94">
        <f t="shared" si="7"/>
        <v>0</v>
      </c>
      <c r="G94">
        <f>VLOOKUP(E94,Sheet1!$A$2:$B$25,2,FALSE)</f>
        <v>0</v>
      </c>
    </row>
    <row r="95" spans="1:7" x14ac:dyDescent="0.25">
      <c r="A95" s="11">
        <v>44563.958333333336</v>
      </c>
      <c r="B95" s="10">
        <v>226.34</v>
      </c>
      <c r="C95">
        <f t="shared" si="4"/>
        <v>7</v>
      </c>
      <c r="D95">
        <f t="shared" si="5"/>
        <v>2</v>
      </c>
      <c r="E95">
        <f t="shared" si="6"/>
        <v>23</v>
      </c>
      <c r="F95">
        <f t="shared" si="7"/>
        <v>0</v>
      </c>
      <c r="G95">
        <f>VLOOKUP(E95,Sheet1!$A$2:$B$25,2,FALSE)</f>
        <v>0</v>
      </c>
    </row>
    <row r="96" spans="1:7" x14ac:dyDescent="0.25">
      <c r="A96" s="11">
        <v>44563.979166666664</v>
      </c>
      <c r="B96" s="10">
        <v>234.38</v>
      </c>
      <c r="C96">
        <f t="shared" si="4"/>
        <v>7</v>
      </c>
      <c r="D96">
        <f t="shared" si="5"/>
        <v>2</v>
      </c>
      <c r="E96">
        <f t="shared" si="6"/>
        <v>23</v>
      </c>
      <c r="F96">
        <f t="shared" si="7"/>
        <v>0</v>
      </c>
      <c r="G96">
        <f>VLOOKUP(E96,Sheet1!$A$2:$B$25,2,FALSE)</f>
        <v>0</v>
      </c>
    </row>
    <row r="97" spans="1:7" x14ac:dyDescent="0.25">
      <c r="A97" s="11">
        <v>44564</v>
      </c>
      <c r="B97" s="10">
        <v>230.041</v>
      </c>
      <c r="C97">
        <f t="shared" si="4"/>
        <v>1</v>
      </c>
      <c r="D97">
        <f t="shared" si="5"/>
        <v>3</v>
      </c>
      <c r="E97">
        <f t="shared" si="6"/>
        <v>0</v>
      </c>
      <c r="F97">
        <f t="shared" si="7"/>
        <v>1</v>
      </c>
      <c r="G97">
        <f>VLOOKUP(E97,Sheet1!$A$2:$B$25,2,FALSE)</f>
        <v>0</v>
      </c>
    </row>
    <row r="98" spans="1:7" x14ac:dyDescent="0.25">
      <c r="A98" s="11">
        <v>44564.020833333336</v>
      </c>
      <c r="B98" s="10">
        <v>230.42</v>
      </c>
      <c r="C98">
        <f t="shared" si="4"/>
        <v>1</v>
      </c>
      <c r="D98">
        <f t="shared" si="5"/>
        <v>3</v>
      </c>
      <c r="E98">
        <f t="shared" si="6"/>
        <v>0</v>
      </c>
      <c r="F98">
        <f t="shared" si="7"/>
        <v>1</v>
      </c>
      <c r="G98">
        <f>VLOOKUP(E98,Sheet1!$A$2:$B$25,2,FALSE)</f>
        <v>0</v>
      </c>
    </row>
    <row r="99" spans="1:7" x14ac:dyDescent="0.25">
      <c r="A99" s="11">
        <v>44564.041666666664</v>
      </c>
      <c r="B99" s="10">
        <v>229.34</v>
      </c>
      <c r="C99">
        <f t="shared" si="4"/>
        <v>1</v>
      </c>
      <c r="D99">
        <f t="shared" si="5"/>
        <v>3</v>
      </c>
      <c r="E99">
        <f t="shared" si="6"/>
        <v>1</v>
      </c>
      <c r="F99">
        <f t="shared" si="7"/>
        <v>1</v>
      </c>
      <c r="G99">
        <f>VLOOKUP(E99,Sheet1!$A$2:$B$25,2,FALSE)</f>
        <v>0</v>
      </c>
    </row>
    <row r="100" spans="1:7" x14ac:dyDescent="0.25">
      <c r="A100" s="11">
        <v>44564.0625</v>
      </c>
      <c r="B100" s="10">
        <v>232.345</v>
      </c>
      <c r="C100">
        <f t="shared" si="4"/>
        <v>1</v>
      </c>
      <c r="D100">
        <f t="shared" si="5"/>
        <v>3</v>
      </c>
      <c r="E100">
        <f t="shared" si="6"/>
        <v>1</v>
      </c>
      <c r="F100">
        <f t="shared" si="7"/>
        <v>1</v>
      </c>
      <c r="G100">
        <f>VLOOKUP(E100,Sheet1!$A$2:$B$25,2,FALSE)</f>
        <v>0</v>
      </c>
    </row>
    <row r="101" spans="1:7" x14ac:dyDescent="0.25">
      <c r="A101" s="11">
        <v>44564.083333333336</v>
      </c>
      <c r="B101" s="10">
        <v>224.18</v>
      </c>
      <c r="C101">
        <f t="shared" si="4"/>
        <v>1</v>
      </c>
      <c r="D101">
        <f t="shared" si="5"/>
        <v>3</v>
      </c>
      <c r="E101">
        <f t="shared" si="6"/>
        <v>2</v>
      </c>
      <c r="F101">
        <f t="shared" si="7"/>
        <v>1</v>
      </c>
      <c r="G101">
        <f>VLOOKUP(E101,Sheet1!$A$2:$B$25,2,FALSE)</f>
        <v>0</v>
      </c>
    </row>
    <row r="102" spans="1:7" x14ac:dyDescent="0.25">
      <c r="A102" s="11">
        <v>44564.104166666664</v>
      </c>
      <c r="B102" s="10">
        <v>222.625</v>
      </c>
      <c r="C102">
        <f t="shared" si="4"/>
        <v>1</v>
      </c>
      <c r="D102">
        <f t="shared" si="5"/>
        <v>3</v>
      </c>
      <c r="E102">
        <f t="shared" si="6"/>
        <v>2</v>
      </c>
      <c r="F102">
        <f t="shared" si="7"/>
        <v>1</v>
      </c>
      <c r="G102">
        <f>VLOOKUP(E102,Sheet1!$A$2:$B$25,2,FALSE)</f>
        <v>0</v>
      </c>
    </row>
    <row r="103" spans="1:7" x14ac:dyDescent="0.25">
      <c r="A103" s="11">
        <v>44564.125</v>
      </c>
      <c r="B103" s="10">
        <v>223.67599999999999</v>
      </c>
      <c r="C103">
        <f t="shared" si="4"/>
        <v>1</v>
      </c>
      <c r="D103">
        <f t="shared" si="5"/>
        <v>3</v>
      </c>
      <c r="E103">
        <f t="shared" si="6"/>
        <v>3</v>
      </c>
      <c r="F103">
        <f t="shared" si="7"/>
        <v>1</v>
      </c>
      <c r="G103">
        <f>VLOOKUP(E103,Sheet1!$A$2:$B$25,2,FALSE)</f>
        <v>0</v>
      </c>
    </row>
    <row r="104" spans="1:7" x14ac:dyDescent="0.25">
      <c r="A104" s="11">
        <v>44564.145833333336</v>
      </c>
      <c r="B104" s="10">
        <v>236.42500000000001</v>
      </c>
      <c r="C104">
        <f t="shared" si="4"/>
        <v>1</v>
      </c>
      <c r="D104">
        <f t="shared" si="5"/>
        <v>3</v>
      </c>
      <c r="E104">
        <f t="shared" si="6"/>
        <v>3</v>
      </c>
      <c r="F104">
        <f t="shared" si="7"/>
        <v>1</v>
      </c>
      <c r="G104">
        <f>VLOOKUP(E104,Sheet1!$A$2:$B$25,2,FALSE)</f>
        <v>0</v>
      </c>
    </row>
    <row r="105" spans="1:7" x14ac:dyDescent="0.25">
      <c r="A105" s="11">
        <v>44564.166666666664</v>
      </c>
      <c r="B105" s="10">
        <v>229.82</v>
      </c>
      <c r="C105">
        <f t="shared" si="4"/>
        <v>1</v>
      </c>
      <c r="D105">
        <f t="shared" si="5"/>
        <v>3</v>
      </c>
      <c r="E105">
        <f t="shared" si="6"/>
        <v>4</v>
      </c>
      <c r="F105">
        <f t="shared" si="7"/>
        <v>1</v>
      </c>
      <c r="G105">
        <f>VLOOKUP(E105,Sheet1!$A$2:$B$25,2,FALSE)</f>
        <v>1</v>
      </c>
    </row>
    <row r="106" spans="1:7" x14ac:dyDescent="0.25">
      <c r="A106" s="11">
        <v>44564.1875</v>
      </c>
      <c r="B106" s="10">
        <v>233.54</v>
      </c>
      <c r="C106">
        <f t="shared" si="4"/>
        <v>1</v>
      </c>
      <c r="D106">
        <f t="shared" si="5"/>
        <v>3</v>
      </c>
      <c r="E106">
        <f t="shared" si="6"/>
        <v>4</v>
      </c>
      <c r="F106">
        <f t="shared" si="7"/>
        <v>1</v>
      </c>
      <c r="G106">
        <f>VLOOKUP(E106,Sheet1!$A$2:$B$25,2,FALSE)</f>
        <v>1</v>
      </c>
    </row>
    <row r="107" spans="1:7" x14ac:dyDescent="0.25">
      <c r="A107" s="11">
        <v>44564.208333333336</v>
      </c>
      <c r="B107" s="10">
        <v>234.001</v>
      </c>
      <c r="C107">
        <f t="shared" si="4"/>
        <v>1</v>
      </c>
      <c r="D107">
        <f t="shared" si="5"/>
        <v>3</v>
      </c>
      <c r="E107">
        <f t="shared" si="6"/>
        <v>5</v>
      </c>
      <c r="F107">
        <f t="shared" si="7"/>
        <v>1</v>
      </c>
      <c r="G107">
        <f>VLOOKUP(E107,Sheet1!$A$2:$B$25,2,FALSE)</f>
        <v>1</v>
      </c>
    </row>
    <row r="108" spans="1:7" x14ac:dyDescent="0.25">
      <c r="A108" s="11">
        <v>44564.229166666664</v>
      </c>
      <c r="B108" s="10">
        <v>273.86</v>
      </c>
      <c r="C108">
        <f t="shared" si="4"/>
        <v>1</v>
      </c>
      <c r="D108">
        <f t="shared" si="5"/>
        <v>3</v>
      </c>
      <c r="E108">
        <f t="shared" si="6"/>
        <v>5</v>
      </c>
      <c r="F108">
        <f t="shared" si="7"/>
        <v>1</v>
      </c>
      <c r="G108">
        <f>VLOOKUP(E108,Sheet1!$A$2:$B$25,2,FALSE)</f>
        <v>1</v>
      </c>
    </row>
    <row r="109" spans="1:7" x14ac:dyDescent="0.25">
      <c r="A109" s="11">
        <v>44564.25</v>
      </c>
      <c r="B109" s="10">
        <v>280.58</v>
      </c>
      <c r="C109">
        <f t="shared" si="4"/>
        <v>1</v>
      </c>
      <c r="D109">
        <f t="shared" si="5"/>
        <v>3</v>
      </c>
      <c r="E109">
        <f t="shared" si="6"/>
        <v>6</v>
      </c>
      <c r="F109">
        <f t="shared" si="7"/>
        <v>1</v>
      </c>
      <c r="G109">
        <f>VLOOKUP(E109,Sheet1!$A$2:$B$25,2,FALSE)</f>
        <v>1</v>
      </c>
    </row>
    <row r="110" spans="1:7" x14ac:dyDescent="0.25">
      <c r="A110" s="11">
        <v>44564.270833333336</v>
      </c>
      <c r="B110" s="10">
        <v>283.94499999999999</v>
      </c>
      <c r="C110">
        <f t="shared" si="4"/>
        <v>1</v>
      </c>
      <c r="D110">
        <f t="shared" si="5"/>
        <v>3</v>
      </c>
      <c r="E110">
        <f t="shared" si="6"/>
        <v>6</v>
      </c>
      <c r="F110">
        <f t="shared" si="7"/>
        <v>1</v>
      </c>
      <c r="G110">
        <f>VLOOKUP(E110,Sheet1!$A$2:$B$25,2,FALSE)</f>
        <v>1</v>
      </c>
    </row>
    <row r="111" spans="1:7" x14ac:dyDescent="0.25">
      <c r="A111" s="11">
        <v>44564.291666666664</v>
      </c>
      <c r="B111" s="10">
        <v>289.58</v>
      </c>
      <c r="C111">
        <f t="shared" si="4"/>
        <v>1</v>
      </c>
      <c r="D111">
        <f t="shared" si="5"/>
        <v>3</v>
      </c>
      <c r="E111">
        <f t="shared" si="6"/>
        <v>7</v>
      </c>
      <c r="F111">
        <f t="shared" si="7"/>
        <v>1</v>
      </c>
      <c r="G111">
        <f>VLOOKUP(E111,Sheet1!$A$2:$B$25,2,FALSE)</f>
        <v>1</v>
      </c>
    </row>
    <row r="112" spans="1:7" x14ac:dyDescent="0.25">
      <c r="A112" s="11">
        <v>44564.3125</v>
      </c>
      <c r="B112" s="10">
        <v>319.67599999999999</v>
      </c>
      <c r="C112">
        <f t="shared" si="4"/>
        <v>1</v>
      </c>
      <c r="D112">
        <f t="shared" si="5"/>
        <v>3</v>
      </c>
      <c r="E112">
        <f t="shared" si="6"/>
        <v>7</v>
      </c>
      <c r="F112">
        <f t="shared" si="7"/>
        <v>1</v>
      </c>
      <c r="G112">
        <f>VLOOKUP(E112,Sheet1!$A$2:$B$25,2,FALSE)</f>
        <v>1</v>
      </c>
    </row>
    <row r="113" spans="1:7" x14ac:dyDescent="0.25">
      <c r="A113" s="11">
        <v>44564.333333333336</v>
      </c>
      <c r="B113" s="10">
        <v>321.38499999999999</v>
      </c>
      <c r="C113">
        <f t="shared" si="4"/>
        <v>1</v>
      </c>
      <c r="D113">
        <f t="shared" si="5"/>
        <v>3</v>
      </c>
      <c r="E113">
        <f t="shared" si="6"/>
        <v>8</v>
      </c>
      <c r="F113">
        <f t="shared" si="7"/>
        <v>1</v>
      </c>
      <c r="G113">
        <f>VLOOKUP(E113,Sheet1!$A$2:$B$25,2,FALSE)</f>
        <v>1</v>
      </c>
    </row>
    <row r="114" spans="1:7" x14ac:dyDescent="0.25">
      <c r="A114" s="11">
        <v>44564.354166666664</v>
      </c>
      <c r="B114" s="10">
        <v>317.77999999999997</v>
      </c>
      <c r="C114">
        <f t="shared" si="4"/>
        <v>1</v>
      </c>
      <c r="D114">
        <f t="shared" si="5"/>
        <v>3</v>
      </c>
      <c r="E114">
        <f t="shared" si="6"/>
        <v>8</v>
      </c>
      <c r="F114">
        <f t="shared" si="7"/>
        <v>1</v>
      </c>
      <c r="G114">
        <f>VLOOKUP(E114,Sheet1!$A$2:$B$25,2,FALSE)</f>
        <v>1</v>
      </c>
    </row>
    <row r="115" spans="1:7" x14ac:dyDescent="0.25">
      <c r="A115" s="11">
        <v>44564.375</v>
      </c>
      <c r="B115" s="10">
        <v>330.12099999999998</v>
      </c>
      <c r="C115">
        <f t="shared" si="4"/>
        <v>1</v>
      </c>
      <c r="D115">
        <f t="shared" si="5"/>
        <v>3</v>
      </c>
      <c r="E115">
        <f t="shared" si="6"/>
        <v>9</v>
      </c>
      <c r="F115">
        <f t="shared" si="7"/>
        <v>1</v>
      </c>
      <c r="G115">
        <f>VLOOKUP(E115,Sheet1!$A$2:$B$25,2,FALSE)</f>
        <v>1</v>
      </c>
    </row>
    <row r="116" spans="1:7" x14ac:dyDescent="0.25">
      <c r="A116" s="11">
        <v>44564.395833333336</v>
      </c>
      <c r="B116" s="10">
        <v>351.86</v>
      </c>
      <c r="C116">
        <f t="shared" si="4"/>
        <v>1</v>
      </c>
      <c r="D116">
        <f t="shared" si="5"/>
        <v>3</v>
      </c>
      <c r="E116">
        <f t="shared" si="6"/>
        <v>9</v>
      </c>
      <c r="F116">
        <f t="shared" si="7"/>
        <v>1</v>
      </c>
      <c r="G116">
        <f>VLOOKUP(E116,Sheet1!$A$2:$B$25,2,FALSE)</f>
        <v>1</v>
      </c>
    </row>
    <row r="117" spans="1:7" x14ac:dyDescent="0.25">
      <c r="A117" s="11">
        <v>44564.416666666664</v>
      </c>
      <c r="B117" s="10">
        <v>374.90499999999997</v>
      </c>
      <c r="C117">
        <f t="shared" si="4"/>
        <v>1</v>
      </c>
      <c r="D117">
        <f t="shared" si="5"/>
        <v>3</v>
      </c>
      <c r="E117">
        <f t="shared" si="6"/>
        <v>10</v>
      </c>
      <c r="F117">
        <f t="shared" si="7"/>
        <v>1</v>
      </c>
      <c r="G117">
        <f>VLOOKUP(E117,Sheet1!$A$2:$B$25,2,FALSE)</f>
        <v>1</v>
      </c>
    </row>
    <row r="118" spans="1:7" x14ac:dyDescent="0.25">
      <c r="A118" s="11">
        <v>44564.4375</v>
      </c>
      <c r="B118" s="10">
        <v>389.99599999999998</v>
      </c>
      <c r="C118">
        <f t="shared" si="4"/>
        <v>1</v>
      </c>
      <c r="D118">
        <f t="shared" si="5"/>
        <v>3</v>
      </c>
      <c r="E118">
        <f t="shared" si="6"/>
        <v>10</v>
      </c>
      <c r="F118">
        <f t="shared" si="7"/>
        <v>1</v>
      </c>
      <c r="G118">
        <f>VLOOKUP(E118,Sheet1!$A$2:$B$25,2,FALSE)</f>
        <v>1</v>
      </c>
    </row>
    <row r="119" spans="1:7" x14ac:dyDescent="0.25">
      <c r="A119" s="11">
        <v>44564.458333333336</v>
      </c>
      <c r="B119" s="10">
        <v>390.14</v>
      </c>
      <c r="C119">
        <f t="shared" si="4"/>
        <v>1</v>
      </c>
      <c r="D119">
        <f t="shared" si="5"/>
        <v>3</v>
      </c>
      <c r="E119">
        <f t="shared" si="6"/>
        <v>11</v>
      </c>
      <c r="F119">
        <f t="shared" si="7"/>
        <v>1</v>
      </c>
      <c r="G119">
        <f>VLOOKUP(E119,Sheet1!$A$2:$B$25,2,FALSE)</f>
        <v>1</v>
      </c>
    </row>
    <row r="120" spans="1:7" x14ac:dyDescent="0.25">
      <c r="A120" s="11">
        <v>44564.479166666664</v>
      </c>
      <c r="B120" s="10">
        <v>395.63600000000002</v>
      </c>
      <c r="C120">
        <f t="shared" si="4"/>
        <v>1</v>
      </c>
      <c r="D120">
        <f t="shared" si="5"/>
        <v>3</v>
      </c>
      <c r="E120">
        <f t="shared" si="6"/>
        <v>11</v>
      </c>
      <c r="F120">
        <f t="shared" si="7"/>
        <v>1</v>
      </c>
      <c r="G120">
        <f>VLOOKUP(E120,Sheet1!$A$2:$B$25,2,FALSE)</f>
        <v>1</v>
      </c>
    </row>
    <row r="121" spans="1:7" x14ac:dyDescent="0.25">
      <c r="A121" s="11">
        <v>44564.5</v>
      </c>
      <c r="B121" s="10">
        <v>388.43599999999998</v>
      </c>
      <c r="C121">
        <f t="shared" si="4"/>
        <v>1</v>
      </c>
      <c r="D121">
        <f t="shared" si="5"/>
        <v>3</v>
      </c>
      <c r="E121">
        <f t="shared" si="6"/>
        <v>12</v>
      </c>
      <c r="F121">
        <f t="shared" si="7"/>
        <v>1</v>
      </c>
      <c r="G121">
        <f>VLOOKUP(E121,Sheet1!$A$2:$B$25,2,FALSE)</f>
        <v>1</v>
      </c>
    </row>
    <row r="122" spans="1:7" x14ac:dyDescent="0.25">
      <c r="A122" s="11">
        <v>44564.520833333336</v>
      </c>
      <c r="B122" s="10">
        <v>397.82499999999999</v>
      </c>
      <c r="C122">
        <f t="shared" si="4"/>
        <v>1</v>
      </c>
      <c r="D122">
        <f t="shared" si="5"/>
        <v>3</v>
      </c>
      <c r="E122">
        <f t="shared" si="6"/>
        <v>12</v>
      </c>
      <c r="F122">
        <f t="shared" si="7"/>
        <v>1</v>
      </c>
      <c r="G122">
        <f>VLOOKUP(E122,Sheet1!$A$2:$B$25,2,FALSE)</f>
        <v>1</v>
      </c>
    </row>
    <row r="123" spans="1:7" x14ac:dyDescent="0.25">
      <c r="A123" s="11">
        <v>44564.541666666664</v>
      </c>
      <c r="B123" s="10">
        <v>397.94</v>
      </c>
      <c r="C123">
        <f t="shared" si="4"/>
        <v>1</v>
      </c>
      <c r="D123">
        <f t="shared" si="5"/>
        <v>3</v>
      </c>
      <c r="E123">
        <f t="shared" si="6"/>
        <v>13</v>
      </c>
      <c r="F123">
        <f t="shared" si="7"/>
        <v>1</v>
      </c>
      <c r="G123">
        <f>VLOOKUP(E123,Sheet1!$A$2:$B$25,2,FALSE)</f>
        <v>1</v>
      </c>
    </row>
    <row r="124" spans="1:7" x14ac:dyDescent="0.25">
      <c r="A124" s="11">
        <v>44564.5625</v>
      </c>
      <c r="B124" s="10">
        <v>397.94</v>
      </c>
      <c r="C124">
        <f t="shared" si="4"/>
        <v>1</v>
      </c>
      <c r="D124">
        <f t="shared" si="5"/>
        <v>3</v>
      </c>
      <c r="E124">
        <f t="shared" si="6"/>
        <v>13</v>
      </c>
      <c r="F124">
        <f t="shared" si="7"/>
        <v>1</v>
      </c>
      <c r="G124">
        <f>VLOOKUP(E124,Sheet1!$A$2:$B$25,2,FALSE)</f>
        <v>1</v>
      </c>
    </row>
    <row r="125" spans="1:7" x14ac:dyDescent="0.25">
      <c r="A125" s="11">
        <v>44564.583333333336</v>
      </c>
      <c r="B125" s="10">
        <v>365.52100000000002</v>
      </c>
      <c r="C125">
        <f t="shared" si="4"/>
        <v>1</v>
      </c>
      <c r="D125">
        <f t="shared" si="5"/>
        <v>3</v>
      </c>
      <c r="E125">
        <f t="shared" si="6"/>
        <v>14</v>
      </c>
      <c r="F125">
        <f t="shared" si="7"/>
        <v>1</v>
      </c>
      <c r="G125">
        <f>VLOOKUP(E125,Sheet1!$A$2:$B$25,2,FALSE)</f>
        <v>1</v>
      </c>
    </row>
    <row r="126" spans="1:7" x14ac:dyDescent="0.25">
      <c r="A126" s="11">
        <v>44564.604166666664</v>
      </c>
      <c r="B126" s="10">
        <v>373.43599999999998</v>
      </c>
      <c r="C126">
        <f t="shared" si="4"/>
        <v>1</v>
      </c>
      <c r="D126">
        <f t="shared" si="5"/>
        <v>3</v>
      </c>
      <c r="E126">
        <f t="shared" si="6"/>
        <v>14</v>
      </c>
      <c r="F126">
        <f t="shared" si="7"/>
        <v>1</v>
      </c>
      <c r="G126">
        <f>VLOOKUP(E126,Sheet1!$A$2:$B$25,2,FALSE)</f>
        <v>1</v>
      </c>
    </row>
    <row r="127" spans="1:7" x14ac:dyDescent="0.25">
      <c r="A127" s="11">
        <v>44564.625</v>
      </c>
      <c r="B127" s="10">
        <v>374.66</v>
      </c>
      <c r="C127">
        <f t="shared" si="4"/>
        <v>1</v>
      </c>
      <c r="D127">
        <f t="shared" si="5"/>
        <v>3</v>
      </c>
      <c r="E127">
        <f t="shared" si="6"/>
        <v>15</v>
      </c>
      <c r="F127">
        <f t="shared" si="7"/>
        <v>1</v>
      </c>
      <c r="G127">
        <f>VLOOKUP(E127,Sheet1!$A$2:$B$25,2,FALSE)</f>
        <v>1</v>
      </c>
    </row>
    <row r="128" spans="1:7" x14ac:dyDescent="0.25">
      <c r="A128" s="11">
        <v>44564.645833333336</v>
      </c>
      <c r="B128" s="10">
        <v>353.66</v>
      </c>
      <c r="C128">
        <f t="shared" si="4"/>
        <v>1</v>
      </c>
      <c r="D128">
        <f t="shared" si="5"/>
        <v>3</v>
      </c>
      <c r="E128">
        <f t="shared" si="6"/>
        <v>15</v>
      </c>
      <c r="F128">
        <f t="shared" si="7"/>
        <v>1</v>
      </c>
      <c r="G128">
        <f>VLOOKUP(E128,Sheet1!$A$2:$B$25,2,FALSE)</f>
        <v>1</v>
      </c>
    </row>
    <row r="129" spans="1:7" x14ac:dyDescent="0.25">
      <c r="A129" s="11">
        <v>44564.666666666664</v>
      </c>
      <c r="B129" s="10">
        <v>351.12099999999998</v>
      </c>
      <c r="C129">
        <f t="shared" si="4"/>
        <v>1</v>
      </c>
      <c r="D129">
        <f t="shared" si="5"/>
        <v>3</v>
      </c>
      <c r="E129">
        <f t="shared" si="6"/>
        <v>16</v>
      </c>
      <c r="F129">
        <f t="shared" si="7"/>
        <v>1</v>
      </c>
      <c r="G129">
        <f>VLOOKUP(E129,Sheet1!$A$2:$B$25,2,FALSE)</f>
        <v>0</v>
      </c>
    </row>
    <row r="130" spans="1:7" x14ac:dyDescent="0.25">
      <c r="A130" s="11">
        <v>44564.6875</v>
      </c>
      <c r="B130" s="10">
        <v>361.34</v>
      </c>
      <c r="C130">
        <f t="shared" ref="C130:C193" si="8">WEEKDAY(A130,2)</f>
        <v>1</v>
      </c>
      <c r="D130">
        <f t="shared" ref="D130:D193" si="9">DAY(A130)</f>
        <v>3</v>
      </c>
      <c r="E130">
        <f t="shared" ref="E130:E193" si="10">HOUR(A130)</f>
        <v>16</v>
      </c>
      <c r="F130">
        <f t="shared" si="7"/>
        <v>1</v>
      </c>
      <c r="G130">
        <f>VLOOKUP(E130,Sheet1!$A$2:$B$25,2,FALSE)</f>
        <v>0</v>
      </c>
    </row>
    <row r="131" spans="1:7" x14ac:dyDescent="0.25">
      <c r="A131" s="11">
        <v>44564.708333333336</v>
      </c>
      <c r="B131" s="10">
        <v>358.55599999999998</v>
      </c>
      <c r="C131">
        <f t="shared" si="8"/>
        <v>1</v>
      </c>
      <c r="D131">
        <f t="shared" si="9"/>
        <v>3</v>
      </c>
      <c r="E131">
        <f t="shared" si="10"/>
        <v>17</v>
      </c>
      <c r="F131">
        <f t="shared" ref="F131:F194" si="11">IF(C131&gt;=6,0,1)</f>
        <v>1</v>
      </c>
      <c r="G131">
        <f>VLOOKUP(E131,Sheet1!$A$2:$B$25,2,FALSE)</f>
        <v>0</v>
      </c>
    </row>
    <row r="132" spans="1:7" x14ac:dyDescent="0.25">
      <c r="A132" s="11">
        <v>44564.729166666664</v>
      </c>
      <c r="B132" s="10">
        <v>289.45999999999998</v>
      </c>
      <c r="C132">
        <f t="shared" si="8"/>
        <v>1</v>
      </c>
      <c r="D132">
        <f t="shared" si="9"/>
        <v>3</v>
      </c>
      <c r="E132">
        <f t="shared" si="10"/>
        <v>17</v>
      </c>
      <c r="F132">
        <f t="shared" si="11"/>
        <v>1</v>
      </c>
      <c r="G132">
        <f>VLOOKUP(E132,Sheet1!$A$2:$B$25,2,FALSE)</f>
        <v>0</v>
      </c>
    </row>
    <row r="133" spans="1:7" x14ac:dyDescent="0.25">
      <c r="A133" s="11">
        <v>44564.75</v>
      </c>
      <c r="B133" s="10">
        <v>271.10500000000002</v>
      </c>
      <c r="C133">
        <f t="shared" si="8"/>
        <v>1</v>
      </c>
      <c r="D133">
        <f t="shared" si="9"/>
        <v>3</v>
      </c>
      <c r="E133">
        <f t="shared" si="10"/>
        <v>18</v>
      </c>
      <c r="F133">
        <f t="shared" si="11"/>
        <v>1</v>
      </c>
      <c r="G133">
        <f>VLOOKUP(E133,Sheet1!$A$2:$B$25,2,FALSE)</f>
        <v>0</v>
      </c>
    </row>
    <row r="134" spans="1:7" x14ac:dyDescent="0.25">
      <c r="A134" s="11">
        <v>44564.770833333336</v>
      </c>
      <c r="B134" s="10">
        <v>262.916</v>
      </c>
      <c r="C134">
        <f t="shared" si="8"/>
        <v>1</v>
      </c>
      <c r="D134">
        <f t="shared" si="9"/>
        <v>3</v>
      </c>
      <c r="E134">
        <f t="shared" si="10"/>
        <v>18</v>
      </c>
      <c r="F134">
        <f t="shared" si="11"/>
        <v>1</v>
      </c>
      <c r="G134">
        <f>VLOOKUP(E134,Sheet1!$A$2:$B$25,2,FALSE)</f>
        <v>0</v>
      </c>
    </row>
    <row r="135" spans="1:7" x14ac:dyDescent="0.25">
      <c r="A135" s="11">
        <v>44564.791666666664</v>
      </c>
      <c r="B135" s="10">
        <v>262.22000000000003</v>
      </c>
      <c r="C135">
        <f t="shared" si="8"/>
        <v>1</v>
      </c>
      <c r="D135">
        <f t="shared" si="9"/>
        <v>3</v>
      </c>
      <c r="E135">
        <f t="shared" si="10"/>
        <v>19</v>
      </c>
      <c r="F135">
        <f t="shared" si="11"/>
        <v>1</v>
      </c>
      <c r="G135">
        <f>VLOOKUP(E135,Sheet1!$A$2:$B$25,2,FALSE)</f>
        <v>0</v>
      </c>
    </row>
    <row r="136" spans="1:7" x14ac:dyDescent="0.25">
      <c r="A136" s="11">
        <v>44564.8125</v>
      </c>
      <c r="B136" s="10">
        <v>257.77999999999997</v>
      </c>
      <c r="C136">
        <f t="shared" si="8"/>
        <v>1</v>
      </c>
      <c r="D136">
        <f t="shared" si="9"/>
        <v>3</v>
      </c>
      <c r="E136">
        <f t="shared" si="10"/>
        <v>19</v>
      </c>
      <c r="F136">
        <f t="shared" si="11"/>
        <v>1</v>
      </c>
      <c r="G136">
        <f>VLOOKUP(E136,Sheet1!$A$2:$B$25,2,FALSE)</f>
        <v>0</v>
      </c>
    </row>
    <row r="137" spans="1:7" x14ac:dyDescent="0.25">
      <c r="A137" s="11">
        <v>44564.833333333336</v>
      </c>
      <c r="B137" s="10">
        <v>257.66500000000002</v>
      </c>
      <c r="C137">
        <f t="shared" si="8"/>
        <v>1</v>
      </c>
      <c r="D137">
        <f t="shared" si="9"/>
        <v>3</v>
      </c>
      <c r="E137">
        <f t="shared" si="10"/>
        <v>20</v>
      </c>
      <c r="F137">
        <f t="shared" si="11"/>
        <v>1</v>
      </c>
      <c r="G137">
        <f>VLOOKUP(E137,Sheet1!$A$2:$B$25,2,FALSE)</f>
        <v>0</v>
      </c>
    </row>
    <row r="138" spans="1:7" x14ac:dyDescent="0.25">
      <c r="A138" s="11">
        <v>44564.854166666664</v>
      </c>
      <c r="B138" s="10">
        <v>261.74</v>
      </c>
      <c r="C138">
        <f t="shared" si="8"/>
        <v>1</v>
      </c>
      <c r="D138">
        <f t="shared" si="9"/>
        <v>3</v>
      </c>
      <c r="E138">
        <f t="shared" si="10"/>
        <v>20</v>
      </c>
      <c r="F138">
        <f t="shared" si="11"/>
        <v>1</v>
      </c>
      <c r="G138">
        <f>VLOOKUP(E138,Sheet1!$A$2:$B$25,2,FALSE)</f>
        <v>0</v>
      </c>
    </row>
    <row r="139" spans="1:7" x14ac:dyDescent="0.25">
      <c r="A139" s="11">
        <v>44564.875</v>
      </c>
      <c r="B139" s="10">
        <v>259.43599999999998</v>
      </c>
      <c r="C139">
        <f t="shared" si="8"/>
        <v>1</v>
      </c>
      <c r="D139">
        <f t="shared" si="9"/>
        <v>3</v>
      </c>
      <c r="E139">
        <f t="shared" si="10"/>
        <v>21</v>
      </c>
      <c r="F139">
        <f t="shared" si="11"/>
        <v>1</v>
      </c>
      <c r="G139">
        <f>VLOOKUP(E139,Sheet1!$A$2:$B$25,2,FALSE)</f>
        <v>0</v>
      </c>
    </row>
    <row r="140" spans="1:7" x14ac:dyDescent="0.25">
      <c r="A140" s="11">
        <v>44564.895833333336</v>
      </c>
      <c r="B140" s="10">
        <v>243.5</v>
      </c>
      <c r="C140">
        <f t="shared" si="8"/>
        <v>1</v>
      </c>
      <c r="D140">
        <f t="shared" si="9"/>
        <v>3</v>
      </c>
      <c r="E140">
        <f t="shared" si="10"/>
        <v>21</v>
      </c>
      <c r="F140">
        <f t="shared" si="11"/>
        <v>1</v>
      </c>
      <c r="G140">
        <f>VLOOKUP(E140,Sheet1!$A$2:$B$25,2,FALSE)</f>
        <v>0</v>
      </c>
    </row>
    <row r="141" spans="1:7" x14ac:dyDescent="0.25">
      <c r="A141" s="11">
        <v>44564.916666666664</v>
      </c>
      <c r="B141" s="10">
        <v>242.30500000000001</v>
      </c>
      <c r="C141">
        <f t="shared" si="8"/>
        <v>1</v>
      </c>
      <c r="D141">
        <f t="shared" si="9"/>
        <v>3</v>
      </c>
      <c r="E141">
        <f t="shared" si="10"/>
        <v>22</v>
      </c>
      <c r="F141">
        <f t="shared" si="11"/>
        <v>1</v>
      </c>
      <c r="G141">
        <f>VLOOKUP(E141,Sheet1!$A$2:$B$25,2,FALSE)</f>
        <v>0</v>
      </c>
    </row>
    <row r="142" spans="1:7" x14ac:dyDescent="0.25">
      <c r="A142" s="11">
        <v>44564.9375</v>
      </c>
      <c r="B142" s="10">
        <v>239.9</v>
      </c>
      <c r="C142">
        <f t="shared" si="8"/>
        <v>1</v>
      </c>
      <c r="D142">
        <f t="shared" si="9"/>
        <v>3</v>
      </c>
      <c r="E142">
        <f t="shared" si="10"/>
        <v>22</v>
      </c>
      <c r="F142">
        <f t="shared" si="11"/>
        <v>1</v>
      </c>
      <c r="G142">
        <f>VLOOKUP(E142,Sheet1!$A$2:$B$25,2,FALSE)</f>
        <v>0</v>
      </c>
    </row>
    <row r="143" spans="1:7" x14ac:dyDescent="0.25">
      <c r="A143" s="11">
        <v>44564.958333333336</v>
      </c>
      <c r="B143" s="10">
        <v>248.06</v>
      </c>
      <c r="C143">
        <f t="shared" si="8"/>
        <v>1</v>
      </c>
      <c r="D143">
        <f t="shared" si="9"/>
        <v>3</v>
      </c>
      <c r="E143">
        <f t="shared" si="10"/>
        <v>23</v>
      </c>
      <c r="F143">
        <f t="shared" si="11"/>
        <v>1</v>
      </c>
      <c r="G143">
        <f>VLOOKUP(E143,Sheet1!$A$2:$B$25,2,FALSE)</f>
        <v>0</v>
      </c>
    </row>
    <row r="144" spans="1:7" x14ac:dyDescent="0.25">
      <c r="A144" s="11">
        <v>44564.979166666664</v>
      </c>
      <c r="B144" s="10">
        <v>241.43600000000001</v>
      </c>
      <c r="C144">
        <f t="shared" si="8"/>
        <v>1</v>
      </c>
      <c r="D144">
        <f t="shared" si="9"/>
        <v>3</v>
      </c>
      <c r="E144">
        <f t="shared" si="10"/>
        <v>23</v>
      </c>
      <c r="F144">
        <f t="shared" si="11"/>
        <v>1</v>
      </c>
      <c r="G144">
        <f>VLOOKUP(E144,Sheet1!$A$2:$B$25,2,FALSE)</f>
        <v>0</v>
      </c>
    </row>
    <row r="145" spans="1:7" x14ac:dyDescent="0.25">
      <c r="A145" s="11">
        <v>44565</v>
      </c>
      <c r="B145" s="10">
        <v>242.27600000000001</v>
      </c>
      <c r="C145">
        <f t="shared" si="8"/>
        <v>2</v>
      </c>
      <c r="D145">
        <f t="shared" si="9"/>
        <v>4</v>
      </c>
      <c r="E145">
        <f t="shared" si="10"/>
        <v>0</v>
      </c>
      <c r="F145">
        <f t="shared" si="11"/>
        <v>1</v>
      </c>
      <c r="G145">
        <f>VLOOKUP(E145,Sheet1!$A$2:$B$25,2,FALSE)</f>
        <v>0</v>
      </c>
    </row>
    <row r="146" spans="1:7" x14ac:dyDescent="0.25">
      <c r="A146" s="11">
        <v>44565.020833333336</v>
      </c>
      <c r="B146" s="10">
        <v>241.82</v>
      </c>
      <c r="C146">
        <f t="shared" si="8"/>
        <v>2</v>
      </c>
      <c r="D146">
        <f t="shared" si="9"/>
        <v>4</v>
      </c>
      <c r="E146">
        <f t="shared" si="10"/>
        <v>0</v>
      </c>
      <c r="F146">
        <f t="shared" si="11"/>
        <v>1</v>
      </c>
      <c r="G146">
        <f>VLOOKUP(E146,Sheet1!$A$2:$B$25,2,FALSE)</f>
        <v>0</v>
      </c>
    </row>
    <row r="147" spans="1:7" x14ac:dyDescent="0.25">
      <c r="A147" s="11">
        <v>44565.041666666664</v>
      </c>
      <c r="B147" s="10">
        <v>240.26</v>
      </c>
      <c r="C147">
        <f t="shared" si="8"/>
        <v>2</v>
      </c>
      <c r="D147">
        <f t="shared" si="9"/>
        <v>4</v>
      </c>
      <c r="E147">
        <f t="shared" si="10"/>
        <v>1</v>
      </c>
      <c r="F147">
        <f t="shared" si="11"/>
        <v>1</v>
      </c>
      <c r="G147">
        <f>VLOOKUP(E147,Sheet1!$A$2:$B$25,2,FALSE)</f>
        <v>0</v>
      </c>
    </row>
    <row r="148" spans="1:7" x14ac:dyDescent="0.25">
      <c r="A148" s="11">
        <v>44565.0625</v>
      </c>
      <c r="B148" s="10">
        <v>242.636</v>
      </c>
      <c r="C148">
        <f t="shared" si="8"/>
        <v>2</v>
      </c>
      <c r="D148">
        <f t="shared" si="9"/>
        <v>4</v>
      </c>
      <c r="E148">
        <f t="shared" si="10"/>
        <v>1</v>
      </c>
      <c r="F148">
        <f t="shared" si="11"/>
        <v>1</v>
      </c>
      <c r="G148">
        <f>VLOOKUP(E148,Sheet1!$A$2:$B$25,2,FALSE)</f>
        <v>0</v>
      </c>
    </row>
    <row r="149" spans="1:7" x14ac:dyDescent="0.25">
      <c r="A149" s="11">
        <v>44565.083333333336</v>
      </c>
      <c r="B149" s="10">
        <v>242.185</v>
      </c>
      <c r="C149">
        <f t="shared" si="8"/>
        <v>2</v>
      </c>
      <c r="D149">
        <f t="shared" si="9"/>
        <v>4</v>
      </c>
      <c r="E149">
        <f t="shared" si="10"/>
        <v>2</v>
      </c>
      <c r="F149">
        <f t="shared" si="11"/>
        <v>1</v>
      </c>
      <c r="G149">
        <f>VLOOKUP(E149,Sheet1!$A$2:$B$25,2,FALSE)</f>
        <v>0</v>
      </c>
    </row>
    <row r="150" spans="1:7" x14ac:dyDescent="0.25">
      <c r="A150" s="11">
        <v>44565.104166666664</v>
      </c>
      <c r="B150" s="10">
        <v>240.476</v>
      </c>
      <c r="C150">
        <f t="shared" si="8"/>
        <v>2</v>
      </c>
      <c r="D150">
        <f t="shared" si="9"/>
        <v>4</v>
      </c>
      <c r="E150">
        <f t="shared" si="10"/>
        <v>2</v>
      </c>
      <c r="F150">
        <f t="shared" si="11"/>
        <v>1</v>
      </c>
      <c r="G150">
        <f>VLOOKUP(E150,Sheet1!$A$2:$B$25,2,FALSE)</f>
        <v>0</v>
      </c>
    </row>
    <row r="151" spans="1:7" x14ac:dyDescent="0.25">
      <c r="A151" s="11">
        <v>44565.125</v>
      </c>
      <c r="B151" s="10">
        <v>238.22</v>
      </c>
      <c r="C151">
        <f t="shared" si="8"/>
        <v>2</v>
      </c>
      <c r="D151">
        <f t="shared" si="9"/>
        <v>4</v>
      </c>
      <c r="E151">
        <f t="shared" si="10"/>
        <v>3</v>
      </c>
      <c r="F151">
        <f t="shared" si="11"/>
        <v>1</v>
      </c>
      <c r="G151">
        <f>VLOOKUP(E151,Sheet1!$A$2:$B$25,2,FALSE)</f>
        <v>0</v>
      </c>
    </row>
    <row r="152" spans="1:7" x14ac:dyDescent="0.25">
      <c r="A152" s="11">
        <v>44565.145833333336</v>
      </c>
      <c r="B152" s="10">
        <v>249.35599999999999</v>
      </c>
      <c r="C152">
        <f t="shared" si="8"/>
        <v>2</v>
      </c>
      <c r="D152">
        <f t="shared" si="9"/>
        <v>4</v>
      </c>
      <c r="E152">
        <f t="shared" si="10"/>
        <v>3</v>
      </c>
      <c r="F152">
        <f t="shared" si="11"/>
        <v>1</v>
      </c>
      <c r="G152">
        <f>VLOOKUP(E152,Sheet1!$A$2:$B$25,2,FALSE)</f>
        <v>0</v>
      </c>
    </row>
    <row r="153" spans="1:7" x14ac:dyDescent="0.25">
      <c r="A153" s="11">
        <v>44565.166666666664</v>
      </c>
      <c r="B153" s="10">
        <v>248.39599999999999</v>
      </c>
      <c r="C153">
        <f t="shared" si="8"/>
        <v>2</v>
      </c>
      <c r="D153">
        <f t="shared" si="9"/>
        <v>4</v>
      </c>
      <c r="E153">
        <f t="shared" si="10"/>
        <v>4</v>
      </c>
      <c r="F153">
        <f t="shared" si="11"/>
        <v>1</v>
      </c>
      <c r="G153">
        <f>VLOOKUP(E153,Sheet1!$A$2:$B$25,2,FALSE)</f>
        <v>1</v>
      </c>
    </row>
    <row r="154" spans="1:7" x14ac:dyDescent="0.25">
      <c r="A154" s="11">
        <v>44565.1875</v>
      </c>
      <c r="B154" s="10">
        <v>250.67599999999999</v>
      </c>
      <c r="C154">
        <f t="shared" si="8"/>
        <v>2</v>
      </c>
      <c r="D154">
        <f t="shared" si="9"/>
        <v>4</v>
      </c>
      <c r="E154">
        <f t="shared" si="10"/>
        <v>4</v>
      </c>
      <c r="F154">
        <f t="shared" si="11"/>
        <v>1</v>
      </c>
      <c r="G154">
        <f>VLOOKUP(E154,Sheet1!$A$2:$B$25,2,FALSE)</f>
        <v>1</v>
      </c>
    </row>
    <row r="155" spans="1:7" x14ac:dyDescent="0.25">
      <c r="A155" s="11">
        <v>44565.208333333336</v>
      </c>
      <c r="B155" s="10">
        <v>258.74</v>
      </c>
      <c r="C155">
        <f t="shared" si="8"/>
        <v>2</v>
      </c>
      <c r="D155">
        <f t="shared" si="9"/>
        <v>4</v>
      </c>
      <c r="E155">
        <f t="shared" si="10"/>
        <v>5</v>
      </c>
      <c r="F155">
        <f t="shared" si="11"/>
        <v>1</v>
      </c>
      <c r="G155">
        <f>VLOOKUP(E155,Sheet1!$A$2:$B$25,2,FALSE)</f>
        <v>1</v>
      </c>
    </row>
    <row r="156" spans="1:7" x14ac:dyDescent="0.25">
      <c r="A156" s="11">
        <v>44565.229166666664</v>
      </c>
      <c r="B156" s="10">
        <v>294.745</v>
      </c>
      <c r="C156">
        <f t="shared" si="8"/>
        <v>2</v>
      </c>
      <c r="D156">
        <f t="shared" si="9"/>
        <v>4</v>
      </c>
      <c r="E156">
        <f t="shared" si="10"/>
        <v>5</v>
      </c>
      <c r="F156">
        <f t="shared" si="11"/>
        <v>1</v>
      </c>
      <c r="G156">
        <f>VLOOKUP(E156,Sheet1!$A$2:$B$25,2,FALSE)</f>
        <v>1</v>
      </c>
    </row>
    <row r="157" spans="1:7" x14ac:dyDescent="0.25">
      <c r="A157" s="11">
        <v>44565.25</v>
      </c>
      <c r="B157" s="10">
        <v>653.27599999999995</v>
      </c>
      <c r="C157">
        <f t="shared" si="8"/>
        <v>2</v>
      </c>
      <c r="D157">
        <f t="shared" si="9"/>
        <v>4</v>
      </c>
      <c r="E157">
        <f t="shared" si="10"/>
        <v>6</v>
      </c>
      <c r="F157">
        <f t="shared" si="11"/>
        <v>1</v>
      </c>
      <c r="G157">
        <f>VLOOKUP(E157,Sheet1!$A$2:$B$25,2,FALSE)</f>
        <v>1</v>
      </c>
    </row>
    <row r="158" spans="1:7" x14ac:dyDescent="0.25">
      <c r="A158" s="11">
        <v>44565.270833333336</v>
      </c>
      <c r="B158" s="10">
        <v>604.1</v>
      </c>
      <c r="C158">
        <f t="shared" si="8"/>
        <v>2</v>
      </c>
      <c r="D158">
        <f t="shared" si="9"/>
        <v>4</v>
      </c>
      <c r="E158">
        <f t="shared" si="10"/>
        <v>6</v>
      </c>
      <c r="F158">
        <f t="shared" si="11"/>
        <v>1</v>
      </c>
      <c r="G158">
        <f>VLOOKUP(E158,Sheet1!$A$2:$B$25,2,FALSE)</f>
        <v>1</v>
      </c>
    </row>
    <row r="159" spans="1:7" x14ac:dyDescent="0.25">
      <c r="A159" s="11">
        <v>44565.291666666664</v>
      </c>
      <c r="B159" s="10">
        <v>527.75599999999997</v>
      </c>
      <c r="C159">
        <f t="shared" si="8"/>
        <v>2</v>
      </c>
      <c r="D159">
        <f t="shared" si="9"/>
        <v>4</v>
      </c>
      <c r="E159">
        <f t="shared" si="10"/>
        <v>7</v>
      </c>
      <c r="F159">
        <f t="shared" si="11"/>
        <v>1</v>
      </c>
      <c r="G159">
        <f>VLOOKUP(E159,Sheet1!$A$2:$B$25,2,FALSE)</f>
        <v>1</v>
      </c>
    </row>
    <row r="160" spans="1:7" x14ac:dyDescent="0.25">
      <c r="A160" s="11">
        <v>44565.3125</v>
      </c>
      <c r="B160" s="10">
        <v>576.35599999999999</v>
      </c>
      <c r="C160">
        <f t="shared" si="8"/>
        <v>2</v>
      </c>
      <c r="D160">
        <f t="shared" si="9"/>
        <v>4</v>
      </c>
      <c r="E160">
        <f t="shared" si="10"/>
        <v>7</v>
      </c>
      <c r="F160">
        <f t="shared" si="11"/>
        <v>1</v>
      </c>
      <c r="G160">
        <f>VLOOKUP(E160,Sheet1!$A$2:$B$25,2,FALSE)</f>
        <v>1</v>
      </c>
    </row>
    <row r="161" spans="1:7" x14ac:dyDescent="0.25">
      <c r="A161" s="11">
        <v>44565.333333333336</v>
      </c>
      <c r="B161" s="10">
        <v>549.14</v>
      </c>
      <c r="C161">
        <f t="shared" si="8"/>
        <v>2</v>
      </c>
      <c r="D161">
        <f t="shared" si="9"/>
        <v>4</v>
      </c>
      <c r="E161">
        <f t="shared" si="10"/>
        <v>8</v>
      </c>
      <c r="F161">
        <f t="shared" si="11"/>
        <v>1</v>
      </c>
      <c r="G161">
        <f>VLOOKUP(E161,Sheet1!$A$2:$B$25,2,FALSE)</f>
        <v>1</v>
      </c>
    </row>
    <row r="162" spans="1:7" x14ac:dyDescent="0.25">
      <c r="A162" s="11">
        <v>44565.354166666664</v>
      </c>
      <c r="B162" s="10">
        <v>523.22500000000002</v>
      </c>
      <c r="C162">
        <f t="shared" si="8"/>
        <v>2</v>
      </c>
      <c r="D162">
        <f t="shared" si="9"/>
        <v>4</v>
      </c>
      <c r="E162">
        <f t="shared" si="10"/>
        <v>8</v>
      </c>
      <c r="F162">
        <f t="shared" si="11"/>
        <v>1</v>
      </c>
      <c r="G162">
        <f>VLOOKUP(E162,Sheet1!$A$2:$B$25,2,FALSE)</f>
        <v>1</v>
      </c>
    </row>
    <row r="163" spans="1:7" x14ac:dyDescent="0.25">
      <c r="A163" s="11">
        <v>44565.375</v>
      </c>
      <c r="B163" s="10">
        <v>529.91600000000005</v>
      </c>
      <c r="C163">
        <f t="shared" si="8"/>
        <v>2</v>
      </c>
      <c r="D163">
        <f t="shared" si="9"/>
        <v>4</v>
      </c>
      <c r="E163">
        <f t="shared" si="10"/>
        <v>9</v>
      </c>
      <c r="F163">
        <f t="shared" si="11"/>
        <v>1</v>
      </c>
      <c r="G163">
        <f>VLOOKUP(E163,Sheet1!$A$2:$B$25,2,FALSE)</f>
        <v>1</v>
      </c>
    </row>
    <row r="164" spans="1:7" x14ac:dyDescent="0.25">
      <c r="A164" s="11">
        <v>44565.395833333336</v>
      </c>
      <c r="B164" s="10">
        <v>534.71600000000001</v>
      </c>
      <c r="C164">
        <f t="shared" si="8"/>
        <v>2</v>
      </c>
      <c r="D164">
        <f t="shared" si="9"/>
        <v>4</v>
      </c>
      <c r="E164">
        <f t="shared" si="10"/>
        <v>9</v>
      </c>
      <c r="F164">
        <f t="shared" si="11"/>
        <v>1</v>
      </c>
      <c r="G164">
        <f>VLOOKUP(E164,Sheet1!$A$2:$B$25,2,FALSE)</f>
        <v>1</v>
      </c>
    </row>
    <row r="165" spans="1:7" x14ac:dyDescent="0.25">
      <c r="A165" s="11">
        <v>44565.416666666664</v>
      </c>
      <c r="B165" s="10">
        <v>520.94500000000005</v>
      </c>
      <c r="C165">
        <f t="shared" si="8"/>
        <v>2</v>
      </c>
      <c r="D165">
        <f t="shared" si="9"/>
        <v>4</v>
      </c>
      <c r="E165">
        <f t="shared" si="10"/>
        <v>10</v>
      </c>
      <c r="F165">
        <f t="shared" si="11"/>
        <v>1</v>
      </c>
      <c r="G165">
        <f>VLOOKUP(E165,Sheet1!$A$2:$B$25,2,FALSE)</f>
        <v>1</v>
      </c>
    </row>
    <row r="166" spans="1:7" x14ac:dyDescent="0.25">
      <c r="A166" s="11">
        <v>44565.4375</v>
      </c>
      <c r="B166" s="10">
        <v>538.58000000000004</v>
      </c>
      <c r="C166">
        <f t="shared" si="8"/>
        <v>2</v>
      </c>
      <c r="D166">
        <f t="shared" si="9"/>
        <v>4</v>
      </c>
      <c r="E166">
        <f t="shared" si="10"/>
        <v>10</v>
      </c>
      <c r="F166">
        <f t="shared" si="11"/>
        <v>1</v>
      </c>
      <c r="G166">
        <f>VLOOKUP(E166,Sheet1!$A$2:$B$25,2,FALSE)</f>
        <v>1</v>
      </c>
    </row>
    <row r="167" spans="1:7" x14ac:dyDescent="0.25">
      <c r="A167" s="11">
        <v>44565.458333333336</v>
      </c>
      <c r="B167" s="10">
        <v>574.22</v>
      </c>
      <c r="C167">
        <f t="shared" si="8"/>
        <v>2</v>
      </c>
      <c r="D167">
        <f t="shared" si="9"/>
        <v>4</v>
      </c>
      <c r="E167">
        <f t="shared" si="10"/>
        <v>11</v>
      </c>
      <c r="F167">
        <f t="shared" si="11"/>
        <v>1</v>
      </c>
      <c r="G167">
        <f>VLOOKUP(E167,Sheet1!$A$2:$B$25,2,FALSE)</f>
        <v>1</v>
      </c>
    </row>
    <row r="168" spans="1:7" x14ac:dyDescent="0.25">
      <c r="A168" s="11">
        <v>44565.479166666664</v>
      </c>
      <c r="B168" s="10">
        <v>572.39599999999996</v>
      </c>
      <c r="C168">
        <f t="shared" si="8"/>
        <v>2</v>
      </c>
      <c r="D168">
        <f t="shared" si="9"/>
        <v>4</v>
      </c>
      <c r="E168">
        <f t="shared" si="10"/>
        <v>11</v>
      </c>
      <c r="F168">
        <f t="shared" si="11"/>
        <v>1</v>
      </c>
      <c r="G168">
        <f>VLOOKUP(E168,Sheet1!$A$2:$B$25,2,FALSE)</f>
        <v>1</v>
      </c>
    </row>
    <row r="169" spans="1:7" x14ac:dyDescent="0.25">
      <c r="A169" s="11">
        <v>44565.5</v>
      </c>
      <c r="B169" s="10">
        <v>366.14499999999998</v>
      </c>
      <c r="C169">
        <f t="shared" si="8"/>
        <v>2</v>
      </c>
      <c r="D169">
        <f t="shared" si="9"/>
        <v>4</v>
      </c>
      <c r="E169">
        <f t="shared" si="10"/>
        <v>12</v>
      </c>
      <c r="F169">
        <f t="shared" si="11"/>
        <v>1</v>
      </c>
      <c r="G169">
        <f>VLOOKUP(E169,Sheet1!$A$2:$B$25,2,FALSE)</f>
        <v>1</v>
      </c>
    </row>
    <row r="170" spans="1:7" x14ac:dyDescent="0.25">
      <c r="A170" s="11">
        <v>44565.520833333336</v>
      </c>
      <c r="B170" s="10">
        <v>367.916</v>
      </c>
      <c r="C170">
        <f t="shared" si="8"/>
        <v>2</v>
      </c>
      <c r="D170">
        <f t="shared" si="9"/>
        <v>4</v>
      </c>
      <c r="E170">
        <f t="shared" si="10"/>
        <v>12</v>
      </c>
      <c r="F170">
        <f t="shared" si="11"/>
        <v>1</v>
      </c>
      <c r="G170">
        <f>VLOOKUP(E170,Sheet1!$A$2:$B$25,2,FALSE)</f>
        <v>1</v>
      </c>
    </row>
    <row r="171" spans="1:7" x14ac:dyDescent="0.25">
      <c r="A171" s="11">
        <v>44565.541666666664</v>
      </c>
      <c r="B171" s="10">
        <v>369.5</v>
      </c>
      <c r="C171">
        <f t="shared" si="8"/>
        <v>2</v>
      </c>
      <c r="D171">
        <f t="shared" si="9"/>
        <v>4</v>
      </c>
      <c r="E171">
        <f t="shared" si="10"/>
        <v>13</v>
      </c>
      <c r="F171">
        <f t="shared" si="11"/>
        <v>1</v>
      </c>
      <c r="G171">
        <f>VLOOKUP(E171,Sheet1!$A$2:$B$25,2,FALSE)</f>
        <v>1</v>
      </c>
    </row>
    <row r="172" spans="1:7" x14ac:dyDescent="0.25">
      <c r="A172" s="11">
        <v>44565.5625</v>
      </c>
      <c r="B172" s="10">
        <v>369.48099999999999</v>
      </c>
      <c r="C172">
        <f t="shared" si="8"/>
        <v>2</v>
      </c>
      <c r="D172">
        <f t="shared" si="9"/>
        <v>4</v>
      </c>
      <c r="E172">
        <f t="shared" si="10"/>
        <v>13</v>
      </c>
      <c r="F172">
        <f t="shared" si="11"/>
        <v>1</v>
      </c>
      <c r="G172">
        <f>VLOOKUP(E172,Sheet1!$A$2:$B$25,2,FALSE)</f>
        <v>1</v>
      </c>
    </row>
    <row r="173" spans="1:7" x14ac:dyDescent="0.25">
      <c r="A173" s="11">
        <v>44565.583333333336</v>
      </c>
      <c r="B173" s="10">
        <v>364.19600000000003</v>
      </c>
      <c r="C173">
        <f t="shared" si="8"/>
        <v>2</v>
      </c>
      <c r="D173">
        <f t="shared" si="9"/>
        <v>4</v>
      </c>
      <c r="E173">
        <f t="shared" si="10"/>
        <v>14</v>
      </c>
      <c r="F173">
        <f t="shared" si="11"/>
        <v>1</v>
      </c>
      <c r="G173">
        <f>VLOOKUP(E173,Sheet1!$A$2:$B$25,2,FALSE)</f>
        <v>1</v>
      </c>
    </row>
    <row r="174" spans="1:7" x14ac:dyDescent="0.25">
      <c r="A174" s="11">
        <v>44565.604166666664</v>
      </c>
      <c r="B174" s="10">
        <v>368.51600000000002</v>
      </c>
      <c r="C174">
        <f t="shared" si="8"/>
        <v>2</v>
      </c>
      <c r="D174">
        <f t="shared" si="9"/>
        <v>4</v>
      </c>
      <c r="E174">
        <f t="shared" si="10"/>
        <v>14</v>
      </c>
      <c r="F174">
        <f t="shared" si="11"/>
        <v>1</v>
      </c>
      <c r="G174">
        <f>VLOOKUP(E174,Sheet1!$A$2:$B$25,2,FALSE)</f>
        <v>1</v>
      </c>
    </row>
    <row r="175" spans="1:7" x14ac:dyDescent="0.25">
      <c r="A175" s="11">
        <v>44565.625</v>
      </c>
      <c r="B175" s="10">
        <v>363.14499999999998</v>
      </c>
      <c r="C175">
        <f t="shared" si="8"/>
        <v>2</v>
      </c>
      <c r="D175">
        <f t="shared" si="9"/>
        <v>4</v>
      </c>
      <c r="E175">
        <f t="shared" si="10"/>
        <v>15</v>
      </c>
      <c r="F175">
        <f t="shared" si="11"/>
        <v>1</v>
      </c>
      <c r="G175">
        <f>VLOOKUP(E175,Sheet1!$A$2:$B$25,2,FALSE)</f>
        <v>1</v>
      </c>
    </row>
    <row r="176" spans="1:7" x14ac:dyDescent="0.25">
      <c r="A176" s="11">
        <v>44565.645833333336</v>
      </c>
      <c r="B176" s="10">
        <v>347.78</v>
      </c>
      <c r="C176">
        <f t="shared" si="8"/>
        <v>2</v>
      </c>
      <c r="D176">
        <f t="shared" si="9"/>
        <v>4</v>
      </c>
      <c r="E176">
        <f t="shared" si="10"/>
        <v>15</v>
      </c>
      <c r="F176">
        <f t="shared" si="11"/>
        <v>1</v>
      </c>
      <c r="G176">
        <f>VLOOKUP(E176,Sheet1!$A$2:$B$25,2,FALSE)</f>
        <v>1</v>
      </c>
    </row>
    <row r="177" spans="1:7" x14ac:dyDescent="0.25">
      <c r="A177" s="11">
        <v>44565.666666666664</v>
      </c>
      <c r="B177" s="10">
        <v>340.58</v>
      </c>
      <c r="C177">
        <f t="shared" si="8"/>
        <v>2</v>
      </c>
      <c r="D177">
        <f t="shared" si="9"/>
        <v>4</v>
      </c>
      <c r="E177">
        <f t="shared" si="10"/>
        <v>16</v>
      </c>
      <c r="F177">
        <f t="shared" si="11"/>
        <v>1</v>
      </c>
      <c r="G177">
        <f>VLOOKUP(E177,Sheet1!$A$2:$B$25,2,FALSE)</f>
        <v>0</v>
      </c>
    </row>
    <row r="178" spans="1:7" x14ac:dyDescent="0.25">
      <c r="A178" s="11">
        <v>44565.6875</v>
      </c>
      <c r="B178" s="10">
        <v>342.86500000000001</v>
      </c>
      <c r="C178">
        <f t="shared" si="8"/>
        <v>2</v>
      </c>
      <c r="D178">
        <f t="shared" si="9"/>
        <v>4</v>
      </c>
      <c r="E178">
        <f t="shared" si="10"/>
        <v>16</v>
      </c>
      <c r="F178">
        <f t="shared" si="11"/>
        <v>1</v>
      </c>
      <c r="G178">
        <f>VLOOKUP(E178,Sheet1!$A$2:$B$25,2,FALSE)</f>
        <v>0</v>
      </c>
    </row>
    <row r="179" spans="1:7" x14ac:dyDescent="0.25">
      <c r="A179" s="11">
        <v>44565.708333333336</v>
      </c>
      <c r="B179" s="10">
        <v>343.22</v>
      </c>
      <c r="C179">
        <f t="shared" si="8"/>
        <v>2</v>
      </c>
      <c r="D179">
        <f t="shared" si="9"/>
        <v>4</v>
      </c>
      <c r="E179">
        <f t="shared" si="10"/>
        <v>17</v>
      </c>
      <c r="F179">
        <f t="shared" si="11"/>
        <v>1</v>
      </c>
      <c r="G179">
        <f>VLOOKUP(E179,Sheet1!$A$2:$B$25,2,FALSE)</f>
        <v>0</v>
      </c>
    </row>
    <row r="180" spans="1:7" x14ac:dyDescent="0.25">
      <c r="A180" s="11">
        <v>44565.729166666664</v>
      </c>
      <c r="B180" s="10">
        <v>280.19600000000003</v>
      </c>
      <c r="C180">
        <f t="shared" si="8"/>
        <v>2</v>
      </c>
      <c r="D180">
        <f t="shared" si="9"/>
        <v>4</v>
      </c>
      <c r="E180">
        <f t="shared" si="10"/>
        <v>17</v>
      </c>
      <c r="F180">
        <f t="shared" si="11"/>
        <v>1</v>
      </c>
      <c r="G180">
        <f>VLOOKUP(E180,Sheet1!$A$2:$B$25,2,FALSE)</f>
        <v>0</v>
      </c>
    </row>
    <row r="181" spans="1:7" x14ac:dyDescent="0.25">
      <c r="A181" s="11">
        <v>44565.75</v>
      </c>
      <c r="B181" s="10">
        <v>287.75599999999997</v>
      </c>
      <c r="C181">
        <f t="shared" si="8"/>
        <v>2</v>
      </c>
      <c r="D181">
        <f t="shared" si="9"/>
        <v>4</v>
      </c>
      <c r="E181">
        <f t="shared" si="10"/>
        <v>18</v>
      </c>
      <c r="F181">
        <f t="shared" si="11"/>
        <v>1</v>
      </c>
      <c r="G181">
        <f>VLOOKUP(E181,Sheet1!$A$2:$B$25,2,FALSE)</f>
        <v>0</v>
      </c>
    </row>
    <row r="182" spans="1:7" x14ac:dyDescent="0.25">
      <c r="A182" s="11">
        <v>44565.770833333336</v>
      </c>
      <c r="B182" s="10">
        <v>269.036</v>
      </c>
      <c r="C182">
        <f t="shared" si="8"/>
        <v>2</v>
      </c>
      <c r="D182">
        <f t="shared" si="9"/>
        <v>4</v>
      </c>
      <c r="E182">
        <f t="shared" si="10"/>
        <v>18</v>
      </c>
      <c r="F182">
        <f t="shared" si="11"/>
        <v>1</v>
      </c>
      <c r="G182">
        <f>VLOOKUP(E182,Sheet1!$A$2:$B$25,2,FALSE)</f>
        <v>0</v>
      </c>
    </row>
    <row r="183" spans="1:7" x14ac:dyDescent="0.25">
      <c r="A183" s="11">
        <v>44565.791666666664</v>
      </c>
      <c r="B183" s="10">
        <v>261.00099999999998</v>
      </c>
      <c r="C183">
        <f t="shared" si="8"/>
        <v>2</v>
      </c>
      <c r="D183">
        <f t="shared" si="9"/>
        <v>4</v>
      </c>
      <c r="E183">
        <f t="shared" si="10"/>
        <v>19</v>
      </c>
      <c r="F183">
        <f t="shared" si="11"/>
        <v>1</v>
      </c>
      <c r="G183">
        <f>VLOOKUP(E183,Sheet1!$A$2:$B$25,2,FALSE)</f>
        <v>0</v>
      </c>
    </row>
    <row r="184" spans="1:7" x14ac:dyDescent="0.25">
      <c r="A184" s="11">
        <v>44565.8125</v>
      </c>
      <c r="B184" s="10">
        <v>253.916</v>
      </c>
      <c r="C184">
        <f t="shared" si="8"/>
        <v>2</v>
      </c>
      <c r="D184">
        <f t="shared" si="9"/>
        <v>4</v>
      </c>
      <c r="E184">
        <f t="shared" si="10"/>
        <v>19</v>
      </c>
      <c r="F184">
        <f t="shared" si="11"/>
        <v>1</v>
      </c>
      <c r="G184">
        <f>VLOOKUP(E184,Sheet1!$A$2:$B$25,2,FALSE)</f>
        <v>0</v>
      </c>
    </row>
    <row r="185" spans="1:7" x14ac:dyDescent="0.25">
      <c r="A185" s="11">
        <v>44565.833333333336</v>
      </c>
      <c r="B185" s="10">
        <v>254.036</v>
      </c>
      <c r="C185">
        <f t="shared" si="8"/>
        <v>2</v>
      </c>
      <c r="D185">
        <f t="shared" si="9"/>
        <v>4</v>
      </c>
      <c r="E185">
        <f t="shared" si="10"/>
        <v>20</v>
      </c>
      <c r="F185">
        <f t="shared" si="11"/>
        <v>1</v>
      </c>
      <c r="G185">
        <f>VLOOKUP(E185,Sheet1!$A$2:$B$25,2,FALSE)</f>
        <v>0</v>
      </c>
    </row>
    <row r="186" spans="1:7" x14ac:dyDescent="0.25">
      <c r="A186" s="11">
        <v>44565.854166666664</v>
      </c>
      <c r="B186" s="10">
        <v>250.58500000000001</v>
      </c>
      <c r="C186">
        <f t="shared" si="8"/>
        <v>2</v>
      </c>
      <c r="D186">
        <f t="shared" si="9"/>
        <v>4</v>
      </c>
      <c r="E186">
        <f t="shared" si="10"/>
        <v>20</v>
      </c>
      <c r="F186">
        <f t="shared" si="11"/>
        <v>1</v>
      </c>
      <c r="G186">
        <f>VLOOKUP(E186,Sheet1!$A$2:$B$25,2,FALSE)</f>
        <v>0</v>
      </c>
    </row>
    <row r="187" spans="1:7" x14ac:dyDescent="0.25">
      <c r="A187" s="11">
        <v>44565.875</v>
      </c>
      <c r="B187" s="10">
        <v>250.316</v>
      </c>
      <c r="C187">
        <f t="shared" si="8"/>
        <v>2</v>
      </c>
      <c r="D187">
        <f t="shared" si="9"/>
        <v>4</v>
      </c>
      <c r="E187">
        <f t="shared" si="10"/>
        <v>21</v>
      </c>
      <c r="F187">
        <f t="shared" si="11"/>
        <v>1</v>
      </c>
      <c r="G187">
        <f>VLOOKUP(E187,Sheet1!$A$2:$B$25,2,FALSE)</f>
        <v>0</v>
      </c>
    </row>
    <row r="188" spans="1:7" x14ac:dyDescent="0.25">
      <c r="A188" s="11">
        <v>44565.895833333336</v>
      </c>
      <c r="B188" s="10">
        <v>231.5</v>
      </c>
      <c r="C188">
        <f t="shared" si="8"/>
        <v>2</v>
      </c>
      <c r="D188">
        <f t="shared" si="9"/>
        <v>4</v>
      </c>
      <c r="E188">
        <f t="shared" si="10"/>
        <v>21</v>
      </c>
      <c r="F188">
        <f t="shared" si="11"/>
        <v>1</v>
      </c>
      <c r="G188">
        <f>VLOOKUP(E188,Sheet1!$A$2:$B$25,2,FALSE)</f>
        <v>0</v>
      </c>
    </row>
    <row r="189" spans="1:7" x14ac:dyDescent="0.25">
      <c r="A189" s="11">
        <v>44565.916666666664</v>
      </c>
      <c r="B189" s="10">
        <v>229.345</v>
      </c>
      <c r="C189">
        <f t="shared" si="8"/>
        <v>2</v>
      </c>
      <c r="D189">
        <f t="shared" si="9"/>
        <v>4</v>
      </c>
      <c r="E189">
        <f t="shared" si="10"/>
        <v>22</v>
      </c>
      <c r="F189">
        <f t="shared" si="11"/>
        <v>1</v>
      </c>
      <c r="G189">
        <f>VLOOKUP(E189,Sheet1!$A$2:$B$25,2,FALSE)</f>
        <v>0</v>
      </c>
    </row>
    <row r="190" spans="1:7" x14ac:dyDescent="0.25">
      <c r="A190" s="11">
        <v>44565.9375</v>
      </c>
      <c r="B190" s="10">
        <v>233.06</v>
      </c>
      <c r="C190">
        <f t="shared" si="8"/>
        <v>2</v>
      </c>
      <c r="D190">
        <f t="shared" si="9"/>
        <v>4</v>
      </c>
      <c r="E190">
        <f t="shared" si="10"/>
        <v>22</v>
      </c>
      <c r="F190">
        <f t="shared" si="11"/>
        <v>1</v>
      </c>
      <c r="G190">
        <f>VLOOKUP(E190,Sheet1!$A$2:$B$25,2,FALSE)</f>
        <v>0</v>
      </c>
    </row>
    <row r="191" spans="1:7" x14ac:dyDescent="0.25">
      <c r="A191" s="11">
        <v>44565.958333333336</v>
      </c>
      <c r="B191" s="10">
        <v>234.62</v>
      </c>
      <c r="C191">
        <f t="shared" si="8"/>
        <v>2</v>
      </c>
      <c r="D191">
        <f t="shared" si="9"/>
        <v>4</v>
      </c>
      <c r="E191">
        <f t="shared" si="10"/>
        <v>23</v>
      </c>
      <c r="F191">
        <f t="shared" si="11"/>
        <v>1</v>
      </c>
      <c r="G191">
        <f>VLOOKUP(E191,Sheet1!$A$2:$B$25,2,FALSE)</f>
        <v>0</v>
      </c>
    </row>
    <row r="192" spans="1:7" x14ac:dyDescent="0.25">
      <c r="A192" s="11">
        <v>44565.979166666664</v>
      </c>
      <c r="B192" s="10">
        <v>228.721</v>
      </c>
      <c r="C192">
        <f t="shared" si="8"/>
        <v>2</v>
      </c>
      <c r="D192">
        <f t="shared" si="9"/>
        <v>4</v>
      </c>
      <c r="E192">
        <f t="shared" si="10"/>
        <v>23</v>
      </c>
      <c r="F192">
        <f t="shared" si="11"/>
        <v>1</v>
      </c>
      <c r="G192">
        <f>VLOOKUP(E192,Sheet1!$A$2:$B$25,2,FALSE)</f>
        <v>0</v>
      </c>
    </row>
    <row r="193" spans="1:7" x14ac:dyDescent="0.25">
      <c r="A193" s="11">
        <v>44566</v>
      </c>
      <c r="B193" s="10">
        <v>229.34</v>
      </c>
      <c r="C193">
        <f t="shared" si="8"/>
        <v>3</v>
      </c>
      <c r="D193">
        <f t="shared" si="9"/>
        <v>5</v>
      </c>
      <c r="E193">
        <f t="shared" si="10"/>
        <v>0</v>
      </c>
      <c r="F193">
        <f t="shared" si="11"/>
        <v>1</v>
      </c>
      <c r="G193">
        <f>VLOOKUP(E193,Sheet1!$A$2:$B$25,2,FALSE)</f>
        <v>0</v>
      </c>
    </row>
    <row r="194" spans="1:7" x14ac:dyDescent="0.25">
      <c r="A194" s="11">
        <v>44566.020833333336</v>
      </c>
      <c r="B194" s="10">
        <v>235.58</v>
      </c>
      <c r="C194">
        <f t="shared" ref="C194:C257" si="12">WEEKDAY(A194,2)</f>
        <v>3</v>
      </c>
      <c r="D194">
        <f t="shared" ref="D194:D257" si="13">DAY(A194)</f>
        <v>5</v>
      </c>
      <c r="E194">
        <f t="shared" ref="E194:E257" si="14">HOUR(A194)</f>
        <v>0</v>
      </c>
      <c r="F194">
        <f t="shared" si="11"/>
        <v>1</v>
      </c>
      <c r="G194">
        <f>VLOOKUP(E194,Sheet1!$A$2:$B$25,2,FALSE)</f>
        <v>0</v>
      </c>
    </row>
    <row r="195" spans="1:7" x14ac:dyDescent="0.25">
      <c r="A195" s="11">
        <v>44566.041666666664</v>
      </c>
      <c r="B195" s="10">
        <v>240.721</v>
      </c>
      <c r="C195">
        <f t="shared" si="12"/>
        <v>3</v>
      </c>
      <c r="D195">
        <f t="shared" si="13"/>
        <v>5</v>
      </c>
      <c r="E195">
        <f t="shared" si="14"/>
        <v>1</v>
      </c>
      <c r="F195">
        <f t="shared" ref="F195:F258" si="15">IF(C195&gt;=6,0,1)</f>
        <v>1</v>
      </c>
      <c r="G195">
        <f>VLOOKUP(E195,Sheet1!$A$2:$B$25,2,FALSE)</f>
        <v>0</v>
      </c>
    </row>
    <row r="196" spans="1:7" x14ac:dyDescent="0.25">
      <c r="A196" s="11">
        <v>44566.0625</v>
      </c>
      <c r="B196" s="10">
        <v>231.26</v>
      </c>
      <c r="C196">
        <f t="shared" si="12"/>
        <v>3</v>
      </c>
      <c r="D196">
        <f t="shared" si="13"/>
        <v>5</v>
      </c>
      <c r="E196">
        <f t="shared" si="14"/>
        <v>1</v>
      </c>
      <c r="F196">
        <f t="shared" si="15"/>
        <v>1</v>
      </c>
      <c r="G196">
        <f>VLOOKUP(E196,Sheet1!$A$2:$B$25,2,FALSE)</f>
        <v>0</v>
      </c>
    </row>
    <row r="197" spans="1:7" x14ac:dyDescent="0.25">
      <c r="A197" s="11">
        <v>44566.083333333336</v>
      </c>
      <c r="B197" s="10">
        <v>225.83600000000001</v>
      </c>
      <c r="C197">
        <f t="shared" si="12"/>
        <v>3</v>
      </c>
      <c r="D197">
        <f t="shared" si="13"/>
        <v>5</v>
      </c>
      <c r="E197">
        <f t="shared" si="14"/>
        <v>2</v>
      </c>
      <c r="F197">
        <f t="shared" si="15"/>
        <v>1</v>
      </c>
      <c r="G197">
        <f>VLOOKUP(E197,Sheet1!$A$2:$B$25,2,FALSE)</f>
        <v>0</v>
      </c>
    </row>
    <row r="198" spans="1:7" x14ac:dyDescent="0.25">
      <c r="A198" s="11">
        <v>44566.104166666664</v>
      </c>
      <c r="B198" s="10">
        <v>233.9</v>
      </c>
      <c r="C198">
        <f t="shared" si="12"/>
        <v>3</v>
      </c>
      <c r="D198">
        <f t="shared" si="13"/>
        <v>5</v>
      </c>
      <c r="E198">
        <f t="shared" si="14"/>
        <v>2</v>
      </c>
      <c r="F198">
        <f t="shared" si="15"/>
        <v>1</v>
      </c>
      <c r="G198">
        <f>VLOOKUP(E198,Sheet1!$A$2:$B$25,2,FALSE)</f>
        <v>0</v>
      </c>
    </row>
    <row r="199" spans="1:7" x14ac:dyDescent="0.25">
      <c r="A199" s="11">
        <v>44566.125</v>
      </c>
      <c r="B199" s="10">
        <v>236.52099999999999</v>
      </c>
      <c r="C199">
        <f t="shared" si="12"/>
        <v>3</v>
      </c>
      <c r="D199">
        <f t="shared" si="13"/>
        <v>5</v>
      </c>
      <c r="E199">
        <f t="shared" si="14"/>
        <v>3</v>
      </c>
      <c r="F199">
        <f t="shared" si="15"/>
        <v>1</v>
      </c>
      <c r="G199">
        <f>VLOOKUP(E199,Sheet1!$A$2:$B$25,2,FALSE)</f>
        <v>0</v>
      </c>
    </row>
    <row r="200" spans="1:7" x14ac:dyDescent="0.25">
      <c r="A200" s="11">
        <v>44566.145833333336</v>
      </c>
      <c r="B200" s="10">
        <v>321.5</v>
      </c>
      <c r="C200">
        <f t="shared" si="12"/>
        <v>3</v>
      </c>
      <c r="D200">
        <f t="shared" si="13"/>
        <v>5</v>
      </c>
      <c r="E200">
        <f t="shared" si="14"/>
        <v>3</v>
      </c>
      <c r="F200">
        <f t="shared" si="15"/>
        <v>1</v>
      </c>
      <c r="G200">
        <f>VLOOKUP(E200,Sheet1!$A$2:$B$25,2,FALSE)</f>
        <v>0</v>
      </c>
    </row>
    <row r="201" spans="1:7" x14ac:dyDescent="0.25">
      <c r="A201" s="11">
        <v>44566.166666666664</v>
      </c>
      <c r="B201" s="10">
        <v>252.23599999999999</v>
      </c>
      <c r="C201">
        <f t="shared" si="12"/>
        <v>3</v>
      </c>
      <c r="D201">
        <f t="shared" si="13"/>
        <v>5</v>
      </c>
      <c r="E201">
        <f t="shared" si="14"/>
        <v>4</v>
      </c>
      <c r="F201">
        <f t="shared" si="15"/>
        <v>1</v>
      </c>
      <c r="G201">
        <f>VLOOKUP(E201,Sheet1!$A$2:$B$25,2,FALSE)</f>
        <v>1</v>
      </c>
    </row>
    <row r="202" spans="1:7" x14ac:dyDescent="0.25">
      <c r="A202" s="11">
        <v>44566.1875</v>
      </c>
      <c r="B202" s="10">
        <v>252.48099999999999</v>
      </c>
      <c r="C202">
        <f t="shared" si="12"/>
        <v>3</v>
      </c>
      <c r="D202">
        <f t="shared" si="13"/>
        <v>5</v>
      </c>
      <c r="E202">
        <f t="shared" si="14"/>
        <v>4</v>
      </c>
      <c r="F202">
        <f t="shared" si="15"/>
        <v>1</v>
      </c>
      <c r="G202">
        <f>VLOOKUP(E202,Sheet1!$A$2:$B$25,2,FALSE)</f>
        <v>1</v>
      </c>
    </row>
    <row r="203" spans="1:7" x14ac:dyDescent="0.25">
      <c r="A203" s="11">
        <v>44566.208333333336</v>
      </c>
      <c r="B203" s="10">
        <v>258.74</v>
      </c>
      <c r="C203">
        <f t="shared" si="12"/>
        <v>3</v>
      </c>
      <c r="D203">
        <f t="shared" si="13"/>
        <v>5</v>
      </c>
      <c r="E203">
        <f t="shared" si="14"/>
        <v>5</v>
      </c>
      <c r="F203">
        <f t="shared" si="15"/>
        <v>1</v>
      </c>
      <c r="G203">
        <f>VLOOKUP(E203,Sheet1!$A$2:$B$25,2,FALSE)</f>
        <v>1</v>
      </c>
    </row>
    <row r="204" spans="1:7" x14ac:dyDescent="0.25">
      <c r="A204" s="11">
        <v>44566.229166666664</v>
      </c>
      <c r="B204" s="10">
        <v>282.74</v>
      </c>
      <c r="C204">
        <f t="shared" si="12"/>
        <v>3</v>
      </c>
      <c r="D204">
        <f t="shared" si="13"/>
        <v>5</v>
      </c>
      <c r="E204">
        <f t="shared" si="14"/>
        <v>5</v>
      </c>
      <c r="F204">
        <f t="shared" si="15"/>
        <v>1</v>
      </c>
      <c r="G204">
        <f>VLOOKUP(E204,Sheet1!$A$2:$B$25,2,FALSE)</f>
        <v>1</v>
      </c>
    </row>
    <row r="205" spans="1:7" x14ac:dyDescent="0.25">
      <c r="A205" s="11">
        <v>44566.25</v>
      </c>
      <c r="B205" s="10">
        <v>601.46</v>
      </c>
      <c r="C205">
        <f t="shared" si="12"/>
        <v>3</v>
      </c>
      <c r="D205">
        <f t="shared" si="13"/>
        <v>5</v>
      </c>
      <c r="E205">
        <f t="shared" si="14"/>
        <v>6</v>
      </c>
      <c r="F205">
        <f t="shared" si="15"/>
        <v>1</v>
      </c>
      <c r="G205">
        <f>VLOOKUP(E205,Sheet1!$A$2:$B$25,2,FALSE)</f>
        <v>1</v>
      </c>
    </row>
    <row r="206" spans="1:7" x14ac:dyDescent="0.25">
      <c r="A206" s="11">
        <v>44566.270833333336</v>
      </c>
      <c r="B206" s="10">
        <v>714.74</v>
      </c>
      <c r="C206">
        <f t="shared" si="12"/>
        <v>3</v>
      </c>
      <c r="D206">
        <f t="shared" si="13"/>
        <v>5</v>
      </c>
      <c r="E206">
        <f t="shared" si="14"/>
        <v>6</v>
      </c>
      <c r="F206">
        <f t="shared" si="15"/>
        <v>1</v>
      </c>
      <c r="G206">
        <f>VLOOKUP(E206,Sheet1!$A$2:$B$25,2,FALSE)</f>
        <v>1</v>
      </c>
    </row>
    <row r="207" spans="1:7" x14ac:dyDescent="0.25">
      <c r="A207" s="11">
        <v>44566.291666666664</v>
      </c>
      <c r="B207" s="10">
        <v>696.14499999999998</v>
      </c>
      <c r="C207">
        <f t="shared" si="12"/>
        <v>3</v>
      </c>
      <c r="D207">
        <f t="shared" si="13"/>
        <v>5</v>
      </c>
      <c r="E207">
        <f t="shared" si="14"/>
        <v>7</v>
      </c>
      <c r="F207">
        <f t="shared" si="15"/>
        <v>1</v>
      </c>
      <c r="G207">
        <f>VLOOKUP(E207,Sheet1!$A$2:$B$25,2,FALSE)</f>
        <v>1</v>
      </c>
    </row>
    <row r="208" spans="1:7" x14ac:dyDescent="0.25">
      <c r="A208" s="11">
        <v>44566.3125</v>
      </c>
      <c r="B208" s="10">
        <v>721.91600000000005</v>
      </c>
      <c r="C208">
        <f t="shared" si="12"/>
        <v>3</v>
      </c>
      <c r="D208">
        <f t="shared" si="13"/>
        <v>5</v>
      </c>
      <c r="E208">
        <f t="shared" si="14"/>
        <v>7</v>
      </c>
      <c r="F208">
        <f t="shared" si="15"/>
        <v>1</v>
      </c>
      <c r="G208">
        <f>VLOOKUP(E208,Sheet1!$A$2:$B$25,2,FALSE)</f>
        <v>1</v>
      </c>
    </row>
    <row r="209" spans="1:7" x14ac:dyDescent="0.25">
      <c r="A209" s="11">
        <v>44566.333333333336</v>
      </c>
      <c r="B209" s="10">
        <v>680.78</v>
      </c>
      <c r="C209">
        <f t="shared" si="12"/>
        <v>3</v>
      </c>
      <c r="D209">
        <f t="shared" si="13"/>
        <v>5</v>
      </c>
      <c r="E209">
        <f t="shared" si="14"/>
        <v>8</v>
      </c>
      <c r="F209">
        <f t="shared" si="15"/>
        <v>1</v>
      </c>
      <c r="G209">
        <f>VLOOKUP(E209,Sheet1!$A$2:$B$25,2,FALSE)</f>
        <v>1</v>
      </c>
    </row>
    <row r="210" spans="1:7" x14ac:dyDescent="0.25">
      <c r="A210" s="11">
        <v>44566.354166666664</v>
      </c>
      <c r="B210" s="10">
        <v>651.84100000000001</v>
      </c>
      <c r="C210">
        <f t="shared" si="12"/>
        <v>3</v>
      </c>
      <c r="D210">
        <f t="shared" si="13"/>
        <v>5</v>
      </c>
      <c r="E210">
        <f t="shared" si="14"/>
        <v>8</v>
      </c>
      <c r="F210">
        <f t="shared" si="15"/>
        <v>1</v>
      </c>
      <c r="G210">
        <f>VLOOKUP(E210,Sheet1!$A$2:$B$25,2,FALSE)</f>
        <v>1</v>
      </c>
    </row>
    <row r="211" spans="1:7" x14ac:dyDescent="0.25">
      <c r="A211" s="11">
        <v>44566.375</v>
      </c>
      <c r="B211" s="10">
        <v>650.15599999999995</v>
      </c>
      <c r="C211">
        <f t="shared" si="12"/>
        <v>3</v>
      </c>
      <c r="D211">
        <f t="shared" si="13"/>
        <v>5</v>
      </c>
      <c r="E211">
        <f t="shared" si="14"/>
        <v>9</v>
      </c>
      <c r="F211">
        <f t="shared" si="15"/>
        <v>1</v>
      </c>
      <c r="G211">
        <f>VLOOKUP(E211,Sheet1!$A$2:$B$25,2,FALSE)</f>
        <v>1</v>
      </c>
    </row>
    <row r="212" spans="1:7" x14ac:dyDescent="0.25">
      <c r="A212" s="11">
        <v>44566.395833333336</v>
      </c>
      <c r="B212" s="10">
        <v>666.83600000000001</v>
      </c>
      <c r="C212">
        <f t="shared" si="12"/>
        <v>3</v>
      </c>
      <c r="D212">
        <f t="shared" si="13"/>
        <v>5</v>
      </c>
      <c r="E212">
        <f t="shared" si="14"/>
        <v>9</v>
      </c>
      <c r="F212">
        <f t="shared" si="15"/>
        <v>1</v>
      </c>
      <c r="G212">
        <f>VLOOKUP(E212,Sheet1!$A$2:$B$25,2,FALSE)</f>
        <v>1</v>
      </c>
    </row>
    <row r="213" spans="1:7" x14ac:dyDescent="0.25">
      <c r="A213" s="11">
        <v>44566.416666666664</v>
      </c>
      <c r="B213" s="10">
        <v>704.28099999999995</v>
      </c>
      <c r="C213">
        <f t="shared" si="12"/>
        <v>3</v>
      </c>
      <c r="D213">
        <f t="shared" si="13"/>
        <v>5</v>
      </c>
      <c r="E213">
        <f t="shared" si="14"/>
        <v>10</v>
      </c>
      <c r="F213">
        <f t="shared" si="15"/>
        <v>1</v>
      </c>
      <c r="G213">
        <f>VLOOKUP(E213,Sheet1!$A$2:$B$25,2,FALSE)</f>
        <v>1</v>
      </c>
    </row>
    <row r="214" spans="1:7" x14ac:dyDescent="0.25">
      <c r="A214" s="11">
        <v>44566.4375</v>
      </c>
      <c r="B214" s="10">
        <v>718.79600000000005</v>
      </c>
      <c r="C214">
        <f t="shared" si="12"/>
        <v>3</v>
      </c>
      <c r="D214">
        <f t="shared" si="13"/>
        <v>5</v>
      </c>
      <c r="E214">
        <f t="shared" si="14"/>
        <v>10</v>
      </c>
      <c r="F214">
        <f t="shared" si="15"/>
        <v>1</v>
      </c>
      <c r="G214">
        <f>VLOOKUP(E214,Sheet1!$A$2:$B$25,2,FALSE)</f>
        <v>1</v>
      </c>
    </row>
    <row r="215" spans="1:7" x14ac:dyDescent="0.25">
      <c r="A215" s="11">
        <v>44566.458333333336</v>
      </c>
      <c r="B215" s="10">
        <v>691.82</v>
      </c>
      <c r="C215">
        <f t="shared" si="12"/>
        <v>3</v>
      </c>
      <c r="D215">
        <f t="shared" si="13"/>
        <v>5</v>
      </c>
      <c r="E215">
        <f t="shared" si="14"/>
        <v>11</v>
      </c>
      <c r="F215">
        <f t="shared" si="15"/>
        <v>1</v>
      </c>
      <c r="G215">
        <f>VLOOKUP(E215,Sheet1!$A$2:$B$25,2,FALSE)</f>
        <v>1</v>
      </c>
    </row>
    <row r="216" spans="1:7" x14ac:dyDescent="0.25">
      <c r="A216" s="11">
        <v>44566.479166666664</v>
      </c>
      <c r="B216" s="10">
        <v>692.54</v>
      </c>
      <c r="C216">
        <f t="shared" si="12"/>
        <v>3</v>
      </c>
      <c r="D216">
        <f t="shared" si="13"/>
        <v>5</v>
      </c>
      <c r="E216">
        <f t="shared" si="14"/>
        <v>11</v>
      </c>
      <c r="F216">
        <f t="shared" si="15"/>
        <v>1</v>
      </c>
      <c r="G216">
        <f>VLOOKUP(E216,Sheet1!$A$2:$B$25,2,FALSE)</f>
        <v>1</v>
      </c>
    </row>
    <row r="217" spans="1:7" x14ac:dyDescent="0.25">
      <c r="A217" s="11">
        <v>44566.5</v>
      </c>
      <c r="B217" s="10">
        <v>687.476</v>
      </c>
      <c r="C217">
        <f t="shared" si="12"/>
        <v>3</v>
      </c>
      <c r="D217">
        <f t="shared" si="13"/>
        <v>5</v>
      </c>
      <c r="E217">
        <f t="shared" si="14"/>
        <v>12</v>
      </c>
      <c r="F217">
        <f t="shared" si="15"/>
        <v>1</v>
      </c>
      <c r="G217">
        <f>VLOOKUP(E217,Sheet1!$A$2:$B$25,2,FALSE)</f>
        <v>1</v>
      </c>
    </row>
    <row r="218" spans="1:7" x14ac:dyDescent="0.25">
      <c r="A218" s="11">
        <v>44566.520833333336</v>
      </c>
      <c r="B218" s="10">
        <v>645.745</v>
      </c>
      <c r="C218">
        <f t="shared" si="12"/>
        <v>3</v>
      </c>
      <c r="D218">
        <f t="shared" si="13"/>
        <v>5</v>
      </c>
      <c r="E218">
        <f t="shared" si="14"/>
        <v>12</v>
      </c>
      <c r="F218">
        <f t="shared" si="15"/>
        <v>1</v>
      </c>
      <c r="G218">
        <f>VLOOKUP(E218,Sheet1!$A$2:$B$25,2,FALSE)</f>
        <v>1</v>
      </c>
    </row>
    <row r="219" spans="1:7" x14ac:dyDescent="0.25">
      <c r="A219" s="11">
        <v>44566.541666666664</v>
      </c>
      <c r="B219" s="10">
        <v>634.31600000000003</v>
      </c>
      <c r="C219">
        <f t="shared" si="12"/>
        <v>3</v>
      </c>
      <c r="D219">
        <f t="shared" si="13"/>
        <v>5</v>
      </c>
      <c r="E219">
        <f t="shared" si="14"/>
        <v>13</v>
      </c>
      <c r="F219">
        <f t="shared" si="15"/>
        <v>1</v>
      </c>
      <c r="G219">
        <f>VLOOKUP(E219,Sheet1!$A$2:$B$25,2,FALSE)</f>
        <v>1</v>
      </c>
    </row>
    <row r="220" spans="1:7" x14ac:dyDescent="0.25">
      <c r="A220" s="11">
        <v>44566.5625</v>
      </c>
      <c r="B220" s="10">
        <v>575.29999999999995</v>
      </c>
      <c r="C220">
        <f t="shared" si="12"/>
        <v>3</v>
      </c>
      <c r="D220">
        <f t="shared" si="13"/>
        <v>5</v>
      </c>
      <c r="E220">
        <f t="shared" si="14"/>
        <v>13</v>
      </c>
      <c r="F220">
        <f t="shared" si="15"/>
        <v>1</v>
      </c>
      <c r="G220">
        <f>VLOOKUP(E220,Sheet1!$A$2:$B$25,2,FALSE)</f>
        <v>1</v>
      </c>
    </row>
    <row r="221" spans="1:7" x14ac:dyDescent="0.25">
      <c r="A221" s="11">
        <v>44566.583333333336</v>
      </c>
      <c r="B221" s="10">
        <v>401.185</v>
      </c>
      <c r="C221">
        <f t="shared" si="12"/>
        <v>3</v>
      </c>
      <c r="D221">
        <f t="shared" si="13"/>
        <v>5</v>
      </c>
      <c r="E221">
        <f t="shared" si="14"/>
        <v>14</v>
      </c>
      <c r="F221">
        <f t="shared" si="15"/>
        <v>1</v>
      </c>
      <c r="G221">
        <f>VLOOKUP(E221,Sheet1!$A$2:$B$25,2,FALSE)</f>
        <v>1</v>
      </c>
    </row>
    <row r="222" spans="1:7" x14ac:dyDescent="0.25">
      <c r="A222" s="11">
        <v>44566.604166666664</v>
      </c>
      <c r="B222" s="10">
        <v>371.75599999999997</v>
      </c>
      <c r="C222">
        <f t="shared" si="12"/>
        <v>3</v>
      </c>
      <c r="D222">
        <f t="shared" si="13"/>
        <v>5</v>
      </c>
      <c r="E222">
        <f t="shared" si="14"/>
        <v>14</v>
      </c>
      <c r="F222">
        <f t="shared" si="15"/>
        <v>1</v>
      </c>
      <c r="G222">
        <f>VLOOKUP(E222,Sheet1!$A$2:$B$25,2,FALSE)</f>
        <v>1</v>
      </c>
    </row>
    <row r="223" spans="1:7" x14ac:dyDescent="0.25">
      <c r="A223" s="11">
        <v>44566.625</v>
      </c>
      <c r="B223" s="10">
        <v>351.02</v>
      </c>
      <c r="C223">
        <f t="shared" si="12"/>
        <v>3</v>
      </c>
      <c r="D223">
        <f t="shared" si="13"/>
        <v>5</v>
      </c>
      <c r="E223">
        <f t="shared" si="14"/>
        <v>15</v>
      </c>
      <c r="F223">
        <f t="shared" si="15"/>
        <v>1</v>
      </c>
      <c r="G223">
        <f>VLOOKUP(E223,Sheet1!$A$2:$B$25,2,FALSE)</f>
        <v>1</v>
      </c>
    </row>
    <row r="224" spans="1:7" x14ac:dyDescent="0.25">
      <c r="A224" s="11">
        <v>44566.645833333336</v>
      </c>
      <c r="B224" s="10">
        <v>346.94499999999999</v>
      </c>
      <c r="C224">
        <f t="shared" si="12"/>
        <v>3</v>
      </c>
      <c r="D224">
        <f t="shared" si="13"/>
        <v>5</v>
      </c>
      <c r="E224">
        <f t="shared" si="14"/>
        <v>15</v>
      </c>
      <c r="F224">
        <f t="shared" si="15"/>
        <v>1</v>
      </c>
      <c r="G224">
        <f>VLOOKUP(E224,Sheet1!$A$2:$B$25,2,FALSE)</f>
        <v>1</v>
      </c>
    </row>
    <row r="225" spans="1:7" x14ac:dyDescent="0.25">
      <c r="A225" s="11">
        <v>44566.666666666664</v>
      </c>
      <c r="B225" s="10">
        <v>338.75599999999997</v>
      </c>
      <c r="C225">
        <f t="shared" si="12"/>
        <v>3</v>
      </c>
      <c r="D225">
        <f t="shared" si="13"/>
        <v>5</v>
      </c>
      <c r="E225">
        <f t="shared" si="14"/>
        <v>16</v>
      </c>
      <c r="F225">
        <f t="shared" si="15"/>
        <v>1</v>
      </c>
      <c r="G225">
        <f>VLOOKUP(E225,Sheet1!$A$2:$B$25,2,FALSE)</f>
        <v>0</v>
      </c>
    </row>
    <row r="226" spans="1:7" x14ac:dyDescent="0.25">
      <c r="A226" s="11">
        <v>44566.6875</v>
      </c>
      <c r="B226" s="10">
        <v>337.07600000000002</v>
      </c>
      <c r="C226">
        <f t="shared" si="12"/>
        <v>3</v>
      </c>
      <c r="D226">
        <f t="shared" si="13"/>
        <v>5</v>
      </c>
      <c r="E226">
        <f t="shared" si="14"/>
        <v>16</v>
      </c>
      <c r="F226">
        <f t="shared" si="15"/>
        <v>1</v>
      </c>
      <c r="G226">
        <f>VLOOKUP(E226,Sheet1!$A$2:$B$25,2,FALSE)</f>
        <v>0</v>
      </c>
    </row>
    <row r="227" spans="1:7" x14ac:dyDescent="0.25">
      <c r="A227" s="11">
        <v>44566.708333333336</v>
      </c>
      <c r="B227" s="10">
        <v>333.505</v>
      </c>
      <c r="C227">
        <f t="shared" si="12"/>
        <v>3</v>
      </c>
      <c r="D227">
        <f t="shared" si="13"/>
        <v>5</v>
      </c>
      <c r="E227">
        <f t="shared" si="14"/>
        <v>17</v>
      </c>
      <c r="F227">
        <f t="shared" si="15"/>
        <v>1</v>
      </c>
      <c r="G227">
        <f>VLOOKUP(E227,Sheet1!$A$2:$B$25,2,FALSE)</f>
        <v>0</v>
      </c>
    </row>
    <row r="228" spans="1:7" x14ac:dyDescent="0.25">
      <c r="A228" s="11">
        <v>44566.729166666664</v>
      </c>
      <c r="B228" s="10">
        <v>289.58</v>
      </c>
      <c r="C228">
        <f t="shared" si="12"/>
        <v>3</v>
      </c>
      <c r="D228">
        <f t="shared" si="13"/>
        <v>5</v>
      </c>
      <c r="E228">
        <f t="shared" si="14"/>
        <v>17</v>
      </c>
      <c r="F228">
        <f t="shared" si="15"/>
        <v>1</v>
      </c>
      <c r="G228">
        <f>VLOOKUP(E228,Sheet1!$A$2:$B$25,2,FALSE)</f>
        <v>0</v>
      </c>
    </row>
    <row r="229" spans="1:7" x14ac:dyDescent="0.25">
      <c r="A229" s="11">
        <v>44566.75</v>
      </c>
      <c r="B229" s="10">
        <v>290.89999999999998</v>
      </c>
      <c r="C229">
        <f t="shared" si="12"/>
        <v>3</v>
      </c>
      <c r="D229">
        <f t="shared" si="13"/>
        <v>5</v>
      </c>
      <c r="E229">
        <f t="shared" si="14"/>
        <v>18</v>
      </c>
      <c r="F229">
        <f t="shared" si="15"/>
        <v>1</v>
      </c>
      <c r="G229">
        <f>VLOOKUP(E229,Sheet1!$A$2:$B$25,2,FALSE)</f>
        <v>0</v>
      </c>
    </row>
    <row r="230" spans="1:7" x14ac:dyDescent="0.25">
      <c r="A230" s="11">
        <v>44566.770833333336</v>
      </c>
      <c r="B230" s="10">
        <v>285.596</v>
      </c>
      <c r="C230">
        <f t="shared" si="12"/>
        <v>3</v>
      </c>
      <c r="D230">
        <f t="shared" si="13"/>
        <v>5</v>
      </c>
      <c r="E230">
        <f t="shared" si="14"/>
        <v>18</v>
      </c>
      <c r="F230">
        <f t="shared" si="15"/>
        <v>1</v>
      </c>
      <c r="G230">
        <f>VLOOKUP(E230,Sheet1!$A$2:$B$25,2,FALSE)</f>
        <v>0</v>
      </c>
    </row>
    <row r="231" spans="1:7" x14ac:dyDescent="0.25">
      <c r="A231" s="11">
        <v>44566.791666666664</v>
      </c>
      <c r="B231" s="10">
        <v>283.79599999999999</v>
      </c>
      <c r="C231">
        <f t="shared" si="12"/>
        <v>3</v>
      </c>
      <c r="D231">
        <f t="shared" si="13"/>
        <v>5</v>
      </c>
      <c r="E231">
        <f t="shared" si="14"/>
        <v>19</v>
      </c>
      <c r="F231">
        <f t="shared" si="15"/>
        <v>1</v>
      </c>
      <c r="G231">
        <f>VLOOKUP(E231,Sheet1!$A$2:$B$25,2,FALSE)</f>
        <v>0</v>
      </c>
    </row>
    <row r="232" spans="1:7" x14ac:dyDescent="0.25">
      <c r="A232" s="11">
        <v>44566.8125</v>
      </c>
      <c r="B232" s="10">
        <v>267.96100000000001</v>
      </c>
      <c r="C232">
        <f t="shared" si="12"/>
        <v>3</v>
      </c>
      <c r="D232">
        <f t="shared" si="13"/>
        <v>5</v>
      </c>
      <c r="E232">
        <f t="shared" si="14"/>
        <v>19</v>
      </c>
      <c r="F232">
        <f t="shared" si="15"/>
        <v>1</v>
      </c>
      <c r="G232">
        <f>VLOOKUP(E232,Sheet1!$A$2:$B$25,2,FALSE)</f>
        <v>0</v>
      </c>
    </row>
    <row r="233" spans="1:7" x14ac:dyDescent="0.25">
      <c r="A233" s="11">
        <v>44566.833333333336</v>
      </c>
      <c r="B233" s="10">
        <v>261.98</v>
      </c>
      <c r="C233">
        <f t="shared" si="12"/>
        <v>3</v>
      </c>
      <c r="D233">
        <f t="shared" si="13"/>
        <v>5</v>
      </c>
      <c r="E233">
        <f t="shared" si="14"/>
        <v>20</v>
      </c>
      <c r="F233">
        <f t="shared" si="15"/>
        <v>1</v>
      </c>
      <c r="G233">
        <f>VLOOKUP(E233,Sheet1!$A$2:$B$25,2,FALSE)</f>
        <v>0</v>
      </c>
    </row>
    <row r="234" spans="1:7" x14ac:dyDescent="0.25">
      <c r="A234" s="11">
        <v>44566.854166666664</v>
      </c>
      <c r="B234" s="10">
        <v>259.31599999999997</v>
      </c>
      <c r="C234">
        <f t="shared" si="12"/>
        <v>3</v>
      </c>
      <c r="D234">
        <f t="shared" si="13"/>
        <v>5</v>
      </c>
      <c r="E234">
        <f t="shared" si="14"/>
        <v>20</v>
      </c>
      <c r="F234">
        <f t="shared" si="15"/>
        <v>1</v>
      </c>
      <c r="G234">
        <f>VLOOKUP(E234,Sheet1!$A$2:$B$25,2,FALSE)</f>
        <v>0</v>
      </c>
    </row>
    <row r="235" spans="1:7" x14ac:dyDescent="0.25">
      <c r="A235" s="11">
        <v>44566.875</v>
      </c>
      <c r="B235" s="10">
        <v>254.78</v>
      </c>
      <c r="C235">
        <f t="shared" si="12"/>
        <v>3</v>
      </c>
      <c r="D235">
        <f t="shared" si="13"/>
        <v>5</v>
      </c>
      <c r="E235">
        <f t="shared" si="14"/>
        <v>21</v>
      </c>
      <c r="F235">
        <f t="shared" si="15"/>
        <v>1</v>
      </c>
      <c r="G235">
        <f>VLOOKUP(E235,Sheet1!$A$2:$B$25,2,FALSE)</f>
        <v>0</v>
      </c>
    </row>
    <row r="236" spans="1:7" x14ac:dyDescent="0.25">
      <c r="A236" s="11">
        <v>44566.895833333336</v>
      </c>
      <c r="B236" s="10">
        <v>240.62</v>
      </c>
      <c r="C236">
        <f t="shared" si="12"/>
        <v>3</v>
      </c>
      <c r="D236">
        <f t="shared" si="13"/>
        <v>5</v>
      </c>
      <c r="E236">
        <f t="shared" si="14"/>
        <v>21</v>
      </c>
      <c r="F236">
        <f t="shared" si="15"/>
        <v>1</v>
      </c>
      <c r="G236">
        <f>VLOOKUP(E236,Sheet1!$A$2:$B$25,2,FALSE)</f>
        <v>0</v>
      </c>
    </row>
    <row r="237" spans="1:7" x14ac:dyDescent="0.25">
      <c r="A237" s="11">
        <v>44566.916666666664</v>
      </c>
      <c r="B237" s="10">
        <v>235.7</v>
      </c>
      <c r="C237">
        <f t="shared" si="12"/>
        <v>3</v>
      </c>
      <c r="D237">
        <f t="shared" si="13"/>
        <v>5</v>
      </c>
      <c r="E237">
        <f t="shared" si="14"/>
        <v>22</v>
      </c>
      <c r="F237">
        <f t="shared" si="15"/>
        <v>1</v>
      </c>
      <c r="G237">
        <f>VLOOKUP(E237,Sheet1!$A$2:$B$25,2,FALSE)</f>
        <v>0</v>
      </c>
    </row>
    <row r="238" spans="1:7" x14ac:dyDescent="0.25">
      <c r="A238" s="11">
        <v>44566.9375</v>
      </c>
      <c r="B238" s="10">
        <v>235.56100000000001</v>
      </c>
      <c r="C238">
        <f t="shared" si="12"/>
        <v>3</v>
      </c>
      <c r="D238">
        <f t="shared" si="13"/>
        <v>5</v>
      </c>
      <c r="E238">
        <f t="shared" si="14"/>
        <v>22</v>
      </c>
      <c r="F238">
        <f t="shared" si="15"/>
        <v>1</v>
      </c>
      <c r="G238">
        <f>VLOOKUP(E238,Sheet1!$A$2:$B$25,2,FALSE)</f>
        <v>0</v>
      </c>
    </row>
    <row r="239" spans="1:7" x14ac:dyDescent="0.25">
      <c r="A239" s="11">
        <v>44566.958333333336</v>
      </c>
      <c r="B239" s="10">
        <v>241.67599999999999</v>
      </c>
      <c r="C239">
        <f t="shared" si="12"/>
        <v>3</v>
      </c>
      <c r="D239">
        <f t="shared" si="13"/>
        <v>5</v>
      </c>
      <c r="E239">
        <f t="shared" si="14"/>
        <v>23</v>
      </c>
      <c r="F239">
        <f t="shared" si="15"/>
        <v>1</v>
      </c>
      <c r="G239">
        <f>VLOOKUP(E239,Sheet1!$A$2:$B$25,2,FALSE)</f>
        <v>0</v>
      </c>
    </row>
    <row r="240" spans="1:7" x14ac:dyDescent="0.25">
      <c r="A240" s="11">
        <v>44566.979166666664</v>
      </c>
      <c r="B240" s="10">
        <v>235.94</v>
      </c>
      <c r="C240">
        <f t="shared" si="12"/>
        <v>3</v>
      </c>
      <c r="D240">
        <f t="shared" si="13"/>
        <v>5</v>
      </c>
      <c r="E240">
        <f t="shared" si="14"/>
        <v>23</v>
      </c>
      <c r="F240">
        <f t="shared" si="15"/>
        <v>1</v>
      </c>
      <c r="G240">
        <f>VLOOKUP(E240,Sheet1!$A$2:$B$25,2,FALSE)</f>
        <v>0</v>
      </c>
    </row>
    <row r="241" spans="1:7" x14ac:dyDescent="0.25">
      <c r="A241" s="11">
        <v>44567</v>
      </c>
      <c r="B241" s="10">
        <v>234.596</v>
      </c>
      <c r="C241">
        <f t="shared" si="12"/>
        <v>4</v>
      </c>
      <c r="D241">
        <f t="shared" si="13"/>
        <v>6</v>
      </c>
      <c r="E241">
        <f t="shared" si="14"/>
        <v>0</v>
      </c>
      <c r="F241">
        <f t="shared" si="15"/>
        <v>1</v>
      </c>
      <c r="G241">
        <f>VLOOKUP(E241,Sheet1!$A$2:$B$25,2,FALSE)</f>
        <v>0</v>
      </c>
    </row>
    <row r="242" spans="1:7" x14ac:dyDescent="0.25">
      <c r="A242" s="11">
        <v>44567.020833333336</v>
      </c>
      <c r="B242" s="10">
        <v>239.756</v>
      </c>
      <c r="C242">
        <f t="shared" si="12"/>
        <v>4</v>
      </c>
      <c r="D242">
        <f t="shared" si="13"/>
        <v>6</v>
      </c>
      <c r="E242">
        <f t="shared" si="14"/>
        <v>0</v>
      </c>
      <c r="F242">
        <f t="shared" si="15"/>
        <v>1</v>
      </c>
      <c r="G242">
        <f>VLOOKUP(E242,Sheet1!$A$2:$B$25,2,FALSE)</f>
        <v>0</v>
      </c>
    </row>
    <row r="243" spans="1:7" x14ac:dyDescent="0.25">
      <c r="A243" s="11">
        <v>44567.041666666664</v>
      </c>
      <c r="B243" s="10">
        <v>237.26</v>
      </c>
      <c r="C243">
        <f t="shared" si="12"/>
        <v>4</v>
      </c>
      <c r="D243">
        <f t="shared" si="13"/>
        <v>6</v>
      </c>
      <c r="E243">
        <f t="shared" si="14"/>
        <v>1</v>
      </c>
      <c r="F243">
        <f t="shared" si="15"/>
        <v>1</v>
      </c>
      <c r="G243">
        <f>VLOOKUP(E243,Sheet1!$A$2:$B$25,2,FALSE)</f>
        <v>0</v>
      </c>
    </row>
    <row r="244" spans="1:7" x14ac:dyDescent="0.25">
      <c r="A244" s="11">
        <v>44567.0625</v>
      </c>
      <c r="B244" s="10">
        <v>234.505</v>
      </c>
      <c r="C244">
        <f t="shared" si="12"/>
        <v>4</v>
      </c>
      <c r="D244">
        <f t="shared" si="13"/>
        <v>6</v>
      </c>
      <c r="E244">
        <f t="shared" si="14"/>
        <v>1</v>
      </c>
      <c r="F244">
        <f t="shared" si="15"/>
        <v>1</v>
      </c>
      <c r="G244">
        <f>VLOOKUP(E244,Sheet1!$A$2:$B$25,2,FALSE)</f>
        <v>0</v>
      </c>
    </row>
    <row r="245" spans="1:7" x14ac:dyDescent="0.25">
      <c r="A245" s="11">
        <v>44567.083333333336</v>
      </c>
      <c r="B245" s="10">
        <v>236.036</v>
      </c>
      <c r="C245">
        <f t="shared" si="12"/>
        <v>4</v>
      </c>
      <c r="D245">
        <f t="shared" si="13"/>
        <v>6</v>
      </c>
      <c r="E245">
        <f t="shared" si="14"/>
        <v>2</v>
      </c>
      <c r="F245">
        <f t="shared" si="15"/>
        <v>1</v>
      </c>
      <c r="G245">
        <f>VLOOKUP(E245,Sheet1!$A$2:$B$25,2,FALSE)</f>
        <v>0</v>
      </c>
    </row>
    <row r="246" spans="1:7" x14ac:dyDescent="0.25">
      <c r="A246" s="11">
        <v>44567.104166666664</v>
      </c>
      <c r="B246" s="10">
        <v>237.62</v>
      </c>
      <c r="C246">
        <f t="shared" si="12"/>
        <v>4</v>
      </c>
      <c r="D246">
        <f t="shared" si="13"/>
        <v>6</v>
      </c>
      <c r="E246">
        <f t="shared" si="14"/>
        <v>2</v>
      </c>
      <c r="F246">
        <f t="shared" si="15"/>
        <v>1</v>
      </c>
      <c r="G246">
        <f>VLOOKUP(E246,Sheet1!$A$2:$B$25,2,FALSE)</f>
        <v>0</v>
      </c>
    </row>
    <row r="247" spans="1:7" x14ac:dyDescent="0.25">
      <c r="A247" s="11">
        <v>44567.125</v>
      </c>
      <c r="B247" s="10">
        <v>259.82499999999999</v>
      </c>
      <c r="C247">
        <f t="shared" si="12"/>
        <v>4</v>
      </c>
      <c r="D247">
        <f t="shared" si="13"/>
        <v>6</v>
      </c>
      <c r="E247">
        <f t="shared" si="14"/>
        <v>3</v>
      </c>
      <c r="F247">
        <f t="shared" si="15"/>
        <v>1</v>
      </c>
      <c r="G247">
        <f>VLOOKUP(E247,Sheet1!$A$2:$B$25,2,FALSE)</f>
        <v>0</v>
      </c>
    </row>
    <row r="248" spans="1:7" x14ac:dyDescent="0.25">
      <c r="A248" s="11">
        <v>44567.145833333336</v>
      </c>
      <c r="B248" s="10">
        <v>395.63600000000002</v>
      </c>
      <c r="C248">
        <f t="shared" si="12"/>
        <v>4</v>
      </c>
      <c r="D248">
        <f t="shared" si="13"/>
        <v>6</v>
      </c>
      <c r="E248">
        <f t="shared" si="14"/>
        <v>3</v>
      </c>
      <c r="F248">
        <f t="shared" si="15"/>
        <v>1</v>
      </c>
      <c r="G248">
        <f>VLOOKUP(E248,Sheet1!$A$2:$B$25,2,FALSE)</f>
        <v>0</v>
      </c>
    </row>
    <row r="249" spans="1:7" x14ac:dyDescent="0.25">
      <c r="A249" s="11">
        <v>44567.166666666664</v>
      </c>
      <c r="B249" s="10">
        <v>286.79599999999999</v>
      </c>
      <c r="C249">
        <f t="shared" si="12"/>
        <v>4</v>
      </c>
      <c r="D249">
        <f t="shared" si="13"/>
        <v>6</v>
      </c>
      <c r="E249">
        <f t="shared" si="14"/>
        <v>4</v>
      </c>
      <c r="F249">
        <f t="shared" si="15"/>
        <v>1</v>
      </c>
      <c r="G249">
        <f>VLOOKUP(E249,Sheet1!$A$2:$B$25,2,FALSE)</f>
        <v>1</v>
      </c>
    </row>
    <row r="250" spans="1:7" x14ac:dyDescent="0.25">
      <c r="A250" s="11">
        <v>44567.1875</v>
      </c>
      <c r="B250" s="10">
        <v>416.161</v>
      </c>
      <c r="C250">
        <f t="shared" si="12"/>
        <v>4</v>
      </c>
      <c r="D250">
        <f t="shared" si="13"/>
        <v>6</v>
      </c>
      <c r="E250">
        <f t="shared" si="14"/>
        <v>4</v>
      </c>
      <c r="F250">
        <f t="shared" si="15"/>
        <v>1</v>
      </c>
      <c r="G250">
        <f>VLOOKUP(E250,Sheet1!$A$2:$B$25,2,FALSE)</f>
        <v>1</v>
      </c>
    </row>
    <row r="251" spans="1:7" x14ac:dyDescent="0.25">
      <c r="A251" s="11">
        <v>44567.208333333336</v>
      </c>
      <c r="B251" s="10">
        <v>307.07600000000002</v>
      </c>
      <c r="C251">
        <f t="shared" si="12"/>
        <v>4</v>
      </c>
      <c r="D251">
        <f t="shared" si="13"/>
        <v>6</v>
      </c>
      <c r="E251">
        <f t="shared" si="14"/>
        <v>5</v>
      </c>
      <c r="F251">
        <f t="shared" si="15"/>
        <v>1</v>
      </c>
      <c r="G251">
        <f>VLOOKUP(E251,Sheet1!$A$2:$B$25,2,FALSE)</f>
        <v>1</v>
      </c>
    </row>
    <row r="252" spans="1:7" x14ac:dyDescent="0.25">
      <c r="A252" s="11">
        <v>44567.229166666664</v>
      </c>
      <c r="B252" s="10">
        <v>311.30500000000001</v>
      </c>
      <c r="C252">
        <f t="shared" si="12"/>
        <v>4</v>
      </c>
      <c r="D252">
        <f t="shared" si="13"/>
        <v>6</v>
      </c>
      <c r="E252">
        <f t="shared" si="14"/>
        <v>5</v>
      </c>
      <c r="F252">
        <f t="shared" si="15"/>
        <v>1</v>
      </c>
      <c r="G252">
        <f>VLOOKUP(E252,Sheet1!$A$2:$B$25,2,FALSE)</f>
        <v>1</v>
      </c>
    </row>
    <row r="253" spans="1:7" x14ac:dyDescent="0.25">
      <c r="A253" s="11">
        <v>44567.25</v>
      </c>
      <c r="B253" s="10">
        <v>707.27599999999995</v>
      </c>
      <c r="C253">
        <f t="shared" si="12"/>
        <v>4</v>
      </c>
      <c r="D253">
        <f t="shared" si="13"/>
        <v>6</v>
      </c>
      <c r="E253">
        <f t="shared" si="14"/>
        <v>6</v>
      </c>
      <c r="F253">
        <f t="shared" si="15"/>
        <v>1</v>
      </c>
      <c r="G253">
        <f>VLOOKUP(E253,Sheet1!$A$2:$B$25,2,FALSE)</f>
        <v>1</v>
      </c>
    </row>
    <row r="254" spans="1:7" x14ac:dyDescent="0.25">
      <c r="A254" s="11">
        <v>44567.270833333336</v>
      </c>
      <c r="B254" s="10">
        <v>780.14</v>
      </c>
      <c r="C254">
        <f t="shared" si="12"/>
        <v>4</v>
      </c>
      <c r="D254">
        <f t="shared" si="13"/>
        <v>6</v>
      </c>
      <c r="E254">
        <f t="shared" si="14"/>
        <v>6</v>
      </c>
      <c r="F254">
        <f t="shared" si="15"/>
        <v>1</v>
      </c>
      <c r="G254">
        <f>VLOOKUP(E254,Sheet1!$A$2:$B$25,2,FALSE)</f>
        <v>1</v>
      </c>
    </row>
    <row r="255" spans="1:7" x14ac:dyDescent="0.25">
      <c r="A255" s="11">
        <v>44567.291666666664</v>
      </c>
      <c r="B255" s="10">
        <v>732.48099999999999</v>
      </c>
      <c r="C255">
        <f t="shared" si="12"/>
        <v>4</v>
      </c>
      <c r="D255">
        <f t="shared" si="13"/>
        <v>6</v>
      </c>
      <c r="E255">
        <f t="shared" si="14"/>
        <v>7</v>
      </c>
      <c r="F255">
        <f t="shared" si="15"/>
        <v>1</v>
      </c>
      <c r="G255">
        <f>VLOOKUP(E255,Sheet1!$A$2:$B$25,2,FALSE)</f>
        <v>1</v>
      </c>
    </row>
    <row r="256" spans="1:7" x14ac:dyDescent="0.25">
      <c r="A256" s="11">
        <v>44567.3125</v>
      </c>
      <c r="B256" s="10">
        <v>688.34</v>
      </c>
      <c r="C256">
        <f t="shared" si="12"/>
        <v>4</v>
      </c>
      <c r="D256">
        <f t="shared" si="13"/>
        <v>6</v>
      </c>
      <c r="E256">
        <f t="shared" si="14"/>
        <v>7</v>
      </c>
      <c r="F256">
        <f t="shared" si="15"/>
        <v>1</v>
      </c>
      <c r="G256">
        <f>VLOOKUP(E256,Sheet1!$A$2:$B$25,2,FALSE)</f>
        <v>1</v>
      </c>
    </row>
    <row r="257" spans="1:7" x14ac:dyDescent="0.25">
      <c r="A257" s="11">
        <v>44567.333333333336</v>
      </c>
      <c r="B257" s="10">
        <v>721.34500000000003</v>
      </c>
      <c r="C257">
        <f t="shared" si="12"/>
        <v>4</v>
      </c>
      <c r="D257">
        <f t="shared" si="13"/>
        <v>6</v>
      </c>
      <c r="E257">
        <f t="shared" si="14"/>
        <v>8</v>
      </c>
      <c r="F257">
        <f t="shared" si="15"/>
        <v>1</v>
      </c>
      <c r="G257">
        <f>VLOOKUP(E257,Sheet1!$A$2:$B$25,2,FALSE)</f>
        <v>1</v>
      </c>
    </row>
    <row r="258" spans="1:7" x14ac:dyDescent="0.25">
      <c r="A258" s="11">
        <v>44567.354166666664</v>
      </c>
      <c r="B258" s="10">
        <v>742.58</v>
      </c>
      <c r="C258">
        <f t="shared" ref="C258:C321" si="16">WEEKDAY(A258,2)</f>
        <v>4</v>
      </c>
      <c r="D258">
        <f t="shared" ref="D258:D321" si="17">DAY(A258)</f>
        <v>6</v>
      </c>
      <c r="E258">
        <f t="shared" ref="E258:E321" si="18">HOUR(A258)</f>
        <v>8</v>
      </c>
      <c r="F258">
        <f t="shared" si="15"/>
        <v>1</v>
      </c>
      <c r="G258">
        <f>VLOOKUP(E258,Sheet1!$A$2:$B$25,2,FALSE)</f>
        <v>1</v>
      </c>
    </row>
    <row r="259" spans="1:7" x14ac:dyDescent="0.25">
      <c r="A259" s="11">
        <v>44567.375</v>
      </c>
      <c r="B259" s="10">
        <v>771.35599999999999</v>
      </c>
      <c r="C259">
        <f t="shared" si="16"/>
        <v>4</v>
      </c>
      <c r="D259">
        <f t="shared" si="17"/>
        <v>6</v>
      </c>
      <c r="E259">
        <f t="shared" si="18"/>
        <v>9</v>
      </c>
      <c r="F259">
        <f t="shared" ref="F259:F322" si="19">IF(C259&gt;=6,0,1)</f>
        <v>1</v>
      </c>
      <c r="G259">
        <f>VLOOKUP(E259,Sheet1!$A$2:$B$25,2,FALSE)</f>
        <v>1</v>
      </c>
    </row>
    <row r="260" spans="1:7" x14ac:dyDescent="0.25">
      <c r="A260" s="11">
        <v>44567.395833333336</v>
      </c>
      <c r="B260" s="10">
        <v>807.84100000000001</v>
      </c>
      <c r="C260">
        <f t="shared" si="16"/>
        <v>4</v>
      </c>
      <c r="D260">
        <f t="shared" si="17"/>
        <v>6</v>
      </c>
      <c r="E260">
        <f t="shared" si="18"/>
        <v>9</v>
      </c>
      <c r="F260">
        <f t="shared" si="19"/>
        <v>1</v>
      </c>
      <c r="G260">
        <f>VLOOKUP(E260,Sheet1!$A$2:$B$25,2,FALSE)</f>
        <v>1</v>
      </c>
    </row>
    <row r="261" spans="1:7" x14ac:dyDescent="0.25">
      <c r="A261" s="11">
        <v>44567.416666666664</v>
      </c>
      <c r="B261" s="10">
        <v>833.39599999999996</v>
      </c>
      <c r="C261">
        <f t="shared" si="16"/>
        <v>4</v>
      </c>
      <c r="D261">
        <f t="shared" si="17"/>
        <v>6</v>
      </c>
      <c r="E261">
        <f t="shared" si="18"/>
        <v>10</v>
      </c>
      <c r="F261">
        <f t="shared" si="19"/>
        <v>1</v>
      </c>
      <c r="G261">
        <f>VLOOKUP(E261,Sheet1!$A$2:$B$25,2,FALSE)</f>
        <v>1</v>
      </c>
    </row>
    <row r="262" spans="1:7" x14ac:dyDescent="0.25">
      <c r="A262" s="11">
        <v>44567.4375</v>
      </c>
      <c r="B262" s="10">
        <v>780.38</v>
      </c>
      <c r="C262">
        <f t="shared" si="16"/>
        <v>4</v>
      </c>
      <c r="D262">
        <f t="shared" si="17"/>
        <v>6</v>
      </c>
      <c r="E262">
        <f t="shared" si="18"/>
        <v>10</v>
      </c>
      <c r="F262">
        <f t="shared" si="19"/>
        <v>1</v>
      </c>
      <c r="G262">
        <f>VLOOKUP(E262,Sheet1!$A$2:$B$25,2,FALSE)</f>
        <v>1</v>
      </c>
    </row>
    <row r="263" spans="1:7" x14ac:dyDescent="0.25">
      <c r="A263" s="11">
        <v>44567.458333333336</v>
      </c>
      <c r="B263" s="10">
        <v>714.62</v>
      </c>
      <c r="C263">
        <f t="shared" si="16"/>
        <v>4</v>
      </c>
      <c r="D263">
        <f t="shared" si="17"/>
        <v>6</v>
      </c>
      <c r="E263">
        <f t="shared" si="18"/>
        <v>11</v>
      </c>
      <c r="F263">
        <f t="shared" si="19"/>
        <v>1</v>
      </c>
      <c r="G263">
        <f>VLOOKUP(E263,Sheet1!$A$2:$B$25,2,FALSE)</f>
        <v>1</v>
      </c>
    </row>
    <row r="264" spans="1:7" x14ac:dyDescent="0.25">
      <c r="A264" s="11">
        <v>44567.479166666664</v>
      </c>
      <c r="B264" s="10">
        <v>594.96100000000001</v>
      </c>
      <c r="C264">
        <f t="shared" si="16"/>
        <v>4</v>
      </c>
      <c r="D264">
        <f t="shared" si="17"/>
        <v>6</v>
      </c>
      <c r="E264">
        <f t="shared" si="18"/>
        <v>11</v>
      </c>
      <c r="F264">
        <f t="shared" si="19"/>
        <v>1</v>
      </c>
      <c r="G264">
        <f>VLOOKUP(E264,Sheet1!$A$2:$B$25,2,FALSE)</f>
        <v>1</v>
      </c>
    </row>
    <row r="265" spans="1:7" x14ac:dyDescent="0.25">
      <c r="A265" s="11">
        <v>44567.5</v>
      </c>
      <c r="B265" s="10">
        <v>575.41999999999996</v>
      </c>
      <c r="C265">
        <f t="shared" si="16"/>
        <v>4</v>
      </c>
      <c r="D265">
        <f t="shared" si="17"/>
        <v>6</v>
      </c>
      <c r="E265">
        <f t="shared" si="18"/>
        <v>12</v>
      </c>
      <c r="F265">
        <f t="shared" si="19"/>
        <v>1</v>
      </c>
      <c r="G265">
        <f>VLOOKUP(E265,Sheet1!$A$2:$B$25,2,FALSE)</f>
        <v>1</v>
      </c>
    </row>
    <row r="266" spans="1:7" x14ac:dyDescent="0.25">
      <c r="A266" s="11">
        <v>44567.520833333336</v>
      </c>
      <c r="B266" s="10">
        <v>584.75599999999997</v>
      </c>
      <c r="C266">
        <f t="shared" si="16"/>
        <v>4</v>
      </c>
      <c r="D266">
        <f t="shared" si="17"/>
        <v>6</v>
      </c>
      <c r="E266">
        <f t="shared" si="18"/>
        <v>12</v>
      </c>
      <c r="F266">
        <f t="shared" si="19"/>
        <v>1</v>
      </c>
      <c r="G266">
        <f>VLOOKUP(E266,Sheet1!$A$2:$B$25,2,FALSE)</f>
        <v>1</v>
      </c>
    </row>
    <row r="267" spans="1:7" x14ac:dyDescent="0.25">
      <c r="A267" s="11">
        <v>44567.541666666664</v>
      </c>
      <c r="B267" s="10">
        <v>560.51599999999996</v>
      </c>
      <c r="C267">
        <f t="shared" si="16"/>
        <v>4</v>
      </c>
      <c r="D267">
        <f t="shared" si="17"/>
        <v>6</v>
      </c>
      <c r="E267">
        <f t="shared" si="18"/>
        <v>13</v>
      </c>
      <c r="F267">
        <f t="shared" si="19"/>
        <v>1</v>
      </c>
      <c r="G267">
        <f>VLOOKUP(E267,Sheet1!$A$2:$B$25,2,FALSE)</f>
        <v>1</v>
      </c>
    </row>
    <row r="268" spans="1:7" x14ac:dyDescent="0.25">
      <c r="A268" s="11">
        <v>44567.5625</v>
      </c>
      <c r="B268" s="10">
        <v>553.10500000000002</v>
      </c>
      <c r="C268">
        <f t="shared" si="16"/>
        <v>4</v>
      </c>
      <c r="D268">
        <f t="shared" si="17"/>
        <v>6</v>
      </c>
      <c r="E268">
        <f t="shared" si="18"/>
        <v>13</v>
      </c>
      <c r="F268">
        <f t="shared" si="19"/>
        <v>1</v>
      </c>
      <c r="G268">
        <f>VLOOKUP(E268,Sheet1!$A$2:$B$25,2,FALSE)</f>
        <v>1</v>
      </c>
    </row>
    <row r="269" spans="1:7" x14ac:dyDescent="0.25">
      <c r="A269" s="11">
        <v>44567.583333333336</v>
      </c>
      <c r="B269" s="10">
        <v>531.26</v>
      </c>
      <c r="C269">
        <f t="shared" si="16"/>
        <v>4</v>
      </c>
      <c r="D269">
        <f t="shared" si="17"/>
        <v>6</v>
      </c>
      <c r="E269">
        <f t="shared" si="18"/>
        <v>14</v>
      </c>
      <c r="F269">
        <f t="shared" si="19"/>
        <v>1</v>
      </c>
      <c r="G269">
        <f>VLOOKUP(E269,Sheet1!$A$2:$B$25,2,FALSE)</f>
        <v>1</v>
      </c>
    </row>
    <row r="270" spans="1:7" x14ac:dyDescent="0.25">
      <c r="A270" s="11">
        <v>44567.604166666664</v>
      </c>
      <c r="B270" s="10">
        <v>515.41999999999996</v>
      </c>
      <c r="C270">
        <f t="shared" si="16"/>
        <v>4</v>
      </c>
      <c r="D270">
        <f t="shared" si="17"/>
        <v>6</v>
      </c>
      <c r="E270">
        <f t="shared" si="18"/>
        <v>14</v>
      </c>
      <c r="F270">
        <f t="shared" si="19"/>
        <v>1</v>
      </c>
      <c r="G270">
        <f>VLOOKUP(E270,Sheet1!$A$2:$B$25,2,FALSE)</f>
        <v>1</v>
      </c>
    </row>
    <row r="271" spans="1:7" x14ac:dyDescent="0.25">
      <c r="A271" s="11">
        <v>44567.625</v>
      </c>
      <c r="B271" s="10">
        <v>519.5</v>
      </c>
      <c r="C271">
        <f t="shared" si="16"/>
        <v>4</v>
      </c>
      <c r="D271">
        <f t="shared" si="17"/>
        <v>6</v>
      </c>
      <c r="E271">
        <f t="shared" si="18"/>
        <v>15</v>
      </c>
      <c r="F271">
        <f t="shared" si="19"/>
        <v>1</v>
      </c>
      <c r="G271">
        <f>VLOOKUP(E271,Sheet1!$A$2:$B$25,2,FALSE)</f>
        <v>1</v>
      </c>
    </row>
    <row r="272" spans="1:7" x14ac:dyDescent="0.25">
      <c r="A272" s="11">
        <v>44567.645833333336</v>
      </c>
      <c r="B272" s="10">
        <v>531.86500000000001</v>
      </c>
      <c r="C272">
        <f t="shared" si="16"/>
        <v>4</v>
      </c>
      <c r="D272">
        <f t="shared" si="17"/>
        <v>6</v>
      </c>
      <c r="E272">
        <f t="shared" si="18"/>
        <v>15</v>
      </c>
      <c r="F272">
        <f t="shared" si="19"/>
        <v>1</v>
      </c>
      <c r="G272">
        <f>VLOOKUP(E272,Sheet1!$A$2:$B$25,2,FALSE)</f>
        <v>1</v>
      </c>
    </row>
    <row r="273" spans="1:7" x14ac:dyDescent="0.25">
      <c r="A273" s="11">
        <v>44567.666666666664</v>
      </c>
      <c r="B273" s="10">
        <v>522.26</v>
      </c>
      <c r="C273">
        <f t="shared" si="16"/>
        <v>4</v>
      </c>
      <c r="D273">
        <f t="shared" si="17"/>
        <v>6</v>
      </c>
      <c r="E273">
        <f t="shared" si="18"/>
        <v>16</v>
      </c>
      <c r="F273">
        <f t="shared" si="19"/>
        <v>1</v>
      </c>
      <c r="G273">
        <f>VLOOKUP(E273,Sheet1!$A$2:$B$25,2,FALSE)</f>
        <v>0</v>
      </c>
    </row>
    <row r="274" spans="1:7" x14ac:dyDescent="0.25">
      <c r="A274" s="11">
        <v>44567.6875</v>
      </c>
      <c r="B274" s="10">
        <v>397.22500000000002</v>
      </c>
      <c r="C274">
        <f t="shared" si="16"/>
        <v>4</v>
      </c>
      <c r="D274">
        <f t="shared" si="17"/>
        <v>6</v>
      </c>
      <c r="E274">
        <f t="shared" si="18"/>
        <v>16</v>
      </c>
      <c r="F274">
        <f t="shared" si="19"/>
        <v>1</v>
      </c>
      <c r="G274">
        <f>VLOOKUP(E274,Sheet1!$A$2:$B$25,2,FALSE)</f>
        <v>0</v>
      </c>
    </row>
    <row r="275" spans="1:7" x14ac:dyDescent="0.25">
      <c r="A275" s="11">
        <v>44567.708333333336</v>
      </c>
      <c r="B275" s="10">
        <v>354.476</v>
      </c>
      <c r="C275">
        <f t="shared" si="16"/>
        <v>4</v>
      </c>
      <c r="D275">
        <f t="shared" si="17"/>
        <v>6</v>
      </c>
      <c r="E275">
        <f t="shared" si="18"/>
        <v>17</v>
      </c>
      <c r="F275">
        <f t="shared" si="19"/>
        <v>1</v>
      </c>
      <c r="G275">
        <f>VLOOKUP(E275,Sheet1!$A$2:$B$25,2,FALSE)</f>
        <v>0</v>
      </c>
    </row>
    <row r="276" spans="1:7" x14ac:dyDescent="0.25">
      <c r="A276" s="11">
        <v>44567.729166666664</v>
      </c>
      <c r="B276" s="10">
        <v>309.62</v>
      </c>
      <c r="C276">
        <f t="shared" si="16"/>
        <v>4</v>
      </c>
      <c r="D276">
        <f t="shared" si="17"/>
        <v>6</v>
      </c>
      <c r="E276">
        <f t="shared" si="18"/>
        <v>17</v>
      </c>
      <c r="F276">
        <f t="shared" si="19"/>
        <v>1</v>
      </c>
      <c r="G276">
        <f>VLOOKUP(E276,Sheet1!$A$2:$B$25,2,FALSE)</f>
        <v>0</v>
      </c>
    </row>
    <row r="277" spans="1:7" x14ac:dyDescent="0.25">
      <c r="A277" s="11">
        <v>44567.75</v>
      </c>
      <c r="B277" s="10">
        <v>284.63600000000002</v>
      </c>
      <c r="C277">
        <f t="shared" si="16"/>
        <v>4</v>
      </c>
      <c r="D277">
        <f t="shared" si="17"/>
        <v>6</v>
      </c>
      <c r="E277">
        <f t="shared" si="18"/>
        <v>18</v>
      </c>
      <c r="F277">
        <f t="shared" si="19"/>
        <v>1</v>
      </c>
      <c r="G277">
        <f>VLOOKUP(E277,Sheet1!$A$2:$B$25,2,FALSE)</f>
        <v>0</v>
      </c>
    </row>
    <row r="278" spans="1:7" x14ac:dyDescent="0.25">
      <c r="A278" s="11">
        <v>44567.770833333336</v>
      </c>
      <c r="B278" s="10">
        <v>286.07600000000002</v>
      </c>
      <c r="C278">
        <f t="shared" si="16"/>
        <v>4</v>
      </c>
      <c r="D278">
        <f t="shared" si="17"/>
        <v>6</v>
      </c>
      <c r="E278">
        <f t="shared" si="18"/>
        <v>18</v>
      </c>
      <c r="F278">
        <f t="shared" si="19"/>
        <v>1</v>
      </c>
      <c r="G278">
        <f>VLOOKUP(E278,Sheet1!$A$2:$B$25,2,FALSE)</f>
        <v>0</v>
      </c>
    </row>
    <row r="279" spans="1:7" x14ac:dyDescent="0.25">
      <c r="A279" s="11">
        <v>44567.791666666664</v>
      </c>
      <c r="B279" s="10">
        <v>287.64100000000002</v>
      </c>
      <c r="C279">
        <f t="shared" si="16"/>
        <v>4</v>
      </c>
      <c r="D279">
        <f t="shared" si="17"/>
        <v>6</v>
      </c>
      <c r="E279">
        <f t="shared" si="18"/>
        <v>19</v>
      </c>
      <c r="F279">
        <f t="shared" si="19"/>
        <v>1</v>
      </c>
      <c r="G279">
        <f>VLOOKUP(E279,Sheet1!$A$2:$B$25,2,FALSE)</f>
        <v>0</v>
      </c>
    </row>
    <row r="280" spans="1:7" x14ac:dyDescent="0.25">
      <c r="A280" s="11">
        <v>44567.8125</v>
      </c>
      <c r="B280" s="10">
        <v>283.45999999999998</v>
      </c>
      <c r="C280">
        <f t="shared" si="16"/>
        <v>4</v>
      </c>
      <c r="D280">
        <f t="shared" si="17"/>
        <v>6</v>
      </c>
      <c r="E280">
        <f t="shared" si="18"/>
        <v>19</v>
      </c>
      <c r="F280">
        <f t="shared" si="19"/>
        <v>1</v>
      </c>
      <c r="G280">
        <f>VLOOKUP(E280,Sheet1!$A$2:$B$25,2,FALSE)</f>
        <v>0</v>
      </c>
    </row>
    <row r="281" spans="1:7" x14ac:dyDescent="0.25">
      <c r="A281" s="11">
        <v>44567.833333333336</v>
      </c>
      <c r="B281" s="10">
        <v>278.185</v>
      </c>
      <c r="C281">
        <f t="shared" si="16"/>
        <v>4</v>
      </c>
      <c r="D281">
        <f t="shared" si="17"/>
        <v>6</v>
      </c>
      <c r="E281">
        <f t="shared" si="18"/>
        <v>20</v>
      </c>
      <c r="F281">
        <f t="shared" si="19"/>
        <v>1</v>
      </c>
      <c r="G281">
        <f>VLOOKUP(E281,Sheet1!$A$2:$B$25,2,FALSE)</f>
        <v>0</v>
      </c>
    </row>
    <row r="282" spans="1:7" x14ac:dyDescent="0.25">
      <c r="A282" s="11">
        <v>44567.854166666664</v>
      </c>
      <c r="B282" s="10">
        <v>266.39600000000002</v>
      </c>
      <c r="C282">
        <f t="shared" si="16"/>
        <v>4</v>
      </c>
      <c r="D282">
        <f t="shared" si="17"/>
        <v>6</v>
      </c>
      <c r="E282">
        <f t="shared" si="18"/>
        <v>20</v>
      </c>
      <c r="F282">
        <f t="shared" si="19"/>
        <v>1</v>
      </c>
      <c r="G282">
        <f>VLOOKUP(E282,Sheet1!$A$2:$B$25,2,FALSE)</f>
        <v>0</v>
      </c>
    </row>
    <row r="283" spans="1:7" x14ac:dyDescent="0.25">
      <c r="A283" s="11">
        <v>44567.875</v>
      </c>
      <c r="B283" s="10">
        <v>265.80099999999999</v>
      </c>
      <c r="C283">
        <f t="shared" si="16"/>
        <v>4</v>
      </c>
      <c r="D283">
        <f t="shared" si="17"/>
        <v>6</v>
      </c>
      <c r="E283">
        <f t="shared" si="18"/>
        <v>21</v>
      </c>
      <c r="F283">
        <f t="shared" si="19"/>
        <v>1</v>
      </c>
      <c r="G283">
        <f>VLOOKUP(E283,Sheet1!$A$2:$B$25,2,FALSE)</f>
        <v>0</v>
      </c>
    </row>
    <row r="284" spans="1:7" x14ac:dyDescent="0.25">
      <c r="A284" s="11">
        <v>44567.895833333336</v>
      </c>
      <c r="B284" s="10">
        <v>243.23599999999999</v>
      </c>
      <c r="C284">
        <f t="shared" si="16"/>
        <v>4</v>
      </c>
      <c r="D284">
        <f t="shared" si="17"/>
        <v>6</v>
      </c>
      <c r="E284">
        <f t="shared" si="18"/>
        <v>21</v>
      </c>
      <c r="F284">
        <f t="shared" si="19"/>
        <v>1</v>
      </c>
      <c r="G284">
        <f>VLOOKUP(E284,Sheet1!$A$2:$B$25,2,FALSE)</f>
        <v>0</v>
      </c>
    </row>
    <row r="285" spans="1:7" x14ac:dyDescent="0.25">
      <c r="A285" s="11">
        <v>44567.916666666664</v>
      </c>
      <c r="B285" s="10">
        <v>241.92099999999999</v>
      </c>
      <c r="C285">
        <f t="shared" si="16"/>
        <v>4</v>
      </c>
      <c r="D285">
        <f t="shared" si="17"/>
        <v>6</v>
      </c>
      <c r="E285">
        <f t="shared" si="18"/>
        <v>22</v>
      </c>
      <c r="F285">
        <f t="shared" si="19"/>
        <v>1</v>
      </c>
      <c r="G285">
        <f>VLOOKUP(E285,Sheet1!$A$2:$B$25,2,FALSE)</f>
        <v>0</v>
      </c>
    </row>
    <row r="286" spans="1:7" x14ac:dyDescent="0.25">
      <c r="A286" s="11">
        <v>44567.9375</v>
      </c>
      <c r="B286" s="10">
        <v>244.196</v>
      </c>
      <c r="C286">
        <f t="shared" si="16"/>
        <v>4</v>
      </c>
      <c r="D286">
        <f t="shared" si="17"/>
        <v>6</v>
      </c>
      <c r="E286">
        <f t="shared" si="18"/>
        <v>22</v>
      </c>
      <c r="F286">
        <f t="shared" si="19"/>
        <v>1</v>
      </c>
      <c r="G286">
        <f>VLOOKUP(E286,Sheet1!$A$2:$B$25,2,FALSE)</f>
        <v>0</v>
      </c>
    </row>
    <row r="287" spans="1:7" x14ac:dyDescent="0.25">
      <c r="A287" s="11">
        <v>44567.958333333336</v>
      </c>
      <c r="B287" s="10">
        <v>246.62</v>
      </c>
      <c r="C287">
        <f t="shared" si="16"/>
        <v>4</v>
      </c>
      <c r="D287">
        <f t="shared" si="17"/>
        <v>6</v>
      </c>
      <c r="E287">
        <f t="shared" si="18"/>
        <v>23</v>
      </c>
      <c r="F287">
        <f t="shared" si="19"/>
        <v>1</v>
      </c>
      <c r="G287">
        <f>VLOOKUP(E287,Sheet1!$A$2:$B$25,2,FALSE)</f>
        <v>0</v>
      </c>
    </row>
    <row r="288" spans="1:7" x14ac:dyDescent="0.25">
      <c r="A288" s="11">
        <v>44567.979166666664</v>
      </c>
      <c r="B288" s="10">
        <v>238.465</v>
      </c>
      <c r="C288">
        <f t="shared" si="16"/>
        <v>4</v>
      </c>
      <c r="D288">
        <f t="shared" si="17"/>
        <v>6</v>
      </c>
      <c r="E288">
        <f t="shared" si="18"/>
        <v>23</v>
      </c>
      <c r="F288">
        <f t="shared" si="19"/>
        <v>1</v>
      </c>
      <c r="G288">
        <f>VLOOKUP(E288,Sheet1!$A$2:$B$25,2,FALSE)</f>
        <v>0</v>
      </c>
    </row>
    <row r="289" spans="1:7" x14ac:dyDescent="0.25">
      <c r="A289" s="11">
        <v>44568</v>
      </c>
      <c r="B289" s="10">
        <v>238.43600000000001</v>
      </c>
      <c r="C289">
        <f t="shared" si="16"/>
        <v>5</v>
      </c>
      <c r="D289">
        <f t="shared" si="17"/>
        <v>7</v>
      </c>
      <c r="E289">
        <f t="shared" si="18"/>
        <v>0</v>
      </c>
      <c r="F289">
        <f t="shared" si="19"/>
        <v>1</v>
      </c>
      <c r="G289">
        <f>VLOOKUP(E289,Sheet1!$A$2:$B$25,2,FALSE)</f>
        <v>0</v>
      </c>
    </row>
    <row r="290" spans="1:7" x14ac:dyDescent="0.25">
      <c r="A290" s="11">
        <v>44568.020833333336</v>
      </c>
      <c r="B290" s="10">
        <v>237.86</v>
      </c>
      <c r="C290">
        <f t="shared" si="16"/>
        <v>5</v>
      </c>
      <c r="D290">
        <f t="shared" si="17"/>
        <v>7</v>
      </c>
      <c r="E290">
        <f t="shared" si="18"/>
        <v>0</v>
      </c>
      <c r="F290">
        <f t="shared" si="19"/>
        <v>1</v>
      </c>
      <c r="G290">
        <f>VLOOKUP(E290,Sheet1!$A$2:$B$25,2,FALSE)</f>
        <v>0</v>
      </c>
    </row>
    <row r="291" spans="1:7" x14ac:dyDescent="0.25">
      <c r="A291" s="11">
        <v>44568.041666666664</v>
      </c>
      <c r="B291" s="10">
        <v>238.67599999999999</v>
      </c>
      <c r="C291">
        <f t="shared" si="16"/>
        <v>5</v>
      </c>
      <c r="D291">
        <f t="shared" si="17"/>
        <v>7</v>
      </c>
      <c r="E291">
        <f t="shared" si="18"/>
        <v>1</v>
      </c>
      <c r="F291">
        <f t="shared" si="19"/>
        <v>1</v>
      </c>
      <c r="G291">
        <f>VLOOKUP(E291,Sheet1!$A$2:$B$25,2,FALSE)</f>
        <v>0</v>
      </c>
    </row>
    <row r="292" spans="1:7" x14ac:dyDescent="0.25">
      <c r="A292" s="11">
        <v>44568.0625</v>
      </c>
      <c r="B292" s="10">
        <v>257.51600000000002</v>
      </c>
      <c r="C292">
        <f t="shared" si="16"/>
        <v>5</v>
      </c>
      <c r="D292">
        <f t="shared" si="17"/>
        <v>7</v>
      </c>
      <c r="E292">
        <f t="shared" si="18"/>
        <v>1</v>
      </c>
      <c r="F292">
        <f t="shared" si="19"/>
        <v>1</v>
      </c>
      <c r="G292">
        <f>VLOOKUP(E292,Sheet1!$A$2:$B$25,2,FALSE)</f>
        <v>0</v>
      </c>
    </row>
    <row r="293" spans="1:7" x14ac:dyDescent="0.25">
      <c r="A293" s="11">
        <v>44568.083333333336</v>
      </c>
      <c r="B293" s="10">
        <v>240.86</v>
      </c>
      <c r="C293">
        <f t="shared" si="16"/>
        <v>5</v>
      </c>
      <c r="D293">
        <f t="shared" si="17"/>
        <v>7</v>
      </c>
      <c r="E293">
        <f t="shared" si="18"/>
        <v>2</v>
      </c>
      <c r="F293">
        <f t="shared" si="19"/>
        <v>1</v>
      </c>
      <c r="G293">
        <f>VLOOKUP(E293,Sheet1!$A$2:$B$25,2,FALSE)</f>
        <v>0</v>
      </c>
    </row>
    <row r="294" spans="1:7" x14ac:dyDescent="0.25">
      <c r="A294" s="11">
        <v>44568.104166666664</v>
      </c>
      <c r="B294" s="10">
        <v>238.46</v>
      </c>
      <c r="C294">
        <f t="shared" si="16"/>
        <v>5</v>
      </c>
      <c r="D294">
        <f t="shared" si="17"/>
        <v>7</v>
      </c>
      <c r="E294">
        <f t="shared" si="18"/>
        <v>2</v>
      </c>
      <c r="F294">
        <f t="shared" si="19"/>
        <v>1</v>
      </c>
      <c r="G294">
        <f>VLOOKUP(E294,Sheet1!$A$2:$B$25,2,FALSE)</f>
        <v>0</v>
      </c>
    </row>
    <row r="295" spans="1:7" x14ac:dyDescent="0.25">
      <c r="A295" s="11">
        <v>44568.125</v>
      </c>
      <c r="B295" s="10">
        <v>237.26</v>
      </c>
      <c r="C295">
        <f t="shared" si="16"/>
        <v>5</v>
      </c>
      <c r="D295">
        <f t="shared" si="17"/>
        <v>7</v>
      </c>
      <c r="E295">
        <f t="shared" si="18"/>
        <v>3</v>
      </c>
      <c r="F295">
        <f t="shared" si="19"/>
        <v>1</v>
      </c>
      <c r="G295">
        <f>VLOOKUP(E295,Sheet1!$A$2:$B$25,2,FALSE)</f>
        <v>0</v>
      </c>
    </row>
    <row r="296" spans="1:7" x14ac:dyDescent="0.25">
      <c r="A296" s="11">
        <v>44568.145833333336</v>
      </c>
      <c r="B296" s="10">
        <v>247.07599999999999</v>
      </c>
      <c r="C296">
        <f t="shared" si="16"/>
        <v>5</v>
      </c>
      <c r="D296">
        <f t="shared" si="17"/>
        <v>7</v>
      </c>
      <c r="E296">
        <f t="shared" si="18"/>
        <v>3</v>
      </c>
      <c r="F296">
        <f t="shared" si="19"/>
        <v>1</v>
      </c>
      <c r="G296">
        <f>VLOOKUP(E296,Sheet1!$A$2:$B$25,2,FALSE)</f>
        <v>0</v>
      </c>
    </row>
    <row r="297" spans="1:7" x14ac:dyDescent="0.25">
      <c r="A297" s="11">
        <v>44568.166666666664</v>
      </c>
      <c r="B297" s="10">
        <v>242.876</v>
      </c>
      <c r="C297">
        <f t="shared" si="16"/>
        <v>5</v>
      </c>
      <c r="D297">
        <f t="shared" si="17"/>
        <v>7</v>
      </c>
      <c r="E297">
        <f t="shared" si="18"/>
        <v>4</v>
      </c>
      <c r="F297">
        <f t="shared" si="19"/>
        <v>1</v>
      </c>
      <c r="G297">
        <f>VLOOKUP(E297,Sheet1!$A$2:$B$25,2,FALSE)</f>
        <v>1</v>
      </c>
    </row>
    <row r="298" spans="1:7" x14ac:dyDescent="0.25">
      <c r="A298" s="11">
        <v>44568.1875</v>
      </c>
      <c r="B298" s="10">
        <v>256.33999999999997</v>
      </c>
      <c r="C298">
        <f t="shared" si="16"/>
        <v>5</v>
      </c>
      <c r="D298">
        <f t="shared" si="17"/>
        <v>7</v>
      </c>
      <c r="E298">
        <f t="shared" si="18"/>
        <v>4</v>
      </c>
      <c r="F298">
        <f t="shared" si="19"/>
        <v>1</v>
      </c>
      <c r="G298">
        <f>VLOOKUP(E298,Sheet1!$A$2:$B$25,2,FALSE)</f>
        <v>1</v>
      </c>
    </row>
    <row r="299" spans="1:7" x14ac:dyDescent="0.25">
      <c r="A299" s="11">
        <v>44568.208333333336</v>
      </c>
      <c r="B299" s="10">
        <v>255.14500000000001</v>
      </c>
      <c r="C299">
        <f t="shared" si="16"/>
        <v>5</v>
      </c>
      <c r="D299">
        <f t="shared" si="17"/>
        <v>7</v>
      </c>
      <c r="E299">
        <f t="shared" si="18"/>
        <v>5</v>
      </c>
      <c r="F299">
        <f t="shared" si="19"/>
        <v>1</v>
      </c>
      <c r="G299">
        <f>VLOOKUP(E299,Sheet1!$A$2:$B$25,2,FALSE)</f>
        <v>1</v>
      </c>
    </row>
    <row r="300" spans="1:7" x14ac:dyDescent="0.25">
      <c r="A300" s="11">
        <v>44568.229166666664</v>
      </c>
      <c r="B300" s="10">
        <v>285.35599999999999</v>
      </c>
      <c r="C300">
        <f t="shared" si="16"/>
        <v>5</v>
      </c>
      <c r="D300">
        <f t="shared" si="17"/>
        <v>7</v>
      </c>
      <c r="E300">
        <f t="shared" si="18"/>
        <v>5</v>
      </c>
      <c r="F300">
        <f t="shared" si="19"/>
        <v>1</v>
      </c>
      <c r="G300">
        <f>VLOOKUP(E300,Sheet1!$A$2:$B$25,2,FALSE)</f>
        <v>1</v>
      </c>
    </row>
    <row r="301" spans="1:7" x14ac:dyDescent="0.25">
      <c r="A301" s="11">
        <v>44568.25</v>
      </c>
      <c r="B301" s="10">
        <v>366.95600000000002</v>
      </c>
      <c r="C301">
        <f t="shared" si="16"/>
        <v>5</v>
      </c>
      <c r="D301">
        <f t="shared" si="17"/>
        <v>7</v>
      </c>
      <c r="E301">
        <f t="shared" si="18"/>
        <v>6</v>
      </c>
      <c r="F301">
        <f t="shared" si="19"/>
        <v>1</v>
      </c>
      <c r="G301">
        <f>VLOOKUP(E301,Sheet1!$A$2:$B$25,2,FALSE)</f>
        <v>1</v>
      </c>
    </row>
    <row r="302" spans="1:7" x14ac:dyDescent="0.25">
      <c r="A302" s="11">
        <v>44568.270833333336</v>
      </c>
      <c r="B302" s="10">
        <v>923.39599999999996</v>
      </c>
      <c r="C302">
        <f t="shared" si="16"/>
        <v>5</v>
      </c>
      <c r="D302">
        <f t="shared" si="17"/>
        <v>7</v>
      </c>
      <c r="E302">
        <f t="shared" si="18"/>
        <v>6</v>
      </c>
      <c r="F302">
        <f t="shared" si="19"/>
        <v>1</v>
      </c>
      <c r="G302">
        <f>VLOOKUP(E302,Sheet1!$A$2:$B$25,2,FALSE)</f>
        <v>1</v>
      </c>
    </row>
    <row r="303" spans="1:7" x14ac:dyDescent="0.25">
      <c r="A303" s="11">
        <v>44568.291666666664</v>
      </c>
      <c r="B303" s="10">
        <v>804.95600000000002</v>
      </c>
      <c r="C303">
        <f t="shared" si="16"/>
        <v>5</v>
      </c>
      <c r="D303">
        <f t="shared" si="17"/>
        <v>7</v>
      </c>
      <c r="E303">
        <f t="shared" si="18"/>
        <v>7</v>
      </c>
      <c r="F303">
        <f t="shared" si="19"/>
        <v>1</v>
      </c>
      <c r="G303">
        <f>VLOOKUP(E303,Sheet1!$A$2:$B$25,2,FALSE)</f>
        <v>1</v>
      </c>
    </row>
    <row r="304" spans="1:7" x14ac:dyDescent="0.25">
      <c r="A304" s="11">
        <v>44568.3125</v>
      </c>
      <c r="B304" s="10">
        <v>859.07600000000002</v>
      </c>
      <c r="C304">
        <f t="shared" si="16"/>
        <v>5</v>
      </c>
      <c r="D304">
        <f t="shared" si="17"/>
        <v>7</v>
      </c>
      <c r="E304">
        <f t="shared" si="18"/>
        <v>7</v>
      </c>
      <c r="F304">
        <f t="shared" si="19"/>
        <v>1</v>
      </c>
      <c r="G304">
        <f>VLOOKUP(E304,Sheet1!$A$2:$B$25,2,FALSE)</f>
        <v>1</v>
      </c>
    </row>
    <row r="305" spans="1:7" x14ac:dyDescent="0.25">
      <c r="A305" s="11">
        <v>44568.333333333336</v>
      </c>
      <c r="B305" s="10">
        <v>901.55600000000004</v>
      </c>
      <c r="C305">
        <f t="shared" si="16"/>
        <v>5</v>
      </c>
      <c r="D305">
        <f t="shared" si="17"/>
        <v>7</v>
      </c>
      <c r="E305">
        <f t="shared" si="18"/>
        <v>8</v>
      </c>
      <c r="F305">
        <f t="shared" si="19"/>
        <v>1</v>
      </c>
      <c r="G305">
        <f>VLOOKUP(E305,Sheet1!$A$2:$B$25,2,FALSE)</f>
        <v>1</v>
      </c>
    </row>
    <row r="306" spans="1:7" x14ac:dyDescent="0.25">
      <c r="A306" s="11">
        <v>44568.354166666664</v>
      </c>
      <c r="B306" s="10">
        <v>895.19600000000003</v>
      </c>
      <c r="C306">
        <f t="shared" si="16"/>
        <v>5</v>
      </c>
      <c r="D306">
        <f t="shared" si="17"/>
        <v>7</v>
      </c>
      <c r="E306">
        <f t="shared" si="18"/>
        <v>8</v>
      </c>
      <c r="F306">
        <f t="shared" si="19"/>
        <v>1</v>
      </c>
      <c r="G306">
        <f>VLOOKUP(E306,Sheet1!$A$2:$B$25,2,FALSE)</f>
        <v>1</v>
      </c>
    </row>
    <row r="307" spans="1:7" x14ac:dyDescent="0.25">
      <c r="A307" s="11">
        <v>44568.375</v>
      </c>
      <c r="B307" s="10">
        <v>966.35599999999999</v>
      </c>
      <c r="C307">
        <f t="shared" si="16"/>
        <v>5</v>
      </c>
      <c r="D307">
        <f t="shared" si="17"/>
        <v>7</v>
      </c>
      <c r="E307">
        <f t="shared" si="18"/>
        <v>9</v>
      </c>
      <c r="F307">
        <f t="shared" si="19"/>
        <v>1</v>
      </c>
      <c r="G307">
        <f>VLOOKUP(E307,Sheet1!$A$2:$B$25,2,FALSE)</f>
        <v>1</v>
      </c>
    </row>
    <row r="308" spans="1:7" x14ac:dyDescent="0.25">
      <c r="A308" s="11">
        <v>44568.395833333336</v>
      </c>
      <c r="B308" s="10">
        <v>968.63599999999997</v>
      </c>
      <c r="C308">
        <f t="shared" si="16"/>
        <v>5</v>
      </c>
      <c r="D308">
        <f t="shared" si="17"/>
        <v>7</v>
      </c>
      <c r="E308">
        <f t="shared" si="18"/>
        <v>9</v>
      </c>
      <c r="F308">
        <f t="shared" si="19"/>
        <v>1</v>
      </c>
      <c r="G308">
        <f>VLOOKUP(E308,Sheet1!$A$2:$B$25,2,FALSE)</f>
        <v>1</v>
      </c>
    </row>
    <row r="309" spans="1:7" x14ac:dyDescent="0.25">
      <c r="A309" s="11">
        <v>44568.416666666664</v>
      </c>
      <c r="B309" s="10">
        <v>963.38499999999999</v>
      </c>
      <c r="C309">
        <f t="shared" si="16"/>
        <v>5</v>
      </c>
      <c r="D309">
        <f t="shared" si="17"/>
        <v>7</v>
      </c>
      <c r="E309">
        <f t="shared" si="18"/>
        <v>10</v>
      </c>
      <c r="F309">
        <f t="shared" si="19"/>
        <v>1</v>
      </c>
      <c r="G309">
        <f>VLOOKUP(E309,Sheet1!$A$2:$B$25,2,FALSE)</f>
        <v>1</v>
      </c>
    </row>
    <row r="310" spans="1:7" x14ac:dyDescent="0.25">
      <c r="A310" s="11">
        <v>44568.4375</v>
      </c>
      <c r="B310" s="10">
        <v>969.38</v>
      </c>
      <c r="C310">
        <f t="shared" si="16"/>
        <v>5</v>
      </c>
      <c r="D310">
        <f t="shared" si="17"/>
        <v>7</v>
      </c>
      <c r="E310">
        <f t="shared" si="18"/>
        <v>10</v>
      </c>
      <c r="F310">
        <f t="shared" si="19"/>
        <v>1</v>
      </c>
      <c r="G310">
        <f>VLOOKUP(E310,Sheet1!$A$2:$B$25,2,FALSE)</f>
        <v>1</v>
      </c>
    </row>
    <row r="311" spans="1:7" x14ac:dyDescent="0.25">
      <c r="A311" s="11">
        <v>44568.458333333336</v>
      </c>
      <c r="B311" s="10">
        <v>967.1</v>
      </c>
      <c r="C311">
        <f t="shared" si="16"/>
        <v>5</v>
      </c>
      <c r="D311">
        <f t="shared" si="17"/>
        <v>7</v>
      </c>
      <c r="E311">
        <f t="shared" si="18"/>
        <v>11</v>
      </c>
      <c r="F311">
        <f t="shared" si="19"/>
        <v>1</v>
      </c>
      <c r="G311">
        <f>VLOOKUP(E311,Sheet1!$A$2:$B$25,2,FALSE)</f>
        <v>1</v>
      </c>
    </row>
    <row r="312" spans="1:7" x14ac:dyDescent="0.25">
      <c r="A312" s="11">
        <v>44568.479166666664</v>
      </c>
      <c r="B312" s="10">
        <v>954.12099999999998</v>
      </c>
      <c r="C312">
        <f t="shared" si="16"/>
        <v>5</v>
      </c>
      <c r="D312">
        <f t="shared" si="17"/>
        <v>7</v>
      </c>
      <c r="E312">
        <f t="shared" si="18"/>
        <v>11</v>
      </c>
      <c r="F312">
        <f t="shared" si="19"/>
        <v>1</v>
      </c>
      <c r="G312">
        <f>VLOOKUP(E312,Sheet1!$A$2:$B$25,2,FALSE)</f>
        <v>1</v>
      </c>
    </row>
    <row r="313" spans="1:7" x14ac:dyDescent="0.25">
      <c r="A313" s="11">
        <v>44568.5</v>
      </c>
      <c r="B313" s="10">
        <v>949.07600000000002</v>
      </c>
      <c r="C313">
        <f t="shared" si="16"/>
        <v>5</v>
      </c>
      <c r="D313">
        <f t="shared" si="17"/>
        <v>7</v>
      </c>
      <c r="E313">
        <f t="shared" si="18"/>
        <v>12</v>
      </c>
      <c r="F313">
        <f t="shared" si="19"/>
        <v>1</v>
      </c>
      <c r="G313">
        <f>VLOOKUP(E313,Sheet1!$A$2:$B$25,2,FALSE)</f>
        <v>1</v>
      </c>
    </row>
    <row r="314" spans="1:7" x14ac:dyDescent="0.25">
      <c r="A314" s="11">
        <v>44568.520833333336</v>
      </c>
      <c r="B314" s="10">
        <v>653.78</v>
      </c>
      <c r="C314">
        <f t="shared" si="16"/>
        <v>5</v>
      </c>
      <c r="D314">
        <f t="shared" si="17"/>
        <v>7</v>
      </c>
      <c r="E314">
        <f t="shared" si="18"/>
        <v>12</v>
      </c>
      <c r="F314">
        <f t="shared" si="19"/>
        <v>1</v>
      </c>
      <c r="G314">
        <f>VLOOKUP(E314,Sheet1!$A$2:$B$25,2,FALSE)</f>
        <v>1</v>
      </c>
    </row>
    <row r="315" spans="1:7" x14ac:dyDescent="0.25">
      <c r="A315" s="11">
        <v>44568.541666666664</v>
      </c>
      <c r="B315" s="10">
        <v>767.27599999999995</v>
      </c>
      <c r="C315">
        <f t="shared" si="16"/>
        <v>5</v>
      </c>
      <c r="D315">
        <f t="shared" si="17"/>
        <v>7</v>
      </c>
      <c r="E315">
        <f t="shared" si="18"/>
        <v>13</v>
      </c>
      <c r="F315">
        <f t="shared" si="19"/>
        <v>1</v>
      </c>
      <c r="G315">
        <f>VLOOKUP(E315,Sheet1!$A$2:$B$25,2,FALSE)</f>
        <v>1</v>
      </c>
    </row>
    <row r="316" spans="1:7" x14ac:dyDescent="0.25">
      <c r="A316" s="11">
        <v>44568.5625</v>
      </c>
      <c r="B316" s="10">
        <v>882.12099999999998</v>
      </c>
      <c r="C316">
        <f t="shared" si="16"/>
        <v>5</v>
      </c>
      <c r="D316">
        <f t="shared" si="17"/>
        <v>7</v>
      </c>
      <c r="E316">
        <f t="shared" si="18"/>
        <v>13</v>
      </c>
      <c r="F316">
        <f t="shared" si="19"/>
        <v>1</v>
      </c>
      <c r="G316">
        <f>VLOOKUP(E316,Sheet1!$A$2:$B$25,2,FALSE)</f>
        <v>1</v>
      </c>
    </row>
    <row r="317" spans="1:7" x14ac:dyDescent="0.25">
      <c r="A317" s="11">
        <v>44568.583333333336</v>
      </c>
      <c r="B317" s="10">
        <v>601.43600000000004</v>
      </c>
      <c r="C317">
        <f t="shared" si="16"/>
        <v>5</v>
      </c>
      <c r="D317">
        <f t="shared" si="17"/>
        <v>7</v>
      </c>
      <c r="E317">
        <f t="shared" si="18"/>
        <v>14</v>
      </c>
      <c r="F317">
        <f t="shared" si="19"/>
        <v>1</v>
      </c>
      <c r="G317">
        <f>VLOOKUP(E317,Sheet1!$A$2:$B$25,2,FALSE)</f>
        <v>1</v>
      </c>
    </row>
    <row r="318" spans="1:7" x14ac:dyDescent="0.25">
      <c r="A318" s="11">
        <v>44568.604166666664</v>
      </c>
      <c r="B318" s="10">
        <v>349.19600000000003</v>
      </c>
      <c r="C318">
        <f t="shared" si="16"/>
        <v>5</v>
      </c>
      <c r="D318">
        <f t="shared" si="17"/>
        <v>7</v>
      </c>
      <c r="E318">
        <f t="shared" si="18"/>
        <v>14</v>
      </c>
      <c r="F318">
        <f t="shared" si="19"/>
        <v>1</v>
      </c>
      <c r="G318">
        <f>VLOOKUP(E318,Sheet1!$A$2:$B$25,2,FALSE)</f>
        <v>1</v>
      </c>
    </row>
    <row r="319" spans="1:7" x14ac:dyDescent="0.25">
      <c r="A319" s="11">
        <v>44568.625</v>
      </c>
      <c r="B319" s="10">
        <v>359.54</v>
      </c>
      <c r="C319">
        <f t="shared" si="16"/>
        <v>5</v>
      </c>
      <c r="D319">
        <f t="shared" si="17"/>
        <v>7</v>
      </c>
      <c r="E319">
        <f t="shared" si="18"/>
        <v>15</v>
      </c>
      <c r="F319">
        <f t="shared" si="19"/>
        <v>1</v>
      </c>
      <c r="G319">
        <f>VLOOKUP(E319,Sheet1!$A$2:$B$25,2,FALSE)</f>
        <v>1</v>
      </c>
    </row>
    <row r="320" spans="1:7" x14ac:dyDescent="0.25">
      <c r="A320" s="11">
        <v>44568.645833333336</v>
      </c>
      <c r="B320" s="10">
        <v>339.38499999999999</v>
      </c>
      <c r="C320">
        <f t="shared" si="16"/>
        <v>5</v>
      </c>
      <c r="D320">
        <f t="shared" si="17"/>
        <v>7</v>
      </c>
      <c r="E320">
        <f t="shared" si="18"/>
        <v>15</v>
      </c>
      <c r="F320">
        <f t="shared" si="19"/>
        <v>1</v>
      </c>
      <c r="G320">
        <f>VLOOKUP(E320,Sheet1!$A$2:$B$25,2,FALSE)</f>
        <v>1</v>
      </c>
    </row>
    <row r="321" spans="1:7" x14ac:dyDescent="0.25">
      <c r="A321" s="11">
        <v>44568.666666666664</v>
      </c>
      <c r="B321" s="10">
        <v>328.07600000000002</v>
      </c>
      <c r="C321">
        <f t="shared" si="16"/>
        <v>5</v>
      </c>
      <c r="D321">
        <f t="shared" si="17"/>
        <v>7</v>
      </c>
      <c r="E321">
        <f t="shared" si="18"/>
        <v>16</v>
      </c>
      <c r="F321">
        <f t="shared" si="19"/>
        <v>1</v>
      </c>
      <c r="G321">
        <f>VLOOKUP(E321,Sheet1!$A$2:$B$25,2,FALSE)</f>
        <v>0</v>
      </c>
    </row>
    <row r="322" spans="1:7" x14ac:dyDescent="0.25">
      <c r="A322" s="11">
        <v>44568.6875</v>
      </c>
      <c r="B322" s="10">
        <v>322.22000000000003</v>
      </c>
      <c r="C322">
        <f t="shared" ref="C322:C385" si="20">WEEKDAY(A322,2)</f>
        <v>5</v>
      </c>
      <c r="D322">
        <f t="shared" ref="D322:D385" si="21">DAY(A322)</f>
        <v>7</v>
      </c>
      <c r="E322">
        <f t="shared" ref="E322:E385" si="22">HOUR(A322)</f>
        <v>16</v>
      </c>
      <c r="F322">
        <f t="shared" si="19"/>
        <v>1</v>
      </c>
      <c r="G322">
        <f>VLOOKUP(E322,Sheet1!$A$2:$B$25,2,FALSE)</f>
        <v>0</v>
      </c>
    </row>
    <row r="323" spans="1:7" x14ac:dyDescent="0.25">
      <c r="A323" s="11">
        <v>44568.708333333336</v>
      </c>
      <c r="B323" s="10">
        <v>328.80099999999999</v>
      </c>
      <c r="C323">
        <f t="shared" si="20"/>
        <v>5</v>
      </c>
      <c r="D323">
        <f t="shared" si="21"/>
        <v>7</v>
      </c>
      <c r="E323">
        <f t="shared" si="22"/>
        <v>17</v>
      </c>
      <c r="F323">
        <f t="shared" ref="F323:F386" si="23">IF(C323&gt;=6,0,1)</f>
        <v>1</v>
      </c>
      <c r="G323">
        <f>VLOOKUP(E323,Sheet1!$A$2:$B$25,2,FALSE)</f>
        <v>0</v>
      </c>
    </row>
    <row r="324" spans="1:7" x14ac:dyDescent="0.25">
      <c r="A324" s="11">
        <v>44568.729166666664</v>
      </c>
      <c r="B324" s="10">
        <v>333.95600000000002</v>
      </c>
      <c r="C324">
        <f t="shared" si="20"/>
        <v>5</v>
      </c>
      <c r="D324">
        <f t="shared" si="21"/>
        <v>7</v>
      </c>
      <c r="E324">
        <f t="shared" si="22"/>
        <v>17</v>
      </c>
      <c r="F324">
        <f t="shared" si="23"/>
        <v>1</v>
      </c>
      <c r="G324">
        <f>VLOOKUP(E324,Sheet1!$A$2:$B$25,2,FALSE)</f>
        <v>0</v>
      </c>
    </row>
    <row r="325" spans="1:7" x14ac:dyDescent="0.25">
      <c r="A325" s="11">
        <v>44568.75</v>
      </c>
      <c r="B325" s="10">
        <v>312.98</v>
      </c>
      <c r="C325">
        <f t="shared" si="20"/>
        <v>5</v>
      </c>
      <c r="D325">
        <f t="shared" si="21"/>
        <v>7</v>
      </c>
      <c r="E325">
        <f t="shared" si="22"/>
        <v>18</v>
      </c>
      <c r="F325">
        <f t="shared" si="23"/>
        <v>1</v>
      </c>
      <c r="G325">
        <f>VLOOKUP(E325,Sheet1!$A$2:$B$25,2,FALSE)</f>
        <v>0</v>
      </c>
    </row>
    <row r="326" spans="1:7" x14ac:dyDescent="0.25">
      <c r="A326" s="11">
        <v>44568.770833333336</v>
      </c>
      <c r="B326" s="10">
        <v>323.15600000000001</v>
      </c>
      <c r="C326">
        <f t="shared" si="20"/>
        <v>5</v>
      </c>
      <c r="D326">
        <f t="shared" si="21"/>
        <v>7</v>
      </c>
      <c r="E326">
        <f t="shared" si="22"/>
        <v>18</v>
      </c>
      <c r="F326">
        <f t="shared" si="23"/>
        <v>1</v>
      </c>
      <c r="G326">
        <f>VLOOKUP(E326,Sheet1!$A$2:$B$25,2,FALSE)</f>
        <v>0</v>
      </c>
    </row>
    <row r="327" spans="1:7" x14ac:dyDescent="0.25">
      <c r="A327" s="11">
        <v>44568.791666666664</v>
      </c>
      <c r="B327" s="10">
        <v>304.67599999999999</v>
      </c>
      <c r="C327">
        <f t="shared" si="20"/>
        <v>5</v>
      </c>
      <c r="D327">
        <f t="shared" si="21"/>
        <v>7</v>
      </c>
      <c r="E327">
        <f t="shared" si="22"/>
        <v>19</v>
      </c>
      <c r="F327">
        <f t="shared" si="23"/>
        <v>1</v>
      </c>
      <c r="G327">
        <f>VLOOKUP(E327,Sheet1!$A$2:$B$25,2,FALSE)</f>
        <v>0</v>
      </c>
    </row>
    <row r="328" spans="1:7" x14ac:dyDescent="0.25">
      <c r="A328" s="11">
        <v>44568.8125</v>
      </c>
      <c r="B328" s="10">
        <v>297.745</v>
      </c>
      <c r="C328">
        <f t="shared" si="20"/>
        <v>5</v>
      </c>
      <c r="D328">
        <f t="shared" si="21"/>
        <v>7</v>
      </c>
      <c r="E328">
        <f t="shared" si="22"/>
        <v>19</v>
      </c>
      <c r="F328">
        <f t="shared" si="23"/>
        <v>1</v>
      </c>
      <c r="G328">
        <f>VLOOKUP(E328,Sheet1!$A$2:$B$25,2,FALSE)</f>
        <v>0</v>
      </c>
    </row>
    <row r="329" spans="1:7" x14ac:dyDescent="0.25">
      <c r="A329" s="11">
        <v>44568.833333333336</v>
      </c>
      <c r="B329" s="10">
        <v>303.71600000000001</v>
      </c>
      <c r="C329">
        <f t="shared" si="20"/>
        <v>5</v>
      </c>
      <c r="D329">
        <f t="shared" si="21"/>
        <v>7</v>
      </c>
      <c r="E329">
        <f t="shared" si="22"/>
        <v>20</v>
      </c>
      <c r="F329">
        <f t="shared" si="23"/>
        <v>1</v>
      </c>
      <c r="G329">
        <f>VLOOKUP(E329,Sheet1!$A$2:$B$25,2,FALSE)</f>
        <v>0</v>
      </c>
    </row>
    <row r="330" spans="1:7" x14ac:dyDescent="0.25">
      <c r="A330" s="11">
        <v>44568.854166666664</v>
      </c>
      <c r="B330" s="10">
        <v>300.02</v>
      </c>
      <c r="C330">
        <f t="shared" si="20"/>
        <v>5</v>
      </c>
      <c r="D330">
        <f t="shared" si="21"/>
        <v>7</v>
      </c>
      <c r="E330">
        <f t="shared" si="22"/>
        <v>20</v>
      </c>
      <c r="F330">
        <f t="shared" si="23"/>
        <v>1</v>
      </c>
      <c r="G330">
        <f>VLOOKUP(E330,Sheet1!$A$2:$B$25,2,FALSE)</f>
        <v>0</v>
      </c>
    </row>
    <row r="331" spans="1:7" x14ac:dyDescent="0.25">
      <c r="A331" s="11">
        <v>44568.875</v>
      </c>
      <c r="B331" s="10">
        <v>307.70499999999998</v>
      </c>
      <c r="C331">
        <f t="shared" si="20"/>
        <v>5</v>
      </c>
      <c r="D331">
        <f t="shared" si="21"/>
        <v>7</v>
      </c>
      <c r="E331">
        <f t="shared" si="22"/>
        <v>21</v>
      </c>
      <c r="F331">
        <f t="shared" si="23"/>
        <v>1</v>
      </c>
      <c r="G331">
        <f>VLOOKUP(E331,Sheet1!$A$2:$B$25,2,FALSE)</f>
        <v>0</v>
      </c>
    </row>
    <row r="332" spans="1:7" x14ac:dyDescent="0.25">
      <c r="A332" s="11">
        <v>44568.895833333336</v>
      </c>
      <c r="B332" s="10">
        <v>298.58</v>
      </c>
      <c r="C332">
        <f t="shared" si="20"/>
        <v>5</v>
      </c>
      <c r="D332">
        <f t="shared" si="21"/>
        <v>7</v>
      </c>
      <c r="E332">
        <f t="shared" si="22"/>
        <v>21</v>
      </c>
      <c r="F332">
        <f t="shared" si="23"/>
        <v>1</v>
      </c>
      <c r="G332">
        <f>VLOOKUP(E332,Sheet1!$A$2:$B$25,2,FALSE)</f>
        <v>0</v>
      </c>
    </row>
    <row r="333" spans="1:7" x14ac:dyDescent="0.25">
      <c r="A333" s="11">
        <v>44568.916666666664</v>
      </c>
      <c r="B333" s="10">
        <v>302.89999999999998</v>
      </c>
      <c r="C333">
        <f t="shared" si="20"/>
        <v>5</v>
      </c>
      <c r="D333">
        <f t="shared" si="21"/>
        <v>7</v>
      </c>
      <c r="E333">
        <f t="shared" si="22"/>
        <v>22</v>
      </c>
      <c r="F333">
        <f t="shared" si="23"/>
        <v>1</v>
      </c>
      <c r="G333">
        <f>VLOOKUP(E333,Sheet1!$A$2:$B$25,2,FALSE)</f>
        <v>0</v>
      </c>
    </row>
    <row r="334" spans="1:7" x14ac:dyDescent="0.25">
      <c r="A334" s="11">
        <v>44568.9375</v>
      </c>
      <c r="B334" s="10">
        <v>302.065</v>
      </c>
      <c r="C334">
        <f t="shared" si="20"/>
        <v>5</v>
      </c>
      <c r="D334">
        <f t="shared" si="21"/>
        <v>7</v>
      </c>
      <c r="E334">
        <f t="shared" si="22"/>
        <v>22</v>
      </c>
      <c r="F334">
        <f t="shared" si="23"/>
        <v>1</v>
      </c>
      <c r="G334">
        <f>VLOOKUP(E334,Sheet1!$A$2:$B$25,2,FALSE)</f>
        <v>0</v>
      </c>
    </row>
    <row r="335" spans="1:7" x14ac:dyDescent="0.25">
      <c r="A335" s="11">
        <v>44568.958333333336</v>
      </c>
      <c r="B335" s="10">
        <v>305.75599999999997</v>
      </c>
      <c r="C335">
        <f t="shared" si="20"/>
        <v>5</v>
      </c>
      <c r="D335">
        <f t="shared" si="21"/>
        <v>7</v>
      </c>
      <c r="E335">
        <f t="shared" si="22"/>
        <v>23</v>
      </c>
      <c r="F335">
        <f t="shared" si="23"/>
        <v>1</v>
      </c>
      <c r="G335">
        <f>VLOOKUP(E335,Sheet1!$A$2:$B$25,2,FALSE)</f>
        <v>0</v>
      </c>
    </row>
    <row r="336" spans="1:7" x14ac:dyDescent="0.25">
      <c r="A336" s="11">
        <v>44568.979166666664</v>
      </c>
      <c r="B336" s="10">
        <v>303.62</v>
      </c>
      <c r="C336">
        <f t="shared" si="20"/>
        <v>5</v>
      </c>
      <c r="D336">
        <f t="shared" si="21"/>
        <v>7</v>
      </c>
      <c r="E336">
        <f t="shared" si="22"/>
        <v>23</v>
      </c>
      <c r="F336">
        <f t="shared" si="23"/>
        <v>1</v>
      </c>
      <c r="G336">
        <f>VLOOKUP(E336,Sheet1!$A$2:$B$25,2,FALSE)</f>
        <v>0</v>
      </c>
    </row>
    <row r="337" spans="1:7" x14ac:dyDescent="0.25">
      <c r="A337" s="11">
        <v>44569</v>
      </c>
      <c r="B337" s="10">
        <v>299.185</v>
      </c>
      <c r="C337">
        <f t="shared" si="20"/>
        <v>6</v>
      </c>
      <c r="D337">
        <f t="shared" si="21"/>
        <v>8</v>
      </c>
      <c r="E337">
        <f t="shared" si="22"/>
        <v>0</v>
      </c>
      <c r="F337">
        <f t="shared" si="23"/>
        <v>0</v>
      </c>
      <c r="G337">
        <f>VLOOKUP(E337,Sheet1!$A$2:$B$25,2,FALSE)</f>
        <v>0</v>
      </c>
    </row>
    <row r="338" spans="1:7" x14ac:dyDescent="0.25">
      <c r="A338" s="11">
        <v>44569.020833333336</v>
      </c>
      <c r="B338" s="10">
        <v>304.45999999999998</v>
      </c>
      <c r="C338">
        <f t="shared" si="20"/>
        <v>6</v>
      </c>
      <c r="D338">
        <f t="shared" si="21"/>
        <v>8</v>
      </c>
      <c r="E338">
        <f t="shared" si="22"/>
        <v>0</v>
      </c>
      <c r="F338">
        <f t="shared" si="23"/>
        <v>0</v>
      </c>
      <c r="G338">
        <f>VLOOKUP(E338,Sheet1!$A$2:$B$25,2,FALSE)</f>
        <v>0</v>
      </c>
    </row>
    <row r="339" spans="1:7" x14ac:dyDescent="0.25">
      <c r="A339" s="11">
        <v>44569.041666666664</v>
      </c>
      <c r="B339" s="10">
        <v>298.92099999999999</v>
      </c>
      <c r="C339">
        <f t="shared" si="20"/>
        <v>6</v>
      </c>
      <c r="D339">
        <f t="shared" si="21"/>
        <v>8</v>
      </c>
      <c r="E339">
        <f t="shared" si="22"/>
        <v>1</v>
      </c>
      <c r="F339">
        <f t="shared" si="23"/>
        <v>0</v>
      </c>
      <c r="G339">
        <f>VLOOKUP(E339,Sheet1!$A$2:$B$25,2,FALSE)</f>
        <v>0</v>
      </c>
    </row>
    <row r="340" spans="1:7" x14ac:dyDescent="0.25">
      <c r="A340" s="11">
        <v>44569.0625</v>
      </c>
      <c r="B340" s="10">
        <v>300.71600000000001</v>
      </c>
      <c r="C340">
        <f t="shared" si="20"/>
        <v>6</v>
      </c>
      <c r="D340">
        <f t="shared" si="21"/>
        <v>8</v>
      </c>
      <c r="E340">
        <f t="shared" si="22"/>
        <v>1</v>
      </c>
      <c r="F340">
        <f t="shared" si="23"/>
        <v>0</v>
      </c>
      <c r="G340">
        <f>VLOOKUP(E340,Sheet1!$A$2:$B$25,2,FALSE)</f>
        <v>0</v>
      </c>
    </row>
    <row r="341" spans="1:7" x14ac:dyDescent="0.25">
      <c r="A341" s="11">
        <v>44569.083333333336</v>
      </c>
      <c r="B341" s="10">
        <v>300.23599999999999</v>
      </c>
      <c r="C341">
        <f t="shared" si="20"/>
        <v>6</v>
      </c>
      <c r="D341">
        <f t="shared" si="21"/>
        <v>8</v>
      </c>
      <c r="E341">
        <f t="shared" si="22"/>
        <v>2</v>
      </c>
      <c r="F341">
        <f t="shared" si="23"/>
        <v>0</v>
      </c>
      <c r="G341">
        <f>VLOOKUP(E341,Sheet1!$A$2:$B$25,2,FALSE)</f>
        <v>0</v>
      </c>
    </row>
    <row r="342" spans="1:7" x14ac:dyDescent="0.25">
      <c r="A342" s="11">
        <v>44569.104166666664</v>
      </c>
      <c r="B342" s="10">
        <v>295.58</v>
      </c>
      <c r="C342">
        <f t="shared" si="20"/>
        <v>6</v>
      </c>
      <c r="D342">
        <f t="shared" si="21"/>
        <v>8</v>
      </c>
      <c r="E342">
        <f t="shared" si="22"/>
        <v>2</v>
      </c>
      <c r="F342">
        <f t="shared" si="23"/>
        <v>0</v>
      </c>
      <c r="G342">
        <f>VLOOKUP(E342,Sheet1!$A$2:$B$25,2,FALSE)</f>
        <v>0</v>
      </c>
    </row>
    <row r="343" spans="1:7" x14ac:dyDescent="0.25">
      <c r="A343" s="11">
        <v>44569.125</v>
      </c>
      <c r="B343" s="10">
        <v>302.041</v>
      </c>
      <c r="C343">
        <f t="shared" si="20"/>
        <v>6</v>
      </c>
      <c r="D343">
        <f t="shared" si="21"/>
        <v>8</v>
      </c>
      <c r="E343">
        <f t="shared" si="22"/>
        <v>3</v>
      </c>
      <c r="F343">
        <f t="shared" si="23"/>
        <v>0</v>
      </c>
      <c r="G343">
        <f>VLOOKUP(E343,Sheet1!$A$2:$B$25,2,FALSE)</f>
        <v>0</v>
      </c>
    </row>
    <row r="344" spans="1:7" x14ac:dyDescent="0.25">
      <c r="A344" s="11">
        <v>44569.145833333336</v>
      </c>
      <c r="B344" s="10">
        <v>306.74</v>
      </c>
      <c r="C344">
        <f t="shared" si="20"/>
        <v>6</v>
      </c>
      <c r="D344">
        <f t="shared" si="21"/>
        <v>8</v>
      </c>
      <c r="E344">
        <f t="shared" si="22"/>
        <v>3</v>
      </c>
      <c r="F344">
        <f t="shared" si="23"/>
        <v>0</v>
      </c>
      <c r="G344">
        <f>VLOOKUP(E344,Sheet1!$A$2:$B$25,2,FALSE)</f>
        <v>0</v>
      </c>
    </row>
    <row r="345" spans="1:7" x14ac:dyDescent="0.25">
      <c r="A345" s="11">
        <v>44569.166666666664</v>
      </c>
      <c r="B345" s="10">
        <v>312.71600000000001</v>
      </c>
      <c r="C345">
        <f t="shared" si="20"/>
        <v>6</v>
      </c>
      <c r="D345">
        <f t="shared" si="21"/>
        <v>8</v>
      </c>
      <c r="E345">
        <f t="shared" si="22"/>
        <v>4</v>
      </c>
      <c r="F345">
        <f t="shared" si="23"/>
        <v>0</v>
      </c>
      <c r="G345">
        <f>VLOOKUP(E345,Sheet1!$A$2:$B$25,2,FALSE)</f>
        <v>1</v>
      </c>
    </row>
    <row r="346" spans="1:7" x14ac:dyDescent="0.25">
      <c r="A346" s="11">
        <v>44569.1875</v>
      </c>
      <c r="B346" s="10">
        <v>316.92099999999999</v>
      </c>
      <c r="C346">
        <f t="shared" si="20"/>
        <v>6</v>
      </c>
      <c r="D346">
        <f t="shared" si="21"/>
        <v>8</v>
      </c>
      <c r="E346">
        <f t="shared" si="22"/>
        <v>4</v>
      </c>
      <c r="F346">
        <f t="shared" si="23"/>
        <v>0</v>
      </c>
      <c r="G346">
        <f>VLOOKUP(E346,Sheet1!$A$2:$B$25,2,FALSE)</f>
        <v>1</v>
      </c>
    </row>
    <row r="347" spans="1:7" x14ac:dyDescent="0.25">
      <c r="A347" s="11">
        <v>44569.208333333336</v>
      </c>
      <c r="B347" s="10">
        <v>315.476</v>
      </c>
      <c r="C347">
        <f t="shared" si="20"/>
        <v>6</v>
      </c>
      <c r="D347">
        <f t="shared" si="21"/>
        <v>8</v>
      </c>
      <c r="E347">
        <f t="shared" si="22"/>
        <v>5</v>
      </c>
      <c r="F347">
        <f t="shared" si="23"/>
        <v>0</v>
      </c>
      <c r="G347">
        <f>VLOOKUP(E347,Sheet1!$A$2:$B$25,2,FALSE)</f>
        <v>1</v>
      </c>
    </row>
    <row r="348" spans="1:7" x14ac:dyDescent="0.25">
      <c r="A348" s="11">
        <v>44569.229166666664</v>
      </c>
      <c r="B348" s="10">
        <v>311.52100000000002</v>
      </c>
      <c r="C348">
        <f t="shared" si="20"/>
        <v>6</v>
      </c>
      <c r="D348">
        <f t="shared" si="21"/>
        <v>8</v>
      </c>
      <c r="E348">
        <f t="shared" si="22"/>
        <v>5</v>
      </c>
      <c r="F348">
        <f t="shared" si="23"/>
        <v>0</v>
      </c>
      <c r="G348">
        <f>VLOOKUP(E348,Sheet1!$A$2:$B$25,2,FALSE)</f>
        <v>1</v>
      </c>
    </row>
    <row r="349" spans="1:7" x14ac:dyDescent="0.25">
      <c r="A349" s="11">
        <v>44569.25</v>
      </c>
      <c r="B349" s="10">
        <v>313.43599999999998</v>
      </c>
      <c r="C349">
        <f t="shared" si="20"/>
        <v>6</v>
      </c>
      <c r="D349">
        <f t="shared" si="21"/>
        <v>8</v>
      </c>
      <c r="E349">
        <f t="shared" si="22"/>
        <v>6</v>
      </c>
      <c r="F349">
        <f t="shared" si="23"/>
        <v>0</v>
      </c>
      <c r="G349">
        <f>VLOOKUP(E349,Sheet1!$A$2:$B$25,2,FALSE)</f>
        <v>1</v>
      </c>
    </row>
    <row r="350" spans="1:7" x14ac:dyDescent="0.25">
      <c r="A350" s="11">
        <v>44569.270833333336</v>
      </c>
      <c r="B350" s="10">
        <v>318.71600000000001</v>
      </c>
      <c r="C350">
        <f t="shared" si="20"/>
        <v>6</v>
      </c>
      <c r="D350">
        <f t="shared" si="21"/>
        <v>8</v>
      </c>
      <c r="E350">
        <f t="shared" si="22"/>
        <v>6</v>
      </c>
      <c r="F350">
        <f t="shared" si="23"/>
        <v>0</v>
      </c>
      <c r="G350">
        <f>VLOOKUP(E350,Sheet1!$A$2:$B$25,2,FALSE)</f>
        <v>1</v>
      </c>
    </row>
    <row r="351" spans="1:7" x14ac:dyDescent="0.25">
      <c r="A351" s="11">
        <v>44569.291666666664</v>
      </c>
      <c r="B351" s="10">
        <v>324.596</v>
      </c>
      <c r="C351">
        <f t="shared" si="20"/>
        <v>6</v>
      </c>
      <c r="D351">
        <f t="shared" si="21"/>
        <v>8</v>
      </c>
      <c r="E351">
        <f t="shared" si="22"/>
        <v>7</v>
      </c>
      <c r="F351">
        <f t="shared" si="23"/>
        <v>0</v>
      </c>
      <c r="G351">
        <f>VLOOKUP(E351,Sheet1!$A$2:$B$25,2,FALSE)</f>
        <v>1</v>
      </c>
    </row>
    <row r="352" spans="1:7" x14ac:dyDescent="0.25">
      <c r="A352" s="11">
        <v>44569.3125</v>
      </c>
      <c r="B352" s="10">
        <v>334.94</v>
      </c>
      <c r="C352">
        <f t="shared" si="20"/>
        <v>6</v>
      </c>
      <c r="D352">
        <f t="shared" si="21"/>
        <v>8</v>
      </c>
      <c r="E352">
        <f t="shared" si="22"/>
        <v>7</v>
      </c>
      <c r="F352">
        <f t="shared" si="23"/>
        <v>0</v>
      </c>
      <c r="G352">
        <f>VLOOKUP(E352,Sheet1!$A$2:$B$25,2,FALSE)</f>
        <v>1</v>
      </c>
    </row>
    <row r="353" spans="1:7" x14ac:dyDescent="0.25">
      <c r="A353" s="11">
        <v>44569.333333333336</v>
      </c>
      <c r="B353" s="10">
        <v>324.26499999999999</v>
      </c>
      <c r="C353">
        <f t="shared" si="20"/>
        <v>6</v>
      </c>
      <c r="D353">
        <f t="shared" si="21"/>
        <v>8</v>
      </c>
      <c r="E353">
        <f t="shared" si="22"/>
        <v>8</v>
      </c>
      <c r="F353">
        <f t="shared" si="23"/>
        <v>0</v>
      </c>
      <c r="G353">
        <f>VLOOKUP(E353,Sheet1!$A$2:$B$25,2,FALSE)</f>
        <v>1</v>
      </c>
    </row>
    <row r="354" spans="1:7" x14ac:dyDescent="0.25">
      <c r="A354" s="11">
        <v>44569.354166666664</v>
      </c>
      <c r="B354" s="10">
        <v>308.06</v>
      </c>
      <c r="C354">
        <f t="shared" si="20"/>
        <v>6</v>
      </c>
      <c r="D354">
        <f t="shared" si="21"/>
        <v>8</v>
      </c>
      <c r="E354">
        <f t="shared" si="22"/>
        <v>8</v>
      </c>
      <c r="F354">
        <f t="shared" si="23"/>
        <v>0</v>
      </c>
      <c r="G354">
        <f>VLOOKUP(E354,Sheet1!$A$2:$B$25,2,FALSE)</f>
        <v>1</v>
      </c>
    </row>
    <row r="355" spans="1:7" x14ac:dyDescent="0.25">
      <c r="A355" s="11">
        <v>44569.375</v>
      </c>
      <c r="B355" s="10">
        <v>303.11599999999999</v>
      </c>
      <c r="C355">
        <f t="shared" si="20"/>
        <v>6</v>
      </c>
      <c r="D355">
        <f t="shared" si="21"/>
        <v>8</v>
      </c>
      <c r="E355">
        <f t="shared" si="22"/>
        <v>9</v>
      </c>
      <c r="F355">
        <f t="shared" si="23"/>
        <v>0</v>
      </c>
      <c r="G355">
        <f>VLOOKUP(E355,Sheet1!$A$2:$B$25,2,FALSE)</f>
        <v>1</v>
      </c>
    </row>
    <row r="356" spans="1:7" x14ac:dyDescent="0.25">
      <c r="A356" s="11">
        <v>44569.395833333336</v>
      </c>
      <c r="B356" s="10">
        <v>321.98</v>
      </c>
      <c r="C356">
        <f t="shared" si="20"/>
        <v>6</v>
      </c>
      <c r="D356">
        <f t="shared" si="21"/>
        <v>8</v>
      </c>
      <c r="E356">
        <f t="shared" si="22"/>
        <v>9</v>
      </c>
      <c r="F356">
        <f t="shared" si="23"/>
        <v>0</v>
      </c>
      <c r="G356">
        <f>VLOOKUP(E356,Sheet1!$A$2:$B$25,2,FALSE)</f>
        <v>1</v>
      </c>
    </row>
    <row r="357" spans="1:7" x14ac:dyDescent="0.25">
      <c r="A357" s="11">
        <v>44569.416666666664</v>
      </c>
      <c r="B357" s="10">
        <v>313.94</v>
      </c>
      <c r="C357">
        <f t="shared" si="20"/>
        <v>6</v>
      </c>
      <c r="D357">
        <f t="shared" si="21"/>
        <v>8</v>
      </c>
      <c r="E357">
        <f t="shared" si="22"/>
        <v>10</v>
      </c>
      <c r="F357">
        <f t="shared" si="23"/>
        <v>0</v>
      </c>
      <c r="G357">
        <f>VLOOKUP(E357,Sheet1!$A$2:$B$25,2,FALSE)</f>
        <v>1</v>
      </c>
    </row>
    <row r="358" spans="1:7" x14ac:dyDescent="0.25">
      <c r="A358" s="11">
        <v>44569.4375</v>
      </c>
      <c r="B358" s="10">
        <v>309.98</v>
      </c>
      <c r="C358">
        <f t="shared" si="20"/>
        <v>6</v>
      </c>
      <c r="D358">
        <f t="shared" si="21"/>
        <v>8</v>
      </c>
      <c r="E358">
        <f t="shared" si="22"/>
        <v>10</v>
      </c>
      <c r="F358">
        <f t="shared" si="23"/>
        <v>0</v>
      </c>
      <c r="G358">
        <f>VLOOKUP(E358,Sheet1!$A$2:$B$25,2,FALSE)</f>
        <v>1</v>
      </c>
    </row>
    <row r="359" spans="1:7" x14ac:dyDescent="0.25">
      <c r="A359" s="11">
        <v>44569.458333333336</v>
      </c>
      <c r="B359" s="10">
        <v>311.64100000000002</v>
      </c>
      <c r="C359">
        <f t="shared" si="20"/>
        <v>6</v>
      </c>
      <c r="D359">
        <f t="shared" si="21"/>
        <v>8</v>
      </c>
      <c r="E359">
        <f t="shared" si="22"/>
        <v>11</v>
      </c>
      <c r="F359">
        <f t="shared" si="23"/>
        <v>0</v>
      </c>
      <c r="G359">
        <f>VLOOKUP(E359,Sheet1!$A$2:$B$25,2,FALSE)</f>
        <v>1</v>
      </c>
    </row>
    <row r="360" spans="1:7" x14ac:dyDescent="0.25">
      <c r="A360" s="11">
        <v>44569.479166666664</v>
      </c>
      <c r="B360" s="10">
        <v>305.06</v>
      </c>
      <c r="C360">
        <f t="shared" si="20"/>
        <v>6</v>
      </c>
      <c r="D360">
        <f t="shared" si="21"/>
        <v>8</v>
      </c>
      <c r="E360">
        <f t="shared" si="22"/>
        <v>11</v>
      </c>
      <c r="F360">
        <f t="shared" si="23"/>
        <v>0</v>
      </c>
      <c r="G360">
        <f>VLOOKUP(E360,Sheet1!$A$2:$B$25,2,FALSE)</f>
        <v>1</v>
      </c>
    </row>
    <row r="361" spans="1:7" x14ac:dyDescent="0.25">
      <c r="A361" s="11">
        <v>44569.5</v>
      </c>
      <c r="B361" s="10">
        <v>294.95600000000002</v>
      </c>
      <c r="C361">
        <f t="shared" si="20"/>
        <v>6</v>
      </c>
      <c r="D361">
        <f t="shared" si="21"/>
        <v>8</v>
      </c>
      <c r="E361">
        <f t="shared" si="22"/>
        <v>12</v>
      </c>
      <c r="F361">
        <f t="shared" si="23"/>
        <v>0</v>
      </c>
      <c r="G361">
        <f>VLOOKUP(E361,Sheet1!$A$2:$B$25,2,FALSE)</f>
        <v>1</v>
      </c>
    </row>
    <row r="362" spans="1:7" x14ac:dyDescent="0.25">
      <c r="A362" s="11">
        <v>44569.520833333336</v>
      </c>
      <c r="B362" s="10">
        <v>291.14</v>
      </c>
      <c r="C362">
        <f t="shared" si="20"/>
        <v>6</v>
      </c>
      <c r="D362">
        <f t="shared" si="21"/>
        <v>8</v>
      </c>
      <c r="E362">
        <f t="shared" si="22"/>
        <v>12</v>
      </c>
      <c r="F362">
        <f t="shared" si="23"/>
        <v>0</v>
      </c>
      <c r="G362">
        <f>VLOOKUP(E362,Sheet1!$A$2:$B$25,2,FALSE)</f>
        <v>1</v>
      </c>
    </row>
    <row r="363" spans="1:7" x14ac:dyDescent="0.25">
      <c r="A363" s="11">
        <v>44569.541666666664</v>
      </c>
      <c r="B363" s="10">
        <v>297.26499999999999</v>
      </c>
      <c r="C363">
        <f t="shared" si="20"/>
        <v>6</v>
      </c>
      <c r="D363">
        <f t="shared" si="21"/>
        <v>8</v>
      </c>
      <c r="E363">
        <f t="shared" si="22"/>
        <v>13</v>
      </c>
      <c r="F363">
        <f t="shared" si="23"/>
        <v>0</v>
      </c>
      <c r="G363">
        <f>VLOOKUP(E363,Sheet1!$A$2:$B$25,2,FALSE)</f>
        <v>1</v>
      </c>
    </row>
    <row r="364" spans="1:7" x14ac:dyDescent="0.25">
      <c r="A364" s="11">
        <v>44569.5625</v>
      </c>
      <c r="B364" s="10">
        <v>304.82</v>
      </c>
      <c r="C364">
        <f t="shared" si="20"/>
        <v>6</v>
      </c>
      <c r="D364">
        <f t="shared" si="21"/>
        <v>8</v>
      </c>
      <c r="E364">
        <f t="shared" si="22"/>
        <v>13</v>
      </c>
      <c r="F364">
        <f t="shared" si="23"/>
        <v>0</v>
      </c>
      <c r="G364">
        <f>VLOOKUP(E364,Sheet1!$A$2:$B$25,2,FALSE)</f>
        <v>1</v>
      </c>
    </row>
    <row r="365" spans="1:7" x14ac:dyDescent="0.25">
      <c r="A365" s="11">
        <v>44569.583333333336</v>
      </c>
      <c r="B365" s="10">
        <v>301.67599999999999</v>
      </c>
      <c r="C365">
        <f t="shared" si="20"/>
        <v>6</v>
      </c>
      <c r="D365">
        <f t="shared" si="21"/>
        <v>8</v>
      </c>
      <c r="E365">
        <f t="shared" si="22"/>
        <v>14</v>
      </c>
      <c r="F365">
        <f t="shared" si="23"/>
        <v>0</v>
      </c>
      <c r="G365">
        <f>VLOOKUP(E365,Sheet1!$A$2:$B$25,2,FALSE)</f>
        <v>1</v>
      </c>
    </row>
    <row r="366" spans="1:7" x14ac:dyDescent="0.25">
      <c r="A366" s="11">
        <v>44569.604166666664</v>
      </c>
      <c r="B366" s="10">
        <v>300.95600000000002</v>
      </c>
      <c r="C366">
        <f t="shared" si="20"/>
        <v>6</v>
      </c>
      <c r="D366">
        <f t="shared" si="21"/>
        <v>8</v>
      </c>
      <c r="E366">
        <f t="shared" si="22"/>
        <v>14</v>
      </c>
      <c r="F366">
        <f t="shared" si="23"/>
        <v>0</v>
      </c>
      <c r="G366">
        <f>VLOOKUP(E366,Sheet1!$A$2:$B$25,2,FALSE)</f>
        <v>1</v>
      </c>
    </row>
    <row r="367" spans="1:7" x14ac:dyDescent="0.25">
      <c r="A367" s="11">
        <v>44569.625</v>
      </c>
      <c r="B367" s="10">
        <v>306.601</v>
      </c>
      <c r="C367">
        <f t="shared" si="20"/>
        <v>6</v>
      </c>
      <c r="D367">
        <f t="shared" si="21"/>
        <v>8</v>
      </c>
      <c r="E367">
        <f t="shared" si="22"/>
        <v>15</v>
      </c>
      <c r="F367">
        <f t="shared" si="23"/>
        <v>0</v>
      </c>
      <c r="G367">
        <f>VLOOKUP(E367,Sheet1!$A$2:$B$25,2,FALSE)</f>
        <v>1</v>
      </c>
    </row>
    <row r="368" spans="1:7" x14ac:dyDescent="0.25">
      <c r="A368" s="11">
        <v>44569.645833333336</v>
      </c>
      <c r="B368" s="10">
        <v>292.916</v>
      </c>
      <c r="C368">
        <f t="shared" si="20"/>
        <v>6</v>
      </c>
      <c r="D368">
        <f t="shared" si="21"/>
        <v>8</v>
      </c>
      <c r="E368">
        <f t="shared" si="22"/>
        <v>15</v>
      </c>
      <c r="F368">
        <f t="shared" si="23"/>
        <v>0</v>
      </c>
      <c r="G368">
        <f>VLOOKUP(E368,Sheet1!$A$2:$B$25,2,FALSE)</f>
        <v>1</v>
      </c>
    </row>
    <row r="369" spans="1:7" x14ac:dyDescent="0.25">
      <c r="A369" s="11">
        <v>44569.666666666664</v>
      </c>
      <c r="B369" s="10">
        <v>303.62</v>
      </c>
      <c r="C369">
        <f t="shared" si="20"/>
        <v>6</v>
      </c>
      <c r="D369">
        <f t="shared" si="21"/>
        <v>8</v>
      </c>
      <c r="E369">
        <f t="shared" si="22"/>
        <v>16</v>
      </c>
      <c r="F369">
        <f t="shared" si="23"/>
        <v>0</v>
      </c>
      <c r="G369">
        <f>VLOOKUP(E369,Sheet1!$A$2:$B$25,2,FALSE)</f>
        <v>0</v>
      </c>
    </row>
    <row r="370" spans="1:7" x14ac:dyDescent="0.25">
      <c r="A370" s="11">
        <v>44569.6875</v>
      </c>
      <c r="B370" s="10">
        <v>302.75599999999997</v>
      </c>
      <c r="C370">
        <f t="shared" si="20"/>
        <v>6</v>
      </c>
      <c r="D370">
        <f t="shared" si="21"/>
        <v>8</v>
      </c>
      <c r="E370">
        <f t="shared" si="22"/>
        <v>16</v>
      </c>
      <c r="F370">
        <f t="shared" si="23"/>
        <v>0</v>
      </c>
      <c r="G370">
        <f>VLOOKUP(E370,Sheet1!$A$2:$B$25,2,FALSE)</f>
        <v>0</v>
      </c>
    </row>
    <row r="371" spans="1:7" x14ac:dyDescent="0.25">
      <c r="A371" s="11">
        <v>44569.708333333336</v>
      </c>
      <c r="B371" s="10">
        <v>302.89999999999998</v>
      </c>
      <c r="C371">
        <f t="shared" si="20"/>
        <v>6</v>
      </c>
      <c r="D371">
        <f t="shared" si="21"/>
        <v>8</v>
      </c>
      <c r="E371">
        <f t="shared" si="22"/>
        <v>17</v>
      </c>
      <c r="F371">
        <f t="shared" si="23"/>
        <v>0</v>
      </c>
      <c r="G371">
        <f>VLOOKUP(E371,Sheet1!$A$2:$B$25,2,FALSE)</f>
        <v>0</v>
      </c>
    </row>
    <row r="372" spans="1:7" x14ac:dyDescent="0.25">
      <c r="A372" s="11">
        <v>44569.729166666664</v>
      </c>
      <c r="B372" s="10">
        <v>314.42</v>
      </c>
      <c r="C372">
        <f t="shared" si="20"/>
        <v>6</v>
      </c>
      <c r="D372">
        <f t="shared" si="21"/>
        <v>8</v>
      </c>
      <c r="E372">
        <f t="shared" si="22"/>
        <v>17</v>
      </c>
      <c r="F372">
        <f t="shared" si="23"/>
        <v>0</v>
      </c>
      <c r="G372">
        <f>VLOOKUP(E372,Sheet1!$A$2:$B$25,2,FALSE)</f>
        <v>0</v>
      </c>
    </row>
    <row r="373" spans="1:7" x14ac:dyDescent="0.25">
      <c r="A373" s="11">
        <v>44569.75</v>
      </c>
      <c r="B373" s="10">
        <v>313.80099999999999</v>
      </c>
      <c r="C373">
        <f t="shared" si="20"/>
        <v>6</v>
      </c>
      <c r="D373">
        <f t="shared" si="21"/>
        <v>8</v>
      </c>
      <c r="E373">
        <f t="shared" si="22"/>
        <v>18</v>
      </c>
      <c r="F373">
        <f t="shared" si="23"/>
        <v>0</v>
      </c>
      <c r="G373">
        <f>VLOOKUP(E373,Sheet1!$A$2:$B$25,2,FALSE)</f>
        <v>0</v>
      </c>
    </row>
    <row r="374" spans="1:7" x14ac:dyDescent="0.25">
      <c r="A374" s="11">
        <v>44569.770833333336</v>
      </c>
      <c r="B374" s="10">
        <v>304.916</v>
      </c>
      <c r="C374">
        <f t="shared" si="20"/>
        <v>6</v>
      </c>
      <c r="D374">
        <f t="shared" si="21"/>
        <v>8</v>
      </c>
      <c r="E374">
        <f t="shared" si="22"/>
        <v>18</v>
      </c>
      <c r="F374">
        <f t="shared" si="23"/>
        <v>0</v>
      </c>
      <c r="G374">
        <f>VLOOKUP(E374,Sheet1!$A$2:$B$25,2,FALSE)</f>
        <v>0</v>
      </c>
    </row>
    <row r="375" spans="1:7" x14ac:dyDescent="0.25">
      <c r="A375" s="11">
        <v>44569.791666666664</v>
      </c>
      <c r="B375" s="10">
        <v>298.79599999999999</v>
      </c>
      <c r="C375">
        <f t="shared" si="20"/>
        <v>6</v>
      </c>
      <c r="D375">
        <f t="shared" si="21"/>
        <v>8</v>
      </c>
      <c r="E375">
        <f t="shared" si="22"/>
        <v>19</v>
      </c>
      <c r="F375">
        <f t="shared" si="23"/>
        <v>0</v>
      </c>
      <c r="G375">
        <f>VLOOKUP(E375,Sheet1!$A$2:$B$25,2,FALSE)</f>
        <v>0</v>
      </c>
    </row>
    <row r="376" spans="1:7" x14ac:dyDescent="0.25">
      <c r="A376" s="11">
        <v>44569.8125</v>
      </c>
      <c r="B376" s="10">
        <v>303.02</v>
      </c>
      <c r="C376">
        <f t="shared" si="20"/>
        <v>6</v>
      </c>
      <c r="D376">
        <f t="shared" si="21"/>
        <v>8</v>
      </c>
      <c r="E376">
        <f t="shared" si="22"/>
        <v>19</v>
      </c>
      <c r="F376">
        <f t="shared" si="23"/>
        <v>0</v>
      </c>
      <c r="G376">
        <f>VLOOKUP(E376,Sheet1!$A$2:$B$25,2,FALSE)</f>
        <v>0</v>
      </c>
    </row>
    <row r="377" spans="1:7" x14ac:dyDescent="0.25">
      <c r="A377" s="11">
        <v>44569.833333333336</v>
      </c>
      <c r="B377" s="10">
        <v>301.56099999999998</v>
      </c>
      <c r="C377">
        <f t="shared" si="20"/>
        <v>6</v>
      </c>
      <c r="D377">
        <f t="shared" si="21"/>
        <v>8</v>
      </c>
      <c r="E377">
        <f t="shared" si="22"/>
        <v>20</v>
      </c>
      <c r="F377">
        <f t="shared" si="23"/>
        <v>0</v>
      </c>
      <c r="G377">
        <f>VLOOKUP(E377,Sheet1!$A$2:$B$25,2,FALSE)</f>
        <v>0</v>
      </c>
    </row>
    <row r="378" spans="1:7" x14ac:dyDescent="0.25">
      <c r="A378" s="11">
        <v>44569.854166666664</v>
      </c>
      <c r="B378" s="10">
        <v>299.51600000000002</v>
      </c>
      <c r="C378">
        <f t="shared" si="20"/>
        <v>6</v>
      </c>
      <c r="D378">
        <f t="shared" si="21"/>
        <v>8</v>
      </c>
      <c r="E378">
        <f t="shared" si="22"/>
        <v>20</v>
      </c>
      <c r="F378">
        <f t="shared" si="23"/>
        <v>0</v>
      </c>
      <c r="G378">
        <f>VLOOKUP(E378,Sheet1!$A$2:$B$25,2,FALSE)</f>
        <v>0</v>
      </c>
    </row>
    <row r="379" spans="1:7" x14ac:dyDescent="0.25">
      <c r="A379" s="11">
        <v>44569.875</v>
      </c>
      <c r="B379" s="10">
        <v>296.87599999999998</v>
      </c>
      <c r="C379">
        <f t="shared" si="20"/>
        <v>6</v>
      </c>
      <c r="D379">
        <f t="shared" si="21"/>
        <v>8</v>
      </c>
      <c r="E379">
        <f t="shared" si="22"/>
        <v>21</v>
      </c>
      <c r="F379">
        <f t="shared" si="23"/>
        <v>0</v>
      </c>
      <c r="G379">
        <f>VLOOKUP(E379,Sheet1!$A$2:$B$25,2,FALSE)</f>
        <v>0</v>
      </c>
    </row>
    <row r="380" spans="1:7" x14ac:dyDescent="0.25">
      <c r="A380" s="11">
        <v>44569.895833333336</v>
      </c>
      <c r="B380" s="10">
        <v>288.98</v>
      </c>
      <c r="C380">
        <f t="shared" si="20"/>
        <v>6</v>
      </c>
      <c r="D380">
        <f t="shared" si="21"/>
        <v>8</v>
      </c>
      <c r="E380">
        <f t="shared" si="22"/>
        <v>21</v>
      </c>
      <c r="F380">
        <f t="shared" si="23"/>
        <v>0</v>
      </c>
      <c r="G380">
        <f>VLOOKUP(E380,Sheet1!$A$2:$B$25,2,FALSE)</f>
        <v>0</v>
      </c>
    </row>
    <row r="381" spans="1:7" x14ac:dyDescent="0.25">
      <c r="A381" s="11">
        <v>44569.916666666664</v>
      </c>
      <c r="B381" s="10">
        <v>289.31599999999997</v>
      </c>
      <c r="C381">
        <f t="shared" si="20"/>
        <v>6</v>
      </c>
      <c r="D381">
        <f t="shared" si="21"/>
        <v>8</v>
      </c>
      <c r="E381">
        <f t="shared" si="22"/>
        <v>22</v>
      </c>
      <c r="F381">
        <f t="shared" si="23"/>
        <v>0</v>
      </c>
      <c r="G381">
        <f>VLOOKUP(E381,Sheet1!$A$2:$B$25,2,FALSE)</f>
        <v>0</v>
      </c>
    </row>
    <row r="382" spans="1:7" x14ac:dyDescent="0.25">
      <c r="A382" s="11">
        <v>44569.9375</v>
      </c>
      <c r="B382" s="10">
        <v>287.3</v>
      </c>
      <c r="C382">
        <f t="shared" si="20"/>
        <v>6</v>
      </c>
      <c r="D382">
        <f t="shared" si="21"/>
        <v>8</v>
      </c>
      <c r="E382">
        <f t="shared" si="22"/>
        <v>22</v>
      </c>
      <c r="F382">
        <f t="shared" si="23"/>
        <v>0</v>
      </c>
      <c r="G382">
        <f>VLOOKUP(E382,Sheet1!$A$2:$B$25,2,FALSE)</f>
        <v>0</v>
      </c>
    </row>
    <row r="383" spans="1:7" x14ac:dyDescent="0.25">
      <c r="A383" s="11">
        <v>44569.958333333336</v>
      </c>
      <c r="B383" s="10">
        <v>287.75599999999997</v>
      </c>
      <c r="C383">
        <f t="shared" si="20"/>
        <v>6</v>
      </c>
      <c r="D383">
        <f t="shared" si="21"/>
        <v>8</v>
      </c>
      <c r="E383">
        <f t="shared" si="22"/>
        <v>23</v>
      </c>
      <c r="F383">
        <f t="shared" si="23"/>
        <v>0</v>
      </c>
      <c r="G383">
        <f>VLOOKUP(E383,Sheet1!$A$2:$B$25,2,FALSE)</f>
        <v>0</v>
      </c>
    </row>
    <row r="384" spans="1:7" x14ac:dyDescent="0.25">
      <c r="A384" s="11">
        <v>44569.979166666664</v>
      </c>
      <c r="B384" s="10">
        <v>291.23599999999999</v>
      </c>
      <c r="C384">
        <f t="shared" si="20"/>
        <v>6</v>
      </c>
      <c r="D384">
        <f t="shared" si="21"/>
        <v>8</v>
      </c>
      <c r="E384">
        <f t="shared" si="22"/>
        <v>23</v>
      </c>
      <c r="F384">
        <f t="shared" si="23"/>
        <v>0</v>
      </c>
      <c r="G384">
        <f>VLOOKUP(E384,Sheet1!$A$2:$B$25,2,FALSE)</f>
        <v>0</v>
      </c>
    </row>
    <row r="385" spans="1:7" x14ac:dyDescent="0.25">
      <c r="A385" s="11">
        <v>44570</v>
      </c>
      <c r="B385" s="10">
        <v>288.95600000000002</v>
      </c>
      <c r="C385">
        <f t="shared" si="20"/>
        <v>7</v>
      </c>
      <c r="D385">
        <f t="shared" si="21"/>
        <v>9</v>
      </c>
      <c r="E385">
        <f t="shared" si="22"/>
        <v>0</v>
      </c>
      <c r="F385">
        <f t="shared" si="23"/>
        <v>0</v>
      </c>
      <c r="G385">
        <f>VLOOKUP(E385,Sheet1!$A$2:$B$25,2,FALSE)</f>
        <v>0</v>
      </c>
    </row>
    <row r="386" spans="1:7" x14ac:dyDescent="0.25">
      <c r="A386" s="11">
        <v>44570.020833333336</v>
      </c>
      <c r="B386" s="10">
        <v>295.08100000000002</v>
      </c>
      <c r="C386">
        <f t="shared" ref="C386:C449" si="24">WEEKDAY(A386,2)</f>
        <v>7</v>
      </c>
      <c r="D386">
        <f t="shared" ref="D386:D449" si="25">DAY(A386)</f>
        <v>9</v>
      </c>
      <c r="E386">
        <f t="shared" ref="E386:E449" si="26">HOUR(A386)</f>
        <v>0</v>
      </c>
      <c r="F386">
        <f t="shared" si="23"/>
        <v>0</v>
      </c>
      <c r="G386">
        <f>VLOOKUP(E386,Sheet1!$A$2:$B$25,2,FALSE)</f>
        <v>0</v>
      </c>
    </row>
    <row r="387" spans="1:7" x14ac:dyDescent="0.25">
      <c r="A387" s="11">
        <v>44570.041666666664</v>
      </c>
      <c r="B387" s="10">
        <v>292.19600000000003</v>
      </c>
      <c r="C387">
        <f t="shared" si="24"/>
        <v>7</v>
      </c>
      <c r="D387">
        <f t="shared" si="25"/>
        <v>9</v>
      </c>
      <c r="E387">
        <f t="shared" si="26"/>
        <v>1</v>
      </c>
      <c r="F387">
        <f t="shared" ref="F387:F450" si="27">IF(C387&gt;=6,0,1)</f>
        <v>0</v>
      </c>
      <c r="G387">
        <f>VLOOKUP(E387,Sheet1!$A$2:$B$25,2,FALSE)</f>
        <v>0</v>
      </c>
    </row>
    <row r="388" spans="1:7" x14ac:dyDescent="0.25">
      <c r="A388" s="11">
        <v>44570.0625</v>
      </c>
      <c r="B388" s="10">
        <v>290.66000000000003</v>
      </c>
      <c r="C388">
        <f t="shared" si="24"/>
        <v>7</v>
      </c>
      <c r="D388">
        <f t="shared" si="25"/>
        <v>9</v>
      </c>
      <c r="E388">
        <f t="shared" si="26"/>
        <v>1</v>
      </c>
      <c r="F388">
        <f t="shared" si="27"/>
        <v>0</v>
      </c>
      <c r="G388">
        <f>VLOOKUP(E388,Sheet1!$A$2:$B$25,2,FALSE)</f>
        <v>0</v>
      </c>
    </row>
    <row r="389" spans="1:7" x14ac:dyDescent="0.25">
      <c r="A389" s="11">
        <v>44570.083333333336</v>
      </c>
      <c r="B389" s="10">
        <v>288.476</v>
      </c>
      <c r="C389">
        <f t="shared" si="24"/>
        <v>7</v>
      </c>
      <c r="D389">
        <f t="shared" si="25"/>
        <v>9</v>
      </c>
      <c r="E389">
        <f t="shared" si="26"/>
        <v>2</v>
      </c>
      <c r="F389">
        <f t="shared" si="27"/>
        <v>0</v>
      </c>
      <c r="G389">
        <f>VLOOKUP(E389,Sheet1!$A$2:$B$25,2,FALSE)</f>
        <v>0</v>
      </c>
    </row>
    <row r="390" spans="1:7" x14ac:dyDescent="0.25">
      <c r="A390" s="11">
        <v>44570.104166666664</v>
      </c>
      <c r="B390" s="10">
        <v>289.31599999999997</v>
      </c>
      <c r="C390">
        <f t="shared" si="24"/>
        <v>7</v>
      </c>
      <c r="D390">
        <f t="shared" si="25"/>
        <v>9</v>
      </c>
      <c r="E390">
        <f t="shared" si="26"/>
        <v>2</v>
      </c>
      <c r="F390">
        <f t="shared" si="27"/>
        <v>0</v>
      </c>
      <c r="G390">
        <f>VLOOKUP(E390,Sheet1!$A$2:$B$25,2,FALSE)</f>
        <v>0</v>
      </c>
    </row>
    <row r="391" spans="1:7" x14ac:dyDescent="0.25">
      <c r="A391" s="11">
        <v>44570.125</v>
      </c>
      <c r="B391" s="10">
        <v>291.62</v>
      </c>
      <c r="C391">
        <f t="shared" si="24"/>
        <v>7</v>
      </c>
      <c r="D391">
        <f t="shared" si="25"/>
        <v>9</v>
      </c>
      <c r="E391">
        <f t="shared" si="26"/>
        <v>3</v>
      </c>
      <c r="F391">
        <f t="shared" si="27"/>
        <v>0</v>
      </c>
      <c r="G391">
        <f>VLOOKUP(E391,Sheet1!$A$2:$B$25,2,FALSE)</f>
        <v>0</v>
      </c>
    </row>
    <row r="392" spans="1:7" x14ac:dyDescent="0.25">
      <c r="A392" s="11">
        <v>44570.145833333336</v>
      </c>
      <c r="B392" s="10">
        <v>289.94</v>
      </c>
      <c r="C392">
        <f t="shared" si="24"/>
        <v>7</v>
      </c>
      <c r="D392">
        <f t="shared" si="25"/>
        <v>9</v>
      </c>
      <c r="E392">
        <f t="shared" si="26"/>
        <v>3</v>
      </c>
      <c r="F392">
        <f t="shared" si="27"/>
        <v>0</v>
      </c>
      <c r="G392">
        <f>VLOOKUP(E392,Sheet1!$A$2:$B$25,2,FALSE)</f>
        <v>0</v>
      </c>
    </row>
    <row r="393" spans="1:7" x14ac:dyDescent="0.25">
      <c r="A393" s="11">
        <v>44570.166666666664</v>
      </c>
      <c r="B393" s="10">
        <v>292.94499999999999</v>
      </c>
      <c r="C393">
        <f t="shared" si="24"/>
        <v>7</v>
      </c>
      <c r="D393">
        <f t="shared" si="25"/>
        <v>9</v>
      </c>
      <c r="E393">
        <f t="shared" si="26"/>
        <v>4</v>
      </c>
      <c r="F393">
        <f t="shared" si="27"/>
        <v>0</v>
      </c>
      <c r="G393">
        <f>VLOOKUP(E393,Sheet1!$A$2:$B$25,2,FALSE)</f>
        <v>1</v>
      </c>
    </row>
    <row r="394" spans="1:7" x14ac:dyDescent="0.25">
      <c r="A394" s="11">
        <v>44570.1875</v>
      </c>
      <c r="B394" s="10">
        <v>286.45999999999998</v>
      </c>
      <c r="C394">
        <f t="shared" si="24"/>
        <v>7</v>
      </c>
      <c r="D394">
        <f t="shared" si="25"/>
        <v>9</v>
      </c>
      <c r="E394">
        <f t="shared" si="26"/>
        <v>4</v>
      </c>
      <c r="F394">
        <f t="shared" si="27"/>
        <v>0</v>
      </c>
      <c r="G394">
        <f>VLOOKUP(E394,Sheet1!$A$2:$B$25,2,FALSE)</f>
        <v>1</v>
      </c>
    </row>
    <row r="395" spans="1:7" x14ac:dyDescent="0.25">
      <c r="A395" s="11">
        <v>44570.208333333336</v>
      </c>
      <c r="B395" s="10">
        <v>294.14</v>
      </c>
      <c r="C395">
        <f t="shared" si="24"/>
        <v>7</v>
      </c>
      <c r="D395">
        <f t="shared" si="25"/>
        <v>9</v>
      </c>
      <c r="E395">
        <f t="shared" si="26"/>
        <v>5</v>
      </c>
      <c r="F395">
        <f t="shared" si="27"/>
        <v>0</v>
      </c>
      <c r="G395">
        <f>VLOOKUP(E395,Sheet1!$A$2:$B$25,2,FALSE)</f>
        <v>1</v>
      </c>
    </row>
    <row r="396" spans="1:7" x14ac:dyDescent="0.25">
      <c r="A396" s="11">
        <v>44570.229166666664</v>
      </c>
      <c r="B396" s="10">
        <v>285.86</v>
      </c>
      <c r="C396">
        <f t="shared" si="24"/>
        <v>7</v>
      </c>
      <c r="D396">
        <f t="shared" si="25"/>
        <v>9</v>
      </c>
      <c r="E396">
        <f t="shared" si="26"/>
        <v>5</v>
      </c>
      <c r="F396">
        <f t="shared" si="27"/>
        <v>0</v>
      </c>
      <c r="G396">
        <f>VLOOKUP(E396,Sheet1!$A$2:$B$25,2,FALSE)</f>
        <v>1</v>
      </c>
    </row>
    <row r="397" spans="1:7" x14ac:dyDescent="0.25">
      <c r="A397" s="11">
        <v>44570.25</v>
      </c>
      <c r="B397" s="10">
        <v>289.10000000000002</v>
      </c>
      <c r="C397">
        <f t="shared" si="24"/>
        <v>7</v>
      </c>
      <c r="D397">
        <f t="shared" si="25"/>
        <v>9</v>
      </c>
      <c r="E397">
        <f t="shared" si="26"/>
        <v>6</v>
      </c>
      <c r="F397">
        <f t="shared" si="27"/>
        <v>0</v>
      </c>
      <c r="G397">
        <f>VLOOKUP(E397,Sheet1!$A$2:$B$25,2,FALSE)</f>
        <v>1</v>
      </c>
    </row>
    <row r="398" spans="1:7" x14ac:dyDescent="0.25">
      <c r="A398" s="11">
        <v>44570.270833333336</v>
      </c>
      <c r="B398" s="10">
        <v>288.02</v>
      </c>
      <c r="C398">
        <f t="shared" si="24"/>
        <v>7</v>
      </c>
      <c r="D398">
        <f t="shared" si="25"/>
        <v>9</v>
      </c>
      <c r="E398">
        <f t="shared" si="26"/>
        <v>6</v>
      </c>
      <c r="F398">
        <f t="shared" si="27"/>
        <v>0</v>
      </c>
      <c r="G398">
        <f>VLOOKUP(E398,Sheet1!$A$2:$B$25,2,FALSE)</f>
        <v>1</v>
      </c>
    </row>
    <row r="399" spans="1:7" x14ac:dyDescent="0.25">
      <c r="A399" s="11">
        <v>44570.291666666664</v>
      </c>
      <c r="B399" s="10">
        <v>287.78500000000003</v>
      </c>
      <c r="C399">
        <f t="shared" si="24"/>
        <v>7</v>
      </c>
      <c r="D399">
        <f t="shared" si="25"/>
        <v>9</v>
      </c>
      <c r="E399">
        <f t="shared" si="26"/>
        <v>7</v>
      </c>
      <c r="F399">
        <f t="shared" si="27"/>
        <v>0</v>
      </c>
      <c r="G399">
        <f>VLOOKUP(E399,Sheet1!$A$2:$B$25,2,FALSE)</f>
        <v>1</v>
      </c>
    </row>
    <row r="400" spans="1:7" x14ac:dyDescent="0.25">
      <c r="A400" s="11">
        <v>44570.3125</v>
      </c>
      <c r="B400" s="10">
        <v>288.23599999999999</v>
      </c>
      <c r="C400">
        <f t="shared" si="24"/>
        <v>7</v>
      </c>
      <c r="D400">
        <f t="shared" si="25"/>
        <v>9</v>
      </c>
      <c r="E400">
        <f t="shared" si="26"/>
        <v>7</v>
      </c>
      <c r="F400">
        <f t="shared" si="27"/>
        <v>0</v>
      </c>
      <c r="G400">
        <f>VLOOKUP(E400,Sheet1!$A$2:$B$25,2,FALSE)</f>
        <v>1</v>
      </c>
    </row>
    <row r="401" spans="1:7" x14ac:dyDescent="0.25">
      <c r="A401" s="11">
        <v>44570.333333333336</v>
      </c>
      <c r="B401" s="10">
        <v>281.51600000000002</v>
      </c>
      <c r="C401">
        <f t="shared" si="24"/>
        <v>7</v>
      </c>
      <c r="D401">
        <f t="shared" si="25"/>
        <v>9</v>
      </c>
      <c r="E401">
        <f t="shared" si="26"/>
        <v>8</v>
      </c>
      <c r="F401">
        <f t="shared" si="27"/>
        <v>0</v>
      </c>
      <c r="G401">
        <f>VLOOKUP(E401,Sheet1!$A$2:$B$25,2,FALSE)</f>
        <v>1</v>
      </c>
    </row>
    <row r="402" spans="1:7" x14ac:dyDescent="0.25">
      <c r="A402" s="11">
        <v>44570.354166666664</v>
      </c>
      <c r="B402" s="10">
        <v>274.916</v>
      </c>
      <c r="C402">
        <f t="shared" si="24"/>
        <v>7</v>
      </c>
      <c r="D402">
        <f t="shared" si="25"/>
        <v>9</v>
      </c>
      <c r="E402">
        <f t="shared" si="26"/>
        <v>8</v>
      </c>
      <c r="F402">
        <f t="shared" si="27"/>
        <v>0</v>
      </c>
      <c r="G402">
        <f>VLOOKUP(E402,Sheet1!$A$2:$B$25,2,FALSE)</f>
        <v>1</v>
      </c>
    </row>
    <row r="403" spans="1:7" x14ac:dyDescent="0.25">
      <c r="A403" s="11">
        <v>44570.375</v>
      </c>
      <c r="B403" s="10">
        <v>277.94</v>
      </c>
      <c r="C403">
        <f t="shared" si="24"/>
        <v>7</v>
      </c>
      <c r="D403">
        <f t="shared" si="25"/>
        <v>9</v>
      </c>
      <c r="E403">
        <f t="shared" si="26"/>
        <v>9</v>
      </c>
      <c r="F403">
        <f t="shared" si="27"/>
        <v>0</v>
      </c>
      <c r="G403">
        <f>VLOOKUP(E403,Sheet1!$A$2:$B$25,2,FALSE)</f>
        <v>1</v>
      </c>
    </row>
    <row r="404" spans="1:7" x14ac:dyDescent="0.25">
      <c r="A404" s="11">
        <v>44570.395833333336</v>
      </c>
      <c r="B404" s="10">
        <v>277.10000000000002</v>
      </c>
      <c r="C404">
        <f t="shared" si="24"/>
        <v>7</v>
      </c>
      <c r="D404">
        <f t="shared" si="25"/>
        <v>9</v>
      </c>
      <c r="E404">
        <f t="shared" si="26"/>
        <v>9</v>
      </c>
      <c r="F404">
        <f t="shared" si="27"/>
        <v>0</v>
      </c>
      <c r="G404">
        <f>VLOOKUP(E404,Sheet1!$A$2:$B$25,2,FALSE)</f>
        <v>1</v>
      </c>
    </row>
    <row r="405" spans="1:7" x14ac:dyDescent="0.25">
      <c r="A405" s="11">
        <v>44570.416666666664</v>
      </c>
      <c r="B405" s="10">
        <v>280.58499999999998</v>
      </c>
      <c r="C405">
        <f t="shared" si="24"/>
        <v>7</v>
      </c>
      <c r="D405">
        <f t="shared" si="25"/>
        <v>9</v>
      </c>
      <c r="E405">
        <f t="shared" si="26"/>
        <v>10</v>
      </c>
      <c r="F405">
        <f t="shared" si="27"/>
        <v>0</v>
      </c>
      <c r="G405">
        <f>VLOOKUP(E405,Sheet1!$A$2:$B$25,2,FALSE)</f>
        <v>1</v>
      </c>
    </row>
    <row r="406" spans="1:7" x14ac:dyDescent="0.25">
      <c r="A406" s="11">
        <v>44570.4375</v>
      </c>
      <c r="B406" s="10">
        <v>276.14</v>
      </c>
      <c r="C406">
        <f t="shared" si="24"/>
        <v>7</v>
      </c>
      <c r="D406">
        <f t="shared" si="25"/>
        <v>9</v>
      </c>
      <c r="E406">
        <f t="shared" si="26"/>
        <v>10</v>
      </c>
      <c r="F406">
        <f t="shared" si="27"/>
        <v>0</v>
      </c>
      <c r="G406">
        <f>VLOOKUP(E406,Sheet1!$A$2:$B$25,2,FALSE)</f>
        <v>1</v>
      </c>
    </row>
    <row r="407" spans="1:7" x14ac:dyDescent="0.25">
      <c r="A407" s="11">
        <v>44570.458333333336</v>
      </c>
      <c r="B407" s="10">
        <v>280.33999999999997</v>
      </c>
      <c r="C407">
        <f t="shared" si="24"/>
        <v>7</v>
      </c>
      <c r="D407">
        <f t="shared" si="25"/>
        <v>9</v>
      </c>
      <c r="E407">
        <f t="shared" si="26"/>
        <v>11</v>
      </c>
      <c r="F407">
        <f t="shared" si="27"/>
        <v>0</v>
      </c>
      <c r="G407">
        <f>VLOOKUP(E407,Sheet1!$A$2:$B$25,2,FALSE)</f>
        <v>1</v>
      </c>
    </row>
    <row r="408" spans="1:7" x14ac:dyDescent="0.25">
      <c r="A408" s="11">
        <v>44570.479166666664</v>
      </c>
      <c r="B408" s="10">
        <v>278.66000000000003</v>
      </c>
      <c r="C408">
        <f t="shared" si="24"/>
        <v>7</v>
      </c>
      <c r="D408">
        <f t="shared" si="25"/>
        <v>9</v>
      </c>
      <c r="E408">
        <f t="shared" si="26"/>
        <v>11</v>
      </c>
      <c r="F408">
        <f t="shared" si="27"/>
        <v>0</v>
      </c>
      <c r="G408">
        <f>VLOOKUP(E408,Sheet1!$A$2:$B$25,2,FALSE)</f>
        <v>1</v>
      </c>
    </row>
    <row r="409" spans="1:7" x14ac:dyDescent="0.25">
      <c r="A409" s="11">
        <v>44570.5</v>
      </c>
      <c r="B409" s="10">
        <v>283.79599999999999</v>
      </c>
      <c r="C409">
        <f t="shared" si="24"/>
        <v>7</v>
      </c>
      <c r="D409">
        <f t="shared" si="25"/>
        <v>9</v>
      </c>
      <c r="E409">
        <f t="shared" si="26"/>
        <v>12</v>
      </c>
      <c r="F409">
        <f t="shared" si="27"/>
        <v>0</v>
      </c>
      <c r="G409">
        <f>VLOOKUP(E409,Sheet1!$A$2:$B$25,2,FALSE)</f>
        <v>1</v>
      </c>
    </row>
    <row r="410" spans="1:7" x14ac:dyDescent="0.25">
      <c r="A410" s="11">
        <v>44570.520833333336</v>
      </c>
      <c r="B410" s="10">
        <v>275.76100000000002</v>
      </c>
      <c r="C410">
        <f t="shared" si="24"/>
        <v>7</v>
      </c>
      <c r="D410">
        <f t="shared" si="25"/>
        <v>9</v>
      </c>
      <c r="E410">
        <f t="shared" si="26"/>
        <v>12</v>
      </c>
      <c r="F410">
        <f t="shared" si="27"/>
        <v>0</v>
      </c>
      <c r="G410">
        <f>VLOOKUP(E410,Sheet1!$A$2:$B$25,2,FALSE)</f>
        <v>1</v>
      </c>
    </row>
    <row r="411" spans="1:7" x14ac:dyDescent="0.25">
      <c r="A411" s="11">
        <v>44570.541666666664</v>
      </c>
      <c r="B411" s="10">
        <v>278.15600000000001</v>
      </c>
      <c r="C411">
        <f t="shared" si="24"/>
        <v>7</v>
      </c>
      <c r="D411">
        <f t="shared" si="25"/>
        <v>9</v>
      </c>
      <c r="E411">
        <f t="shared" si="26"/>
        <v>13</v>
      </c>
      <c r="F411">
        <f t="shared" si="27"/>
        <v>0</v>
      </c>
      <c r="G411">
        <f>VLOOKUP(E411,Sheet1!$A$2:$B$25,2,FALSE)</f>
        <v>1</v>
      </c>
    </row>
    <row r="412" spans="1:7" x14ac:dyDescent="0.25">
      <c r="A412" s="11">
        <v>44570.5625</v>
      </c>
      <c r="B412" s="10">
        <v>282.86</v>
      </c>
      <c r="C412">
        <f t="shared" si="24"/>
        <v>7</v>
      </c>
      <c r="D412">
        <f t="shared" si="25"/>
        <v>9</v>
      </c>
      <c r="E412">
        <f t="shared" si="26"/>
        <v>13</v>
      </c>
      <c r="F412">
        <f t="shared" si="27"/>
        <v>0</v>
      </c>
      <c r="G412">
        <f>VLOOKUP(E412,Sheet1!$A$2:$B$25,2,FALSE)</f>
        <v>1</v>
      </c>
    </row>
    <row r="413" spans="1:7" x14ac:dyDescent="0.25">
      <c r="A413" s="11">
        <v>44570.583333333336</v>
      </c>
      <c r="B413" s="10">
        <v>283.22500000000002</v>
      </c>
      <c r="C413">
        <f t="shared" si="24"/>
        <v>7</v>
      </c>
      <c r="D413">
        <f t="shared" si="25"/>
        <v>9</v>
      </c>
      <c r="E413">
        <f t="shared" si="26"/>
        <v>14</v>
      </c>
      <c r="F413">
        <f t="shared" si="27"/>
        <v>0</v>
      </c>
      <c r="G413">
        <f>VLOOKUP(E413,Sheet1!$A$2:$B$25,2,FALSE)</f>
        <v>1</v>
      </c>
    </row>
    <row r="414" spans="1:7" x14ac:dyDescent="0.25">
      <c r="A414" s="11">
        <v>44570.604166666664</v>
      </c>
      <c r="B414" s="10">
        <v>287.63600000000002</v>
      </c>
      <c r="C414">
        <f t="shared" si="24"/>
        <v>7</v>
      </c>
      <c r="D414">
        <f t="shared" si="25"/>
        <v>9</v>
      </c>
      <c r="E414">
        <f t="shared" si="26"/>
        <v>14</v>
      </c>
      <c r="F414">
        <f t="shared" si="27"/>
        <v>0</v>
      </c>
      <c r="G414">
        <f>VLOOKUP(E414,Sheet1!$A$2:$B$25,2,FALSE)</f>
        <v>1</v>
      </c>
    </row>
    <row r="415" spans="1:7" x14ac:dyDescent="0.25">
      <c r="A415" s="11">
        <v>44570.625</v>
      </c>
      <c r="B415" s="10">
        <v>284.42</v>
      </c>
      <c r="C415">
        <f t="shared" si="24"/>
        <v>7</v>
      </c>
      <c r="D415">
        <f t="shared" si="25"/>
        <v>9</v>
      </c>
      <c r="E415">
        <f t="shared" si="26"/>
        <v>15</v>
      </c>
      <c r="F415">
        <f t="shared" si="27"/>
        <v>0</v>
      </c>
      <c r="G415">
        <f>VLOOKUP(E415,Sheet1!$A$2:$B$25,2,FALSE)</f>
        <v>1</v>
      </c>
    </row>
    <row r="416" spans="1:7" x14ac:dyDescent="0.25">
      <c r="A416" s="11">
        <v>44570.645833333336</v>
      </c>
      <c r="B416" s="10">
        <v>285.745</v>
      </c>
      <c r="C416">
        <f t="shared" si="24"/>
        <v>7</v>
      </c>
      <c r="D416">
        <f t="shared" si="25"/>
        <v>9</v>
      </c>
      <c r="E416">
        <f t="shared" si="26"/>
        <v>15</v>
      </c>
      <c r="F416">
        <f t="shared" si="27"/>
        <v>0</v>
      </c>
      <c r="G416">
        <f>VLOOKUP(E416,Sheet1!$A$2:$B$25,2,FALSE)</f>
        <v>1</v>
      </c>
    </row>
    <row r="417" spans="1:7" x14ac:dyDescent="0.25">
      <c r="A417" s="11">
        <v>44570.666666666664</v>
      </c>
      <c r="B417" s="10">
        <v>286.07600000000002</v>
      </c>
      <c r="C417">
        <f t="shared" si="24"/>
        <v>7</v>
      </c>
      <c r="D417">
        <f t="shared" si="25"/>
        <v>9</v>
      </c>
      <c r="E417">
        <f t="shared" si="26"/>
        <v>16</v>
      </c>
      <c r="F417">
        <f t="shared" si="27"/>
        <v>0</v>
      </c>
      <c r="G417">
        <f>VLOOKUP(E417,Sheet1!$A$2:$B$25,2,FALSE)</f>
        <v>0</v>
      </c>
    </row>
    <row r="418" spans="1:7" x14ac:dyDescent="0.25">
      <c r="A418" s="11">
        <v>44570.6875</v>
      </c>
      <c r="B418" s="10">
        <v>281.87599999999998</v>
      </c>
      <c r="C418">
        <f t="shared" si="24"/>
        <v>7</v>
      </c>
      <c r="D418">
        <f t="shared" si="25"/>
        <v>9</v>
      </c>
      <c r="E418">
        <f t="shared" si="26"/>
        <v>16</v>
      </c>
      <c r="F418">
        <f t="shared" si="27"/>
        <v>0</v>
      </c>
      <c r="G418">
        <f>VLOOKUP(E418,Sheet1!$A$2:$B$25,2,FALSE)</f>
        <v>0</v>
      </c>
    </row>
    <row r="419" spans="1:7" x14ac:dyDescent="0.25">
      <c r="A419" s="11">
        <v>44570.708333333336</v>
      </c>
      <c r="B419" s="10">
        <v>287.041</v>
      </c>
      <c r="C419">
        <f t="shared" si="24"/>
        <v>7</v>
      </c>
      <c r="D419">
        <f t="shared" si="25"/>
        <v>9</v>
      </c>
      <c r="E419">
        <f t="shared" si="26"/>
        <v>17</v>
      </c>
      <c r="F419">
        <f t="shared" si="27"/>
        <v>0</v>
      </c>
      <c r="G419">
        <f>VLOOKUP(E419,Sheet1!$A$2:$B$25,2,FALSE)</f>
        <v>0</v>
      </c>
    </row>
    <row r="420" spans="1:7" x14ac:dyDescent="0.25">
      <c r="A420" s="11">
        <v>44570.729166666664</v>
      </c>
      <c r="B420" s="10">
        <v>294.98</v>
      </c>
      <c r="C420">
        <f t="shared" si="24"/>
        <v>7</v>
      </c>
      <c r="D420">
        <f t="shared" si="25"/>
        <v>9</v>
      </c>
      <c r="E420">
        <f t="shared" si="26"/>
        <v>17</v>
      </c>
      <c r="F420">
        <f t="shared" si="27"/>
        <v>0</v>
      </c>
      <c r="G420">
        <f>VLOOKUP(E420,Sheet1!$A$2:$B$25,2,FALSE)</f>
        <v>0</v>
      </c>
    </row>
    <row r="421" spans="1:7" x14ac:dyDescent="0.25">
      <c r="A421" s="11">
        <v>44570.75</v>
      </c>
      <c r="B421" s="10">
        <v>295.43599999999998</v>
      </c>
      <c r="C421">
        <f t="shared" si="24"/>
        <v>7</v>
      </c>
      <c r="D421">
        <f t="shared" si="25"/>
        <v>9</v>
      </c>
      <c r="E421">
        <f t="shared" si="26"/>
        <v>18</v>
      </c>
      <c r="F421">
        <f t="shared" si="27"/>
        <v>0</v>
      </c>
      <c r="G421">
        <f>VLOOKUP(E421,Sheet1!$A$2:$B$25,2,FALSE)</f>
        <v>0</v>
      </c>
    </row>
    <row r="422" spans="1:7" x14ac:dyDescent="0.25">
      <c r="A422" s="11">
        <v>44570.770833333336</v>
      </c>
      <c r="B422" s="10">
        <v>293.63600000000002</v>
      </c>
      <c r="C422">
        <f t="shared" si="24"/>
        <v>7</v>
      </c>
      <c r="D422">
        <f t="shared" si="25"/>
        <v>9</v>
      </c>
      <c r="E422">
        <f t="shared" si="26"/>
        <v>18</v>
      </c>
      <c r="F422">
        <f t="shared" si="27"/>
        <v>0</v>
      </c>
      <c r="G422">
        <f>VLOOKUP(E422,Sheet1!$A$2:$B$25,2,FALSE)</f>
        <v>0</v>
      </c>
    </row>
    <row r="423" spans="1:7" x14ac:dyDescent="0.25">
      <c r="A423" s="11">
        <v>44570.791666666664</v>
      </c>
      <c r="B423" s="10">
        <v>298.67599999999999</v>
      </c>
      <c r="C423">
        <f t="shared" si="24"/>
        <v>7</v>
      </c>
      <c r="D423">
        <f t="shared" si="25"/>
        <v>9</v>
      </c>
      <c r="E423">
        <f t="shared" si="26"/>
        <v>19</v>
      </c>
      <c r="F423">
        <f t="shared" si="27"/>
        <v>0</v>
      </c>
      <c r="G423">
        <f>VLOOKUP(E423,Sheet1!$A$2:$B$25,2,FALSE)</f>
        <v>0</v>
      </c>
    </row>
    <row r="424" spans="1:7" x14ac:dyDescent="0.25">
      <c r="A424" s="11">
        <v>44570.8125</v>
      </c>
      <c r="B424" s="10">
        <v>296.75599999999997</v>
      </c>
      <c r="C424">
        <f t="shared" si="24"/>
        <v>7</v>
      </c>
      <c r="D424">
        <f t="shared" si="25"/>
        <v>9</v>
      </c>
      <c r="E424">
        <f t="shared" si="26"/>
        <v>19</v>
      </c>
      <c r="F424">
        <f t="shared" si="27"/>
        <v>0</v>
      </c>
      <c r="G424">
        <f>VLOOKUP(E424,Sheet1!$A$2:$B$25,2,FALSE)</f>
        <v>0</v>
      </c>
    </row>
    <row r="425" spans="1:7" x14ac:dyDescent="0.25">
      <c r="A425" s="11">
        <v>44570.833333333336</v>
      </c>
      <c r="B425" s="10">
        <v>300.98</v>
      </c>
      <c r="C425">
        <f t="shared" si="24"/>
        <v>7</v>
      </c>
      <c r="D425">
        <f t="shared" si="25"/>
        <v>9</v>
      </c>
      <c r="E425">
        <f t="shared" si="26"/>
        <v>20</v>
      </c>
      <c r="F425">
        <f t="shared" si="27"/>
        <v>0</v>
      </c>
      <c r="G425">
        <f>VLOOKUP(E425,Sheet1!$A$2:$B$25,2,FALSE)</f>
        <v>0</v>
      </c>
    </row>
    <row r="426" spans="1:7" x14ac:dyDescent="0.25">
      <c r="A426" s="11">
        <v>44570.854166666664</v>
      </c>
      <c r="B426" s="10">
        <v>299.51600000000002</v>
      </c>
      <c r="C426">
        <f t="shared" si="24"/>
        <v>7</v>
      </c>
      <c r="D426">
        <f t="shared" si="25"/>
        <v>9</v>
      </c>
      <c r="E426">
        <f t="shared" si="26"/>
        <v>20</v>
      </c>
      <c r="F426">
        <f t="shared" si="27"/>
        <v>0</v>
      </c>
      <c r="G426">
        <f>VLOOKUP(E426,Sheet1!$A$2:$B$25,2,FALSE)</f>
        <v>0</v>
      </c>
    </row>
    <row r="427" spans="1:7" x14ac:dyDescent="0.25">
      <c r="A427" s="11">
        <v>44570.875</v>
      </c>
      <c r="B427" s="10">
        <v>297.74</v>
      </c>
      <c r="C427">
        <f t="shared" si="24"/>
        <v>7</v>
      </c>
      <c r="D427">
        <f t="shared" si="25"/>
        <v>9</v>
      </c>
      <c r="E427">
        <f t="shared" si="26"/>
        <v>21</v>
      </c>
      <c r="F427">
        <f t="shared" si="27"/>
        <v>0</v>
      </c>
      <c r="G427">
        <f>VLOOKUP(E427,Sheet1!$A$2:$B$25,2,FALSE)</f>
        <v>0</v>
      </c>
    </row>
    <row r="428" spans="1:7" x14ac:dyDescent="0.25">
      <c r="A428" s="11">
        <v>44570.895833333336</v>
      </c>
      <c r="B428" s="10">
        <v>300.14499999999998</v>
      </c>
      <c r="C428">
        <f t="shared" si="24"/>
        <v>7</v>
      </c>
      <c r="D428">
        <f t="shared" si="25"/>
        <v>9</v>
      </c>
      <c r="E428">
        <f t="shared" si="26"/>
        <v>21</v>
      </c>
      <c r="F428">
        <f t="shared" si="27"/>
        <v>0</v>
      </c>
      <c r="G428">
        <f>VLOOKUP(E428,Sheet1!$A$2:$B$25,2,FALSE)</f>
        <v>0</v>
      </c>
    </row>
    <row r="429" spans="1:7" x14ac:dyDescent="0.25">
      <c r="A429" s="11">
        <v>44570.916666666664</v>
      </c>
      <c r="B429" s="10">
        <v>297.74</v>
      </c>
      <c r="C429">
        <f t="shared" si="24"/>
        <v>7</v>
      </c>
      <c r="D429">
        <f t="shared" si="25"/>
        <v>9</v>
      </c>
      <c r="E429">
        <f t="shared" si="26"/>
        <v>22</v>
      </c>
      <c r="F429">
        <f t="shared" si="27"/>
        <v>0</v>
      </c>
      <c r="G429">
        <f>VLOOKUP(E429,Sheet1!$A$2:$B$25,2,FALSE)</f>
        <v>0</v>
      </c>
    </row>
    <row r="430" spans="1:7" x14ac:dyDescent="0.25">
      <c r="A430" s="11">
        <v>44570.9375</v>
      </c>
      <c r="B430" s="10">
        <v>303.38</v>
      </c>
      <c r="C430">
        <f t="shared" si="24"/>
        <v>7</v>
      </c>
      <c r="D430">
        <f t="shared" si="25"/>
        <v>9</v>
      </c>
      <c r="E430">
        <f t="shared" si="26"/>
        <v>22</v>
      </c>
      <c r="F430">
        <f t="shared" si="27"/>
        <v>0</v>
      </c>
      <c r="G430">
        <f>VLOOKUP(E430,Sheet1!$A$2:$B$25,2,FALSE)</f>
        <v>0</v>
      </c>
    </row>
    <row r="431" spans="1:7" x14ac:dyDescent="0.25">
      <c r="A431" s="11">
        <v>44570.958333333336</v>
      </c>
      <c r="B431" s="10">
        <v>298.94</v>
      </c>
      <c r="C431">
        <f t="shared" si="24"/>
        <v>7</v>
      </c>
      <c r="D431">
        <f t="shared" si="25"/>
        <v>9</v>
      </c>
      <c r="E431">
        <f t="shared" si="26"/>
        <v>23</v>
      </c>
      <c r="F431">
        <f t="shared" si="27"/>
        <v>0</v>
      </c>
      <c r="G431">
        <f>VLOOKUP(E431,Sheet1!$A$2:$B$25,2,FALSE)</f>
        <v>0</v>
      </c>
    </row>
    <row r="432" spans="1:7" x14ac:dyDescent="0.25">
      <c r="A432" s="11">
        <v>44570.979166666664</v>
      </c>
      <c r="B432" s="10">
        <v>300.11599999999999</v>
      </c>
      <c r="C432">
        <f t="shared" si="24"/>
        <v>7</v>
      </c>
      <c r="D432">
        <f t="shared" si="25"/>
        <v>9</v>
      </c>
      <c r="E432">
        <f t="shared" si="26"/>
        <v>23</v>
      </c>
      <c r="F432">
        <f t="shared" si="27"/>
        <v>0</v>
      </c>
      <c r="G432">
        <f>VLOOKUP(E432,Sheet1!$A$2:$B$25,2,FALSE)</f>
        <v>0</v>
      </c>
    </row>
    <row r="433" spans="1:7" x14ac:dyDescent="0.25">
      <c r="A433" s="11">
        <v>44571</v>
      </c>
      <c r="B433" s="10">
        <v>298.31599999999997</v>
      </c>
      <c r="C433">
        <f t="shared" si="24"/>
        <v>1</v>
      </c>
      <c r="D433">
        <f t="shared" si="25"/>
        <v>10</v>
      </c>
      <c r="E433">
        <f t="shared" si="26"/>
        <v>0</v>
      </c>
      <c r="F433">
        <f t="shared" si="27"/>
        <v>1</v>
      </c>
      <c r="G433">
        <f>VLOOKUP(E433,Sheet1!$A$2:$B$25,2,FALSE)</f>
        <v>0</v>
      </c>
    </row>
    <row r="434" spans="1:7" x14ac:dyDescent="0.25">
      <c r="A434" s="11">
        <v>44571.020833333336</v>
      </c>
      <c r="B434" s="10">
        <v>300.86</v>
      </c>
      <c r="C434">
        <f t="shared" si="24"/>
        <v>1</v>
      </c>
      <c r="D434">
        <f t="shared" si="25"/>
        <v>10</v>
      </c>
      <c r="E434">
        <f t="shared" si="26"/>
        <v>0</v>
      </c>
      <c r="F434">
        <f t="shared" si="27"/>
        <v>1</v>
      </c>
      <c r="G434">
        <f>VLOOKUP(E434,Sheet1!$A$2:$B$25,2,FALSE)</f>
        <v>0</v>
      </c>
    </row>
    <row r="435" spans="1:7" x14ac:dyDescent="0.25">
      <c r="A435" s="11">
        <v>44571.041666666664</v>
      </c>
      <c r="B435" s="10">
        <v>302.161</v>
      </c>
      <c r="C435">
        <f t="shared" si="24"/>
        <v>1</v>
      </c>
      <c r="D435">
        <f t="shared" si="25"/>
        <v>10</v>
      </c>
      <c r="E435">
        <f t="shared" si="26"/>
        <v>1</v>
      </c>
      <c r="F435">
        <f t="shared" si="27"/>
        <v>1</v>
      </c>
      <c r="G435">
        <f>VLOOKUP(E435,Sheet1!$A$2:$B$25,2,FALSE)</f>
        <v>0</v>
      </c>
    </row>
    <row r="436" spans="1:7" x14ac:dyDescent="0.25">
      <c r="A436" s="11">
        <v>44571.0625</v>
      </c>
      <c r="B436" s="10">
        <v>301.43599999999998</v>
      </c>
      <c r="C436">
        <f t="shared" si="24"/>
        <v>1</v>
      </c>
      <c r="D436">
        <f t="shared" si="25"/>
        <v>10</v>
      </c>
      <c r="E436">
        <f t="shared" si="26"/>
        <v>1</v>
      </c>
      <c r="F436">
        <f t="shared" si="27"/>
        <v>1</v>
      </c>
      <c r="G436">
        <f>VLOOKUP(E436,Sheet1!$A$2:$B$25,2,FALSE)</f>
        <v>0</v>
      </c>
    </row>
    <row r="437" spans="1:7" x14ac:dyDescent="0.25">
      <c r="A437" s="11">
        <v>44571.083333333336</v>
      </c>
      <c r="B437" s="10">
        <v>296.90499999999997</v>
      </c>
      <c r="C437">
        <f t="shared" si="24"/>
        <v>1</v>
      </c>
      <c r="D437">
        <f t="shared" si="25"/>
        <v>10</v>
      </c>
      <c r="E437">
        <f t="shared" si="26"/>
        <v>2</v>
      </c>
      <c r="F437">
        <f t="shared" si="27"/>
        <v>1</v>
      </c>
      <c r="G437">
        <f>VLOOKUP(E437,Sheet1!$A$2:$B$25,2,FALSE)</f>
        <v>0</v>
      </c>
    </row>
    <row r="438" spans="1:7" x14ac:dyDescent="0.25">
      <c r="A438" s="11">
        <v>44571.104166666664</v>
      </c>
      <c r="B438" s="10">
        <v>301.55599999999998</v>
      </c>
      <c r="C438">
        <f t="shared" si="24"/>
        <v>1</v>
      </c>
      <c r="D438">
        <f t="shared" si="25"/>
        <v>10</v>
      </c>
      <c r="E438">
        <f t="shared" si="26"/>
        <v>2</v>
      </c>
      <c r="F438">
        <f t="shared" si="27"/>
        <v>1</v>
      </c>
      <c r="G438">
        <f>VLOOKUP(E438,Sheet1!$A$2:$B$25,2,FALSE)</f>
        <v>0</v>
      </c>
    </row>
    <row r="439" spans="1:7" x14ac:dyDescent="0.25">
      <c r="A439" s="11">
        <v>44571.125</v>
      </c>
      <c r="B439" s="10">
        <v>300.83600000000001</v>
      </c>
      <c r="C439">
        <f t="shared" si="24"/>
        <v>1</v>
      </c>
      <c r="D439">
        <f t="shared" si="25"/>
        <v>10</v>
      </c>
      <c r="E439">
        <f t="shared" si="26"/>
        <v>3</v>
      </c>
      <c r="F439">
        <f t="shared" si="27"/>
        <v>1</v>
      </c>
      <c r="G439">
        <f>VLOOKUP(E439,Sheet1!$A$2:$B$25,2,FALSE)</f>
        <v>0</v>
      </c>
    </row>
    <row r="440" spans="1:7" x14ac:dyDescent="0.25">
      <c r="A440" s="11">
        <v>44571.145833333336</v>
      </c>
      <c r="B440" s="10">
        <v>301.82499999999999</v>
      </c>
      <c r="C440">
        <f t="shared" si="24"/>
        <v>1</v>
      </c>
      <c r="D440">
        <f t="shared" si="25"/>
        <v>10</v>
      </c>
      <c r="E440">
        <f t="shared" si="26"/>
        <v>3</v>
      </c>
      <c r="F440">
        <f t="shared" si="27"/>
        <v>1</v>
      </c>
      <c r="G440">
        <f>VLOOKUP(E440,Sheet1!$A$2:$B$25,2,FALSE)</f>
        <v>0</v>
      </c>
    </row>
    <row r="441" spans="1:7" x14ac:dyDescent="0.25">
      <c r="A441" s="11">
        <v>44571.166666666664</v>
      </c>
      <c r="B441" s="10">
        <v>302.75599999999997</v>
      </c>
      <c r="C441">
        <f t="shared" si="24"/>
        <v>1</v>
      </c>
      <c r="D441">
        <f t="shared" si="25"/>
        <v>10</v>
      </c>
      <c r="E441">
        <f t="shared" si="26"/>
        <v>4</v>
      </c>
      <c r="F441">
        <f t="shared" si="27"/>
        <v>1</v>
      </c>
      <c r="G441">
        <f>VLOOKUP(E441,Sheet1!$A$2:$B$25,2,FALSE)</f>
        <v>1</v>
      </c>
    </row>
    <row r="442" spans="1:7" x14ac:dyDescent="0.25">
      <c r="A442" s="11">
        <v>44571.1875</v>
      </c>
      <c r="B442" s="10">
        <v>304.94</v>
      </c>
      <c r="C442">
        <f t="shared" si="24"/>
        <v>1</v>
      </c>
      <c r="D442">
        <f t="shared" si="25"/>
        <v>10</v>
      </c>
      <c r="E442">
        <f t="shared" si="26"/>
        <v>4</v>
      </c>
      <c r="F442">
        <f t="shared" si="27"/>
        <v>1</v>
      </c>
      <c r="G442">
        <f>VLOOKUP(E442,Sheet1!$A$2:$B$25,2,FALSE)</f>
        <v>1</v>
      </c>
    </row>
    <row r="443" spans="1:7" x14ac:dyDescent="0.25">
      <c r="A443" s="11">
        <v>44571.208333333336</v>
      </c>
      <c r="B443" s="10">
        <v>426.00099999999998</v>
      </c>
      <c r="C443">
        <f t="shared" si="24"/>
        <v>1</v>
      </c>
      <c r="D443">
        <f t="shared" si="25"/>
        <v>10</v>
      </c>
      <c r="E443">
        <f t="shared" si="26"/>
        <v>5</v>
      </c>
      <c r="F443">
        <f t="shared" si="27"/>
        <v>1</v>
      </c>
      <c r="G443">
        <f>VLOOKUP(E443,Sheet1!$A$2:$B$25,2,FALSE)</f>
        <v>1</v>
      </c>
    </row>
    <row r="444" spans="1:7" x14ac:dyDescent="0.25">
      <c r="A444" s="11">
        <v>44571.229166666664</v>
      </c>
      <c r="B444" s="10">
        <v>1062.3800000000001</v>
      </c>
      <c r="C444">
        <f t="shared" si="24"/>
        <v>1</v>
      </c>
      <c r="D444">
        <f t="shared" si="25"/>
        <v>10</v>
      </c>
      <c r="E444">
        <f t="shared" si="26"/>
        <v>5</v>
      </c>
      <c r="F444">
        <f t="shared" si="27"/>
        <v>1</v>
      </c>
      <c r="G444">
        <f>VLOOKUP(E444,Sheet1!$A$2:$B$25,2,FALSE)</f>
        <v>1</v>
      </c>
    </row>
    <row r="445" spans="1:7" x14ac:dyDescent="0.25">
      <c r="A445" s="11">
        <v>44571.25</v>
      </c>
      <c r="B445" s="10">
        <v>799.79600000000005</v>
      </c>
      <c r="C445">
        <f t="shared" si="24"/>
        <v>1</v>
      </c>
      <c r="D445">
        <f t="shared" si="25"/>
        <v>10</v>
      </c>
      <c r="E445">
        <f t="shared" si="26"/>
        <v>6</v>
      </c>
      <c r="F445">
        <f t="shared" si="27"/>
        <v>1</v>
      </c>
      <c r="G445">
        <f>VLOOKUP(E445,Sheet1!$A$2:$B$25,2,FALSE)</f>
        <v>1</v>
      </c>
    </row>
    <row r="446" spans="1:7" x14ac:dyDescent="0.25">
      <c r="A446" s="11">
        <v>44571.270833333336</v>
      </c>
      <c r="B446" s="10">
        <v>770.16099999999994</v>
      </c>
      <c r="C446">
        <f t="shared" si="24"/>
        <v>1</v>
      </c>
      <c r="D446">
        <f t="shared" si="25"/>
        <v>10</v>
      </c>
      <c r="E446">
        <f t="shared" si="26"/>
        <v>6</v>
      </c>
      <c r="F446">
        <f t="shared" si="27"/>
        <v>1</v>
      </c>
      <c r="G446">
        <f>VLOOKUP(E446,Sheet1!$A$2:$B$25,2,FALSE)</f>
        <v>1</v>
      </c>
    </row>
    <row r="447" spans="1:7" x14ac:dyDescent="0.25">
      <c r="A447" s="11">
        <v>44571.291666666664</v>
      </c>
      <c r="B447" s="10">
        <v>919.1</v>
      </c>
      <c r="C447">
        <f t="shared" si="24"/>
        <v>1</v>
      </c>
      <c r="D447">
        <f t="shared" si="25"/>
        <v>10</v>
      </c>
      <c r="E447">
        <f t="shared" si="26"/>
        <v>7</v>
      </c>
      <c r="F447">
        <f t="shared" si="27"/>
        <v>1</v>
      </c>
      <c r="G447">
        <f>VLOOKUP(E447,Sheet1!$A$2:$B$25,2,FALSE)</f>
        <v>1</v>
      </c>
    </row>
    <row r="448" spans="1:7" x14ac:dyDescent="0.25">
      <c r="A448" s="11">
        <v>44571.3125</v>
      </c>
      <c r="B448" s="10">
        <v>926.54</v>
      </c>
      <c r="C448">
        <f t="shared" si="24"/>
        <v>1</v>
      </c>
      <c r="D448">
        <f t="shared" si="25"/>
        <v>10</v>
      </c>
      <c r="E448">
        <f t="shared" si="26"/>
        <v>7</v>
      </c>
      <c r="F448">
        <f t="shared" si="27"/>
        <v>1</v>
      </c>
      <c r="G448">
        <f>VLOOKUP(E448,Sheet1!$A$2:$B$25,2,FALSE)</f>
        <v>1</v>
      </c>
    </row>
    <row r="449" spans="1:7" x14ac:dyDescent="0.25">
      <c r="A449" s="11">
        <v>44571.333333333336</v>
      </c>
      <c r="B449" s="10">
        <v>903.505</v>
      </c>
      <c r="C449">
        <f t="shared" si="24"/>
        <v>1</v>
      </c>
      <c r="D449">
        <f t="shared" si="25"/>
        <v>10</v>
      </c>
      <c r="E449">
        <f t="shared" si="26"/>
        <v>8</v>
      </c>
      <c r="F449">
        <f t="shared" si="27"/>
        <v>1</v>
      </c>
      <c r="G449">
        <f>VLOOKUP(E449,Sheet1!$A$2:$B$25,2,FALSE)</f>
        <v>1</v>
      </c>
    </row>
    <row r="450" spans="1:7" x14ac:dyDescent="0.25">
      <c r="A450" s="11">
        <v>44571.354166666664</v>
      </c>
      <c r="B450" s="10">
        <v>812.78</v>
      </c>
      <c r="C450">
        <f t="shared" ref="C450:C513" si="28">WEEKDAY(A450,2)</f>
        <v>1</v>
      </c>
      <c r="D450">
        <f t="shared" ref="D450:D513" si="29">DAY(A450)</f>
        <v>10</v>
      </c>
      <c r="E450">
        <f t="shared" ref="E450:E513" si="30">HOUR(A450)</f>
        <v>8</v>
      </c>
      <c r="F450">
        <f t="shared" si="27"/>
        <v>1</v>
      </c>
      <c r="G450">
        <f>VLOOKUP(E450,Sheet1!$A$2:$B$25,2,FALSE)</f>
        <v>1</v>
      </c>
    </row>
    <row r="451" spans="1:7" x14ac:dyDescent="0.25">
      <c r="A451" s="11">
        <v>44571.375</v>
      </c>
      <c r="B451" s="10">
        <v>872.87599999999998</v>
      </c>
      <c r="C451">
        <f t="shared" si="28"/>
        <v>1</v>
      </c>
      <c r="D451">
        <f t="shared" si="29"/>
        <v>10</v>
      </c>
      <c r="E451">
        <f t="shared" si="30"/>
        <v>9</v>
      </c>
      <c r="F451">
        <f t="shared" ref="F451:F514" si="31">IF(C451&gt;=6,0,1)</f>
        <v>1</v>
      </c>
      <c r="G451">
        <f>VLOOKUP(E451,Sheet1!$A$2:$B$25,2,FALSE)</f>
        <v>1</v>
      </c>
    </row>
    <row r="452" spans="1:7" x14ac:dyDescent="0.25">
      <c r="A452" s="11">
        <v>44571.395833333336</v>
      </c>
      <c r="B452" s="10">
        <v>791.04100000000005</v>
      </c>
      <c r="C452">
        <f t="shared" si="28"/>
        <v>1</v>
      </c>
      <c r="D452">
        <f t="shared" si="29"/>
        <v>10</v>
      </c>
      <c r="E452">
        <f t="shared" si="30"/>
        <v>9</v>
      </c>
      <c r="F452">
        <f t="shared" si="31"/>
        <v>1</v>
      </c>
      <c r="G452">
        <f>VLOOKUP(E452,Sheet1!$A$2:$B$25,2,FALSE)</f>
        <v>1</v>
      </c>
    </row>
    <row r="453" spans="1:7" x14ac:dyDescent="0.25">
      <c r="A453" s="11">
        <v>44571.416666666664</v>
      </c>
      <c r="B453" s="10">
        <v>821.15599999999995</v>
      </c>
      <c r="C453">
        <f t="shared" si="28"/>
        <v>1</v>
      </c>
      <c r="D453">
        <f t="shared" si="29"/>
        <v>10</v>
      </c>
      <c r="E453">
        <f t="shared" si="30"/>
        <v>10</v>
      </c>
      <c r="F453">
        <f t="shared" si="31"/>
        <v>1</v>
      </c>
      <c r="G453">
        <f>VLOOKUP(E453,Sheet1!$A$2:$B$25,2,FALSE)</f>
        <v>1</v>
      </c>
    </row>
    <row r="454" spans="1:7" x14ac:dyDescent="0.25">
      <c r="A454" s="11">
        <v>44571.4375</v>
      </c>
      <c r="B454" s="10">
        <v>817.43600000000004</v>
      </c>
      <c r="C454">
        <f t="shared" si="28"/>
        <v>1</v>
      </c>
      <c r="D454">
        <f t="shared" si="29"/>
        <v>10</v>
      </c>
      <c r="E454">
        <f t="shared" si="30"/>
        <v>10</v>
      </c>
      <c r="F454">
        <f t="shared" si="31"/>
        <v>1</v>
      </c>
      <c r="G454">
        <f>VLOOKUP(E454,Sheet1!$A$2:$B$25,2,FALSE)</f>
        <v>1</v>
      </c>
    </row>
    <row r="455" spans="1:7" x14ac:dyDescent="0.25">
      <c r="A455" s="11">
        <v>44571.458333333336</v>
      </c>
      <c r="B455" s="10">
        <v>833.30499999999995</v>
      </c>
      <c r="C455">
        <f t="shared" si="28"/>
        <v>1</v>
      </c>
      <c r="D455">
        <f t="shared" si="29"/>
        <v>10</v>
      </c>
      <c r="E455">
        <f t="shared" si="30"/>
        <v>11</v>
      </c>
      <c r="F455">
        <f t="shared" si="31"/>
        <v>1</v>
      </c>
      <c r="G455">
        <f>VLOOKUP(E455,Sheet1!$A$2:$B$25,2,FALSE)</f>
        <v>1</v>
      </c>
    </row>
    <row r="456" spans="1:7" x14ac:dyDescent="0.25">
      <c r="A456" s="11">
        <v>44571.479166666664</v>
      </c>
      <c r="B456" s="10">
        <v>855.02</v>
      </c>
      <c r="C456">
        <f t="shared" si="28"/>
        <v>1</v>
      </c>
      <c r="D456">
        <f t="shared" si="29"/>
        <v>10</v>
      </c>
      <c r="E456">
        <f t="shared" si="30"/>
        <v>11</v>
      </c>
      <c r="F456">
        <f t="shared" si="31"/>
        <v>1</v>
      </c>
      <c r="G456">
        <f>VLOOKUP(E456,Sheet1!$A$2:$B$25,2,FALSE)</f>
        <v>1</v>
      </c>
    </row>
    <row r="457" spans="1:7" x14ac:dyDescent="0.25">
      <c r="A457" s="11">
        <v>44571.5</v>
      </c>
      <c r="B457" s="10">
        <v>861.11599999999999</v>
      </c>
      <c r="C457">
        <f t="shared" si="28"/>
        <v>1</v>
      </c>
      <c r="D457">
        <f t="shared" si="29"/>
        <v>10</v>
      </c>
      <c r="E457">
        <f t="shared" si="30"/>
        <v>12</v>
      </c>
      <c r="F457">
        <f t="shared" si="31"/>
        <v>1</v>
      </c>
      <c r="G457">
        <f>VLOOKUP(E457,Sheet1!$A$2:$B$25,2,FALSE)</f>
        <v>1</v>
      </c>
    </row>
    <row r="458" spans="1:7" x14ac:dyDescent="0.25">
      <c r="A458" s="11">
        <v>44571.520833333336</v>
      </c>
      <c r="B458" s="10">
        <v>874.92100000000005</v>
      </c>
      <c r="C458">
        <f t="shared" si="28"/>
        <v>1</v>
      </c>
      <c r="D458">
        <f t="shared" si="29"/>
        <v>10</v>
      </c>
      <c r="E458">
        <f t="shared" si="30"/>
        <v>12</v>
      </c>
      <c r="F458">
        <f t="shared" si="31"/>
        <v>1</v>
      </c>
      <c r="G458">
        <f>VLOOKUP(E458,Sheet1!$A$2:$B$25,2,FALSE)</f>
        <v>1</v>
      </c>
    </row>
    <row r="459" spans="1:7" x14ac:dyDescent="0.25">
      <c r="A459" s="11">
        <v>44571.541666666664</v>
      </c>
      <c r="B459" s="10">
        <v>738.596</v>
      </c>
      <c r="C459">
        <f t="shared" si="28"/>
        <v>1</v>
      </c>
      <c r="D459">
        <f t="shared" si="29"/>
        <v>10</v>
      </c>
      <c r="E459">
        <f t="shared" si="30"/>
        <v>13</v>
      </c>
      <c r="F459">
        <f t="shared" si="31"/>
        <v>1</v>
      </c>
      <c r="G459">
        <f>VLOOKUP(E459,Sheet1!$A$2:$B$25,2,FALSE)</f>
        <v>1</v>
      </c>
    </row>
    <row r="460" spans="1:7" x14ac:dyDescent="0.25">
      <c r="A460" s="11">
        <v>44571.5625</v>
      </c>
      <c r="B460" s="10">
        <v>875.18</v>
      </c>
      <c r="C460">
        <f t="shared" si="28"/>
        <v>1</v>
      </c>
      <c r="D460">
        <f t="shared" si="29"/>
        <v>10</v>
      </c>
      <c r="E460">
        <f t="shared" si="30"/>
        <v>13</v>
      </c>
      <c r="F460">
        <f t="shared" si="31"/>
        <v>1</v>
      </c>
      <c r="G460">
        <f>VLOOKUP(E460,Sheet1!$A$2:$B$25,2,FALSE)</f>
        <v>1</v>
      </c>
    </row>
    <row r="461" spans="1:7" x14ac:dyDescent="0.25">
      <c r="A461" s="11">
        <v>44571.583333333336</v>
      </c>
      <c r="B461" s="10">
        <v>610.22500000000002</v>
      </c>
      <c r="C461">
        <f t="shared" si="28"/>
        <v>1</v>
      </c>
      <c r="D461">
        <f t="shared" si="29"/>
        <v>10</v>
      </c>
      <c r="E461">
        <f t="shared" si="30"/>
        <v>14</v>
      </c>
      <c r="F461">
        <f t="shared" si="31"/>
        <v>1</v>
      </c>
      <c r="G461">
        <f>VLOOKUP(E461,Sheet1!$A$2:$B$25,2,FALSE)</f>
        <v>1</v>
      </c>
    </row>
    <row r="462" spans="1:7" x14ac:dyDescent="0.25">
      <c r="A462" s="11">
        <v>44571.604166666664</v>
      </c>
      <c r="B462" s="10">
        <v>351.83600000000001</v>
      </c>
      <c r="C462">
        <f t="shared" si="28"/>
        <v>1</v>
      </c>
      <c r="D462">
        <f t="shared" si="29"/>
        <v>10</v>
      </c>
      <c r="E462">
        <f t="shared" si="30"/>
        <v>14</v>
      </c>
      <c r="F462">
        <f t="shared" si="31"/>
        <v>1</v>
      </c>
      <c r="G462">
        <f>VLOOKUP(E462,Sheet1!$A$2:$B$25,2,FALSE)</f>
        <v>1</v>
      </c>
    </row>
    <row r="463" spans="1:7" x14ac:dyDescent="0.25">
      <c r="A463" s="11">
        <v>44571.625</v>
      </c>
      <c r="B463" s="10">
        <v>347.15600000000001</v>
      </c>
      <c r="C463">
        <f t="shared" si="28"/>
        <v>1</v>
      </c>
      <c r="D463">
        <f t="shared" si="29"/>
        <v>10</v>
      </c>
      <c r="E463">
        <f t="shared" si="30"/>
        <v>15</v>
      </c>
      <c r="F463">
        <f t="shared" si="31"/>
        <v>1</v>
      </c>
      <c r="G463">
        <f>VLOOKUP(E463,Sheet1!$A$2:$B$25,2,FALSE)</f>
        <v>1</v>
      </c>
    </row>
    <row r="464" spans="1:7" x14ac:dyDescent="0.25">
      <c r="A464" s="11">
        <v>44571.645833333336</v>
      </c>
      <c r="B464" s="10">
        <v>341.30500000000001</v>
      </c>
      <c r="C464">
        <f t="shared" si="28"/>
        <v>1</v>
      </c>
      <c r="D464">
        <f t="shared" si="29"/>
        <v>10</v>
      </c>
      <c r="E464">
        <f t="shared" si="30"/>
        <v>15</v>
      </c>
      <c r="F464">
        <f t="shared" si="31"/>
        <v>1</v>
      </c>
      <c r="G464">
        <f>VLOOKUP(E464,Sheet1!$A$2:$B$25,2,FALSE)</f>
        <v>1</v>
      </c>
    </row>
    <row r="465" spans="1:7" x14ac:dyDescent="0.25">
      <c r="A465" s="11">
        <v>44571.666666666664</v>
      </c>
      <c r="B465" s="10">
        <v>342.71600000000001</v>
      </c>
      <c r="C465">
        <f t="shared" si="28"/>
        <v>1</v>
      </c>
      <c r="D465">
        <f t="shared" si="29"/>
        <v>10</v>
      </c>
      <c r="E465">
        <f t="shared" si="30"/>
        <v>16</v>
      </c>
      <c r="F465">
        <f t="shared" si="31"/>
        <v>1</v>
      </c>
      <c r="G465">
        <f>VLOOKUP(E465,Sheet1!$A$2:$B$25,2,FALSE)</f>
        <v>0</v>
      </c>
    </row>
    <row r="466" spans="1:7" x14ac:dyDescent="0.25">
      <c r="A466" s="11">
        <v>44571.6875</v>
      </c>
      <c r="B466" s="10">
        <v>344.51600000000002</v>
      </c>
      <c r="C466">
        <f t="shared" si="28"/>
        <v>1</v>
      </c>
      <c r="D466">
        <f t="shared" si="29"/>
        <v>10</v>
      </c>
      <c r="E466">
        <f t="shared" si="30"/>
        <v>16</v>
      </c>
      <c r="F466">
        <f t="shared" si="31"/>
        <v>1</v>
      </c>
      <c r="G466">
        <f>VLOOKUP(E466,Sheet1!$A$2:$B$25,2,FALSE)</f>
        <v>0</v>
      </c>
    </row>
    <row r="467" spans="1:7" x14ac:dyDescent="0.25">
      <c r="A467" s="11">
        <v>44571.708333333336</v>
      </c>
      <c r="B467" s="10">
        <v>327.745</v>
      </c>
      <c r="C467">
        <f t="shared" si="28"/>
        <v>1</v>
      </c>
      <c r="D467">
        <f t="shared" si="29"/>
        <v>10</v>
      </c>
      <c r="E467">
        <f t="shared" si="30"/>
        <v>17</v>
      </c>
      <c r="F467">
        <f t="shared" si="31"/>
        <v>1</v>
      </c>
      <c r="G467">
        <f>VLOOKUP(E467,Sheet1!$A$2:$B$25,2,FALSE)</f>
        <v>0</v>
      </c>
    </row>
    <row r="468" spans="1:7" x14ac:dyDescent="0.25">
      <c r="A468" s="11">
        <v>44571.729166666664</v>
      </c>
      <c r="B468" s="10">
        <v>338.27600000000001</v>
      </c>
      <c r="C468">
        <f t="shared" si="28"/>
        <v>1</v>
      </c>
      <c r="D468">
        <f t="shared" si="29"/>
        <v>10</v>
      </c>
      <c r="E468">
        <f t="shared" si="30"/>
        <v>17</v>
      </c>
      <c r="F468">
        <f t="shared" si="31"/>
        <v>1</v>
      </c>
      <c r="G468">
        <f>VLOOKUP(E468,Sheet1!$A$2:$B$25,2,FALSE)</f>
        <v>0</v>
      </c>
    </row>
    <row r="469" spans="1:7" x14ac:dyDescent="0.25">
      <c r="A469" s="11">
        <v>44571.75</v>
      </c>
      <c r="B469" s="10">
        <v>336.98</v>
      </c>
      <c r="C469">
        <f t="shared" si="28"/>
        <v>1</v>
      </c>
      <c r="D469">
        <f t="shared" si="29"/>
        <v>10</v>
      </c>
      <c r="E469">
        <f t="shared" si="30"/>
        <v>18</v>
      </c>
      <c r="F469">
        <f t="shared" si="31"/>
        <v>1</v>
      </c>
      <c r="G469">
        <f>VLOOKUP(E469,Sheet1!$A$2:$B$25,2,FALSE)</f>
        <v>0</v>
      </c>
    </row>
    <row r="470" spans="1:7" x14ac:dyDescent="0.25">
      <c r="A470" s="11">
        <v>44571.770833333336</v>
      </c>
      <c r="B470" s="10">
        <v>327.35599999999999</v>
      </c>
      <c r="C470">
        <f t="shared" si="28"/>
        <v>1</v>
      </c>
      <c r="D470">
        <f t="shared" si="29"/>
        <v>10</v>
      </c>
      <c r="E470">
        <f t="shared" si="30"/>
        <v>18</v>
      </c>
      <c r="F470">
        <f t="shared" si="31"/>
        <v>1</v>
      </c>
      <c r="G470">
        <f>VLOOKUP(E470,Sheet1!$A$2:$B$25,2,FALSE)</f>
        <v>0</v>
      </c>
    </row>
    <row r="471" spans="1:7" x14ac:dyDescent="0.25">
      <c r="A471" s="11">
        <v>44571.791666666664</v>
      </c>
      <c r="B471" s="10">
        <v>326.66000000000003</v>
      </c>
      <c r="C471">
        <f t="shared" si="28"/>
        <v>1</v>
      </c>
      <c r="D471">
        <f t="shared" si="29"/>
        <v>10</v>
      </c>
      <c r="E471">
        <f t="shared" si="30"/>
        <v>19</v>
      </c>
      <c r="F471">
        <f t="shared" si="31"/>
        <v>1</v>
      </c>
      <c r="G471">
        <f>VLOOKUP(E471,Sheet1!$A$2:$B$25,2,FALSE)</f>
        <v>0</v>
      </c>
    </row>
    <row r="472" spans="1:7" x14ac:dyDescent="0.25">
      <c r="A472" s="11">
        <v>44571.8125</v>
      </c>
      <c r="B472" s="10">
        <v>328.19600000000003</v>
      </c>
      <c r="C472">
        <f t="shared" si="28"/>
        <v>1</v>
      </c>
      <c r="D472">
        <f t="shared" si="29"/>
        <v>10</v>
      </c>
      <c r="E472">
        <f t="shared" si="30"/>
        <v>19</v>
      </c>
      <c r="F472">
        <f t="shared" si="31"/>
        <v>1</v>
      </c>
      <c r="G472">
        <f>VLOOKUP(E472,Sheet1!$A$2:$B$25,2,FALSE)</f>
        <v>0</v>
      </c>
    </row>
    <row r="473" spans="1:7" x14ac:dyDescent="0.25">
      <c r="A473" s="11">
        <v>44571.833333333336</v>
      </c>
      <c r="B473" s="10">
        <v>334.82</v>
      </c>
      <c r="C473">
        <f t="shared" si="28"/>
        <v>1</v>
      </c>
      <c r="D473">
        <f t="shared" si="29"/>
        <v>10</v>
      </c>
      <c r="E473">
        <f t="shared" si="30"/>
        <v>20</v>
      </c>
      <c r="F473">
        <f t="shared" si="31"/>
        <v>1</v>
      </c>
      <c r="G473">
        <f>VLOOKUP(E473,Sheet1!$A$2:$B$25,2,FALSE)</f>
        <v>0</v>
      </c>
    </row>
    <row r="474" spans="1:7" x14ac:dyDescent="0.25">
      <c r="A474" s="11">
        <v>44571.854166666664</v>
      </c>
      <c r="B474" s="10">
        <v>338.161</v>
      </c>
      <c r="C474">
        <f t="shared" si="28"/>
        <v>1</v>
      </c>
      <c r="D474">
        <f t="shared" si="29"/>
        <v>10</v>
      </c>
      <c r="E474">
        <f t="shared" si="30"/>
        <v>20</v>
      </c>
      <c r="F474">
        <f t="shared" si="31"/>
        <v>1</v>
      </c>
      <c r="G474">
        <f>VLOOKUP(E474,Sheet1!$A$2:$B$25,2,FALSE)</f>
        <v>0</v>
      </c>
    </row>
    <row r="475" spans="1:7" x14ac:dyDescent="0.25">
      <c r="A475" s="11">
        <v>44571.875</v>
      </c>
      <c r="B475" s="10">
        <v>341.15600000000001</v>
      </c>
      <c r="C475">
        <f t="shared" si="28"/>
        <v>1</v>
      </c>
      <c r="D475">
        <f t="shared" si="29"/>
        <v>10</v>
      </c>
      <c r="E475">
        <f t="shared" si="30"/>
        <v>21</v>
      </c>
      <c r="F475">
        <f t="shared" si="31"/>
        <v>1</v>
      </c>
      <c r="G475">
        <f>VLOOKUP(E475,Sheet1!$A$2:$B$25,2,FALSE)</f>
        <v>0</v>
      </c>
    </row>
    <row r="476" spans="1:7" x14ac:dyDescent="0.25">
      <c r="A476" s="11">
        <v>44571.895833333336</v>
      </c>
      <c r="B476" s="10">
        <v>323.63600000000002</v>
      </c>
      <c r="C476">
        <f t="shared" si="28"/>
        <v>1</v>
      </c>
      <c r="D476">
        <f t="shared" si="29"/>
        <v>10</v>
      </c>
      <c r="E476">
        <f t="shared" si="30"/>
        <v>21</v>
      </c>
      <c r="F476">
        <f t="shared" si="31"/>
        <v>1</v>
      </c>
      <c r="G476">
        <f>VLOOKUP(E476,Sheet1!$A$2:$B$25,2,FALSE)</f>
        <v>0</v>
      </c>
    </row>
    <row r="477" spans="1:7" x14ac:dyDescent="0.25">
      <c r="A477" s="11">
        <v>44571.916666666664</v>
      </c>
      <c r="B477" s="10">
        <v>321.02</v>
      </c>
      <c r="C477">
        <f t="shared" si="28"/>
        <v>1</v>
      </c>
      <c r="D477">
        <f t="shared" si="29"/>
        <v>10</v>
      </c>
      <c r="E477">
        <f t="shared" si="30"/>
        <v>22</v>
      </c>
      <c r="F477">
        <f t="shared" si="31"/>
        <v>1</v>
      </c>
      <c r="G477">
        <f>VLOOKUP(E477,Sheet1!$A$2:$B$25,2,FALSE)</f>
        <v>0</v>
      </c>
    </row>
    <row r="478" spans="1:7" x14ac:dyDescent="0.25">
      <c r="A478" s="11">
        <v>44571.9375</v>
      </c>
      <c r="B478" s="10">
        <v>322.08100000000002</v>
      </c>
      <c r="C478">
        <f t="shared" si="28"/>
        <v>1</v>
      </c>
      <c r="D478">
        <f t="shared" si="29"/>
        <v>10</v>
      </c>
      <c r="E478">
        <f t="shared" si="30"/>
        <v>22</v>
      </c>
      <c r="F478">
        <f t="shared" si="31"/>
        <v>1</v>
      </c>
      <c r="G478">
        <f>VLOOKUP(E478,Sheet1!$A$2:$B$25,2,FALSE)</f>
        <v>0</v>
      </c>
    </row>
    <row r="479" spans="1:7" x14ac:dyDescent="0.25">
      <c r="A479" s="11">
        <v>44571.958333333336</v>
      </c>
      <c r="B479" s="10">
        <v>327.86</v>
      </c>
      <c r="C479">
        <f t="shared" si="28"/>
        <v>1</v>
      </c>
      <c r="D479">
        <f t="shared" si="29"/>
        <v>10</v>
      </c>
      <c r="E479">
        <f t="shared" si="30"/>
        <v>23</v>
      </c>
      <c r="F479">
        <f t="shared" si="31"/>
        <v>1</v>
      </c>
      <c r="G479">
        <f>VLOOKUP(E479,Sheet1!$A$2:$B$25,2,FALSE)</f>
        <v>0</v>
      </c>
    </row>
    <row r="480" spans="1:7" x14ac:dyDescent="0.25">
      <c r="A480" s="11">
        <v>44571.979166666664</v>
      </c>
      <c r="B480" s="10">
        <v>328.79599999999999</v>
      </c>
      <c r="C480">
        <f t="shared" si="28"/>
        <v>1</v>
      </c>
      <c r="D480">
        <f t="shared" si="29"/>
        <v>10</v>
      </c>
      <c r="E480">
        <f t="shared" si="30"/>
        <v>23</v>
      </c>
      <c r="F480">
        <f t="shared" si="31"/>
        <v>1</v>
      </c>
      <c r="G480">
        <f>VLOOKUP(E480,Sheet1!$A$2:$B$25,2,FALSE)</f>
        <v>0</v>
      </c>
    </row>
    <row r="481" spans="1:7" x14ac:dyDescent="0.25">
      <c r="A481" s="11">
        <v>44572</v>
      </c>
      <c r="B481" s="10">
        <v>329.28100000000001</v>
      </c>
      <c r="C481">
        <f t="shared" si="28"/>
        <v>2</v>
      </c>
      <c r="D481">
        <f t="shared" si="29"/>
        <v>11</v>
      </c>
      <c r="E481">
        <f t="shared" si="30"/>
        <v>0</v>
      </c>
      <c r="F481">
        <f t="shared" si="31"/>
        <v>1</v>
      </c>
      <c r="G481">
        <f>VLOOKUP(E481,Sheet1!$A$2:$B$25,2,FALSE)</f>
        <v>0</v>
      </c>
    </row>
    <row r="482" spans="1:7" x14ac:dyDescent="0.25">
      <c r="A482" s="11">
        <v>44572.020833333336</v>
      </c>
      <c r="B482" s="10">
        <v>330.83600000000001</v>
      </c>
      <c r="C482">
        <f t="shared" si="28"/>
        <v>2</v>
      </c>
      <c r="D482">
        <f t="shared" si="29"/>
        <v>11</v>
      </c>
      <c r="E482">
        <f t="shared" si="30"/>
        <v>0</v>
      </c>
      <c r="F482">
        <f t="shared" si="31"/>
        <v>1</v>
      </c>
      <c r="G482">
        <f>VLOOKUP(E482,Sheet1!$A$2:$B$25,2,FALSE)</f>
        <v>0</v>
      </c>
    </row>
    <row r="483" spans="1:7" x14ac:dyDescent="0.25">
      <c r="A483" s="11">
        <v>44572.041666666664</v>
      </c>
      <c r="B483" s="10">
        <v>326.75599999999997</v>
      </c>
      <c r="C483">
        <f t="shared" si="28"/>
        <v>2</v>
      </c>
      <c r="D483">
        <f t="shared" si="29"/>
        <v>11</v>
      </c>
      <c r="E483">
        <f t="shared" si="30"/>
        <v>1</v>
      </c>
      <c r="F483">
        <f t="shared" si="31"/>
        <v>1</v>
      </c>
      <c r="G483">
        <f>VLOOKUP(E483,Sheet1!$A$2:$B$25,2,FALSE)</f>
        <v>0</v>
      </c>
    </row>
    <row r="484" spans="1:7" x14ac:dyDescent="0.25">
      <c r="A484" s="11">
        <v>44572.0625</v>
      </c>
      <c r="B484" s="10">
        <v>324.35599999999999</v>
      </c>
      <c r="C484">
        <f t="shared" si="28"/>
        <v>2</v>
      </c>
      <c r="D484">
        <f t="shared" si="29"/>
        <v>11</v>
      </c>
      <c r="E484">
        <f t="shared" si="30"/>
        <v>1</v>
      </c>
      <c r="F484">
        <f t="shared" si="31"/>
        <v>1</v>
      </c>
      <c r="G484">
        <f>VLOOKUP(E484,Sheet1!$A$2:$B$25,2,FALSE)</f>
        <v>0</v>
      </c>
    </row>
    <row r="485" spans="1:7" x14ac:dyDescent="0.25">
      <c r="A485" s="11">
        <v>44572.083333333336</v>
      </c>
      <c r="B485" s="10">
        <v>323.87599999999998</v>
      </c>
      <c r="C485">
        <f t="shared" si="28"/>
        <v>2</v>
      </c>
      <c r="D485">
        <f t="shared" si="29"/>
        <v>11</v>
      </c>
      <c r="E485">
        <f t="shared" si="30"/>
        <v>2</v>
      </c>
      <c r="F485">
        <f t="shared" si="31"/>
        <v>1</v>
      </c>
      <c r="G485">
        <f>VLOOKUP(E485,Sheet1!$A$2:$B$25,2,FALSE)</f>
        <v>0</v>
      </c>
    </row>
    <row r="486" spans="1:7" x14ac:dyDescent="0.25">
      <c r="A486" s="11">
        <v>44572.104166666664</v>
      </c>
      <c r="B486" s="10">
        <v>322.82499999999999</v>
      </c>
      <c r="C486">
        <f t="shared" si="28"/>
        <v>2</v>
      </c>
      <c r="D486">
        <f t="shared" si="29"/>
        <v>11</v>
      </c>
      <c r="E486">
        <f t="shared" si="30"/>
        <v>2</v>
      </c>
      <c r="F486">
        <f t="shared" si="31"/>
        <v>1</v>
      </c>
      <c r="G486">
        <f>VLOOKUP(E486,Sheet1!$A$2:$B$25,2,FALSE)</f>
        <v>0</v>
      </c>
    </row>
    <row r="487" spans="1:7" x14ac:dyDescent="0.25">
      <c r="A487" s="11">
        <v>44572.125</v>
      </c>
      <c r="B487" s="10">
        <v>326.06</v>
      </c>
      <c r="C487">
        <f t="shared" si="28"/>
        <v>2</v>
      </c>
      <c r="D487">
        <f t="shared" si="29"/>
        <v>11</v>
      </c>
      <c r="E487">
        <f t="shared" si="30"/>
        <v>3</v>
      </c>
      <c r="F487">
        <f t="shared" si="31"/>
        <v>1</v>
      </c>
      <c r="G487">
        <f>VLOOKUP(E487,Sheet1!$A$2:$B$25,2,FALSE)</f>
        <v>0</v>
      </c>
    </row>
    <row r="488" spans="1:7" x14ac:dyDescent="0.25">
      <c r="A488" s="11">
        <v>44572.145833333336</v>
      </c>
      <c r="B488" s="10">
        <v>325.79599999999999</v>
      </c>
      <c r="C488">
        <f t="shared" si="28"/>
        <v>2</v>
      </c>
      <c r="D488">
        <f t="shared" si="29"/>
        <v>11</v>
      </c>
      <c r="E488">
        <f t="shared" si="30"/>
        <v>3</v>
      </c>
      <c r="F488">
        <f t="shared" si="31"/>
        <v>1</v>
      </c>
      <c r="G488">
        <f>VLOOKUP(E488,Sheet1!$A$2:$B$25,2,FALSE)</f>
        <v>0</v>
      </c>
    </row>
    <row r="489" spans="1:7" x14ac:dyDescent="0.25">
      <c r="A489" s="11">
        <v>44572.166666666664</v>
      </c>
      <c r="B489" s="10">
        <v>329.18</v>
      </c>
      <c r="C489">
        <f t="shared" si="28"/>
        <v>2</v>
      </c>
      <c r="D489">
        <f t="shared" si="29"/>
        <v>11</v>
      </c>
      <c r="E489">
        <f t="shared" si="30"/>
        <v>4</v>
      </c>
      <c r="F489">
        <f t="shared" si="31"/>
        <v>1</v>
      </c>
      <c r="G489">
        <f>VLOOKUP(E489,Sheet1!$A$2:$B$25,2,FALSE)</f>
        <v>1</v>
      </c>
    </row>
    <row r="490" spans="1:7" x14ac:dyDescent="0.25">
      <c r="A490" s="11">
        <v>44572.1875</v>
      </c>
      <c r="B490" s="10">
        <v>331.916</v>
      </c>
      <c r="C490">
        <f t="shared" si="28"/>
        <v>2</v>
      </c>
      <c r="D490">
        <f t="shared" si="29"/>
        <v>11</v>
      </c>
      <c r="E490">
        <f t="shared" si="30"/>
        <v>4</v>
      </c>
      <c r="F490">
        <f t="shared" si="31"/>
        <v>1</v>
      </c>
      <c r="G490">
        <f>VLOOKUP(E490,Sheet1!$A$2:$B$25,2,FALSE)</f>
        <v>1</v>
      </c>
    </row>
    <row r="491" spans="1:7" x14ac:dyDescent="0.25">
      <c r="A491" s="11">
        <v>44572.208333333336</v>
      </c>
      <c r="B491" s="10">
        <v>372.721</v>
      </c>
      <c r="C491">
        <f t="shared" si="28"/>
        <v>2</v>
      </c>
      <c r="D491">
        <f t="shared" si="29"/>
        <v>11</v>
      </c>
      <c r="E491">
        <f t="shared" si="30"/>
        <v>5</v>
      </c>
      <c r="F491">
        <f t="shared" si="31"/>
        <v>1</v>
      </c>
      <c r="G491">
        <f>VLOOKUP(E491,Sheet1!$A$2:$B$25,2,FALSE)</f>
        <v>1</v>
      </c>
    </row>
    <row r="492" spans="1:7" x14ac:dyDescent="0.25">
      <c r="A492" s="11">
        <v>44572.229166666664</v>
      </c>
      <c r="B492" s="10">
        <v>978.02</v>
      </c>
      <c r="C492">
        <f t="shared" si="28"/>
        <v>2</v>
      </c>
      <c r="D492">
        <f t="shared" si="29"/>
        <v>11</v>
      </c>
      <c r="E492">
        <f t="shared" si="30"/>
        <v>5</v>
      </c>
      <c r="F492">
        <f t="shared" si="31"/>
        <v>1</v>
      </c>
      <c r="G492">
        <f>VLOOKUP(E492,Sheet1!$A$2:$B$25,2,FALSE)</f>
        <v>1</v>
      </c>
    </row>
    <row r="493" spans="1:7" x14ac:dyDescent="0.25">
      <c r="A493" s="11">
        <v>44572.25</v>
      </c>
      <c r="B493" s="10">
        <v>723.95600000000002</v>
      </c>
      <c r="C493">
        <f t="shared" si="28"/>
        <v>2</v>
      </c>
      <c r="D493">
        <f t="shared" si="29"/>
        <v>11</v>
      </c>
      <c r="E493">
        <f t="shared" si="30"/>
        <v>6</v>
      </c>
      <c r="F493">
        <f t="shared" si="31"/>
        <v>1</v>
      </c>
      <c r="G493">
        <f>VLOOKUP(E493,Sheet1!$A$2:$B$25,2,FALSE)</f>
        <v>1</v>
      </c>
    </row>
    <row r="494" spans="1:7" x14ac:dyDescent="0.25">
      <c r="A494" s="11">
        <v>44572.270833333336</v>
      </c>
      <c r="B494" s="10">
        <v>814.82</v>
      </c>
      <c r="C494">
        <f t="shared" si="28"/>
        <v>2</v>
      </c>
      <c r="D494">
        <f t="shared" si="29"/>
        <v>11</v>
      </c>
      <c r="E494">
        <f t="shared" si="30"/>
        <v>6</v>
      </c>
      <c r="F494">
        <f t="shared" si="31"/>
        <v>1</v>
      </c>
      <c r="G494">
        <f>VLOOKUP(E494,Sheet1!$A$2:$B$25,2,FALSE)</f>
        <v>1</v>
      </c>
    </row>
    <row r="495" spans="1:7" x14ac:dyDescent="0.25">
      <c r="A495" s="11">
        <v>44572.291666666664</v>
      </c>
      <c r="B495" s="10">
        <v>900.02499999999998</v>
      </c>
      <c r="C495">
        <f t="shared" si="28"/>
        <v>2</v>
      </c>
      <c r="D495">
        <f t="shared" si="29"/>
        <v>11</v>
      </c>
      <c r="E495">
        <f t="shared" si="30"/>
        <v>7</v>
      </c>
      <c r="F495">
        <f t="shared" si="31"/>
        <v>1</v>
      </c>
      <c r="G495">
        <f>VLOOKUP(E495,Sheet1!$A$2:$B$25,2,FALSE)</f>
        <v>1</v>
      </c>
    </row>
    <row r="496" spans="1:7" x14ac:dyDescent="0.25">
      <c r="A496" s="11">
        <v>44572.3125</v>
      </c>
      <c r="B496" s="10">
        <v>885.26</v>
      </c>
      <c r="C496">
        <f t="shared" si="28"/>
        <v>2</v>
      </c>
      <c r="D496">
        <f t="shared" si="29"/>
        <v>11</v>
      </c>
      <c r="E496">
        <f t="shared" si="30"/>
        <v>7</v>
      </c>
      <c r="F496">
        <f t="shared" si="31"/>
        <v>1</v>
      </c>
      <c r="G496">
        <f>VLOOKUP(E496,Sheet1!$A$2:$B$25,2,FALSE)</f>
        <v>1</v>
      </c>
    </row>
    <row r="497" spans="1:7" x14ac:dyDescent="0.25">
      <c r="A497" s="11">
        <v>44572.333333333336</v>
      </c>
      <c r="B497" s="10">
        <v>836.78</v>
      </c>
      <c r="C497">
        <f t="shared" si="28"/>
        <v>2</v>
      </c>
      <c r="D497">
        <f t="shared" si="29"/>
        <v>11</v>
      </c>
      <c r="E497">
        <f t="shared" si="30"/>
        <v>8</v>
      </c>
      <c r="F497">
        <f t="shared" si="31"/>
        <v>1</v>
      </c>
      <c r="G497">
        <f>VLOOKUP(E497,Sheet1!$A$2:$B$25,2,FALSE)</f>
        <v>1</v>
      </c>
    </row>
    <row r="498" spans="1:7" x14ac:dyDescent="0.25">
      <c r="A498" s="11">
        <v>44572.354166666664</v>
      </c>
      <c r="B498" s="10">
        <v>864.83600000000001</v>
      </c>
      <c r="C498">
        <f t="shared" si="28"/>
        <v>2</v>
      </c>
      <c r="D498">
        <f t="shared" si="29"/>
        <v>11</v>
      </c>
      <c r="E498">
        <f t="shared" si="30"/>
        <v>8</v>
      </c>
      <c r="F498">
        <f t="shared" si="31"/>
        <v>1</v>
      </c>
      <c r="G498">
        <f>VLOOKUP(E498,Sheet1!$A$2:$B$25,2,FALSE)</f>
        <v>1</v>
      </c>
    </row>
    <row r="499" spans="1:7" x14ac:dyDescent="0.25">
      <c r="A499" s="11">
        <v>44572.375</v>
      </c>
      <c r="B499" s="10">
        <v>880.82</v>
      </c>
      <c r="C499">
        <f t="shared" si="28"/>
        <v>2</v>
      </c>
      <c r="D499">
        <f t="shared" si="29"/>
        <v>11</v>
      </c>
      <c r="E499">
        <f t="shared" si="30"/>
        <v>9</v>
      </c>
      <c r="F499">
        <f t="shared" si="31"/>
        <v>1</v>
      </c>
      <c r="G499">
        <f>VLOOKUP(E499,Sheet1!$A$2:$B$25,2,FALSE)</f>
        <v>1</v>
      </c>
    </row>
    <row r="500" spans="1:7" x14ac:dyDescent="0.25">
      <c r="A500" s="11">
        <v>44572.395833333336</v>
      </c>
      <c r="B500" s="10">
        <v>876.476</v>
      </c>
      <c r="C500">
        <f t="shared" si="28"/>
        <v>2</v>
      </c>
      <c r="D500">
        <f t="shared" si="29"/>
        <v>11</v>
      </c>
      <c r="E500">
        <f t="shared" si="30"/>
        <v>9</v>
      </c>
      <c r="F500">
        <f t="shared" si="31"/>
        <v>1</v>
      </c>
      <c r="G500">
        <f>VLOOKUP(E500,Sheet1!$A$2:$B$25,2,FALSE)</f>
        <v>1</v>
      </c>
    </row>
    <row r="501" spans="1:7" x14ac:dyDescent="0.25">
      <c r="A501" s="11">
        <v>44572.416666666664</v>
      </c>
      <c r="B501" s="10">
        <v>887.04100000000005</v>
      </c>
      <c r="C501">
        <f t="shared" si="28"/>
        <v>2</v>
      </c>
      <c r="D501">
        <f t="shared" si="29"/>
        <v>11</v>
      </c>
      <c r="E501">
        <f t="shared" si="30"/>
        <v>10</v>
      </c>
      <c r="F501">
        <f t="shared" si="31"/>
        <v>1</v>
      </c>
      <c r="G501">
        <f>VLOOKUP(E501,Sheet1!$A$2:$B$25,2,FALSE)</f>
        <v>1</v>
      </c>
    </row>
    <row r="502" spans="1:7" x14ac:dyDescent="0.25">
      <c r="A502" s="11">
        <v>44572.4375</v>
      </c>
      <c r="B502" s="10">
        <v>881.42</v>
      </c>
      <c r="C502">
        <f t="shared" si="28"/>
        <v>2</v>
      </c>
      <c r="D502">
        <f t="shared" si="29"/>
        <v>11</v>
      </c>
      <c r="E502">
        <f t="shared" si="30"/>
        <v>10</v>
      </c>
      <c r="F502">
        <f t="shared" si="31"/>
        <v>1</v>
      </c>
      <c r="G502">
        <f>VLOOKUP(E502,Sheet1!$A$2:$B$25,2,FALSE)</f>
        <v>1</v>
      </c>
    </row>
    <row r="503" spans="1:7" x14ac:dyDescent="0.25">
      <c r="A503" s="11">
        <v>44572.458333333336</v>
      </c>
      <c r="B503" s="10">
        <v>841.79600000000005</v>
      </c>
      <c r="C503">
        <f t="shared" si="28"/>
        <v>2</v>
      </c>
      <c r="D503">
        <f t="shared" si="29"/>
        <v>11</v>
      </c>
      <c r="E503">
        <f t="shared" si="30"/>
        <v>11</v>
      </c>
      <c r="F503">
        <f t="shared" si="31"/>
        <v>1</v>
      </c>
      <c r="G503">
        <f>VLOOKUP(E503,Sheet1!$A$2:$B$25,2,FALSE)</f>
        <v>1</v>
      </c>
    </row>
    <row r="504" spans="1:7" x14ac:dyDescent="0.25">
      <c r="A504" s="11">
        <v>44572.479166666664</v>
      </c>
      <c r="B504" s="10">
        <v>744.96100000000001</v>
      </c>
      <c r="C504">
        <f t="shared" si="28"/>
        <v>2</v>
      </c>
      <c r="D504">
        <f t="shared" si="29"/>
        <v>11</v>
      </c>
      <c r="E504">
        <f t="shared" si="30"/>
        <v>11</v>
      </c>
      <c r="F504">
        <f t="shared" si="31"/>
        <v>1</v>
      </c>
      <c r="G504">
        <f>VLOOKUP(E504,Sheet1!$A$2:$B$25,2,FALSE)</f>
        <v>1</v>
      </c>
    </row>
    <row r="505" spans="1:7" x14ac:dyDescent="0.25">
      <c r="A505" s="11">
        <v>44572.5</v>
      </c>
      <c r="B505" s="10">
        <v>855.35599999999999</v>
      </c>
      <c r="C505">
        <f t="shared" si="28"/>
        <v>2</v>
      </c>
      <c r="D505">
        <f t="shared" si="29"/>
        <v>11</v>
      </c>
      <c r="E505">
        <f t="shared" si="30"/>
        <v>12</v>
      </c>
      <c r="F505">
        <f t="shared" si="31"/>
        <v>1</v>
      </c>
      <c r="G505">
        <f>VLOOKUP(E505,Sheet1!$A$2:$B$25,2,FALSE)</f>
        <v>1</v>
      </c>
    </row>
    <row r="506" spans="1:7" x14ac:dyDescent="0.25">
      <c r="A506" s="11">
        <v>44572.520833333336</v>
      </c>
      <c r="B506" s="10">
        <v>821.51599999999996</v>
      </c>
      <c r="C506">
        <f t="shared" si="28"/>
        <v>2</v>
      </c>
      <c r="D506">
        <f t="shared" si="29"/>
        <v>11</v>
      </c>
      <c r="E506">
        <f t="shared" si="30"/>
        <v>12</v>
      </c>
      <c r="F506">
        <f t="shared" si="31"/>
        <v>1</v>
      </c>
      <c r="G506">
        <f>VLOOKUP(E506,Sheet1!$A$2:$B$25,2,FALSE)</f>
        <v>1</v>
      </c>
    </row>
    <row r="507" spans="1:7" x14ac:dyDescent="0.25">
      <c r="A507" s="11">
        <v>44572.541666666664</v>
      </c>
      <c r="B507" s="10">
        <v>758.9</v>
      </c>
      <c r="C507">
        <f t="shared" si="28"/>
        <v>2</v>
      </c>
      <c r="D507">
        <f t="shared" si="29"/>
        <v>11</v>
      </c>
      <c r="E507">
        <f t="shared" si="30"/>
        <v>13</v>
      </c>
      <c r="F507">
        <f t="shared" si="31"/>
        <v>1</v>
      </c>
      <c r="G507">
        <f>VLOOKUP(E507,Sheet1!$A$2:$B$25,2,FALSE)</f>
        <v>1</v>
      </c>
    </row>
    <row r="508" spans="1:7" x14ac:dyDescent="0.25">
      <c r="A508" s="11">
        <v>44572.5625</v>
      </c>
      <c r="B508" s="10">
        <v>682.70500000000004</v>
      </c>
      <c r="C508">
        <f t="shared" si="28"/>
        <v>2</v>
      </c>
      <c r="D508">
        <f t="shared" si="29"/>
        <v>11</v>
      </c>
      <c r="E508">
        <f t="shared" si="30"/>
        <v>13</v>
      </c>
      <c r="F508">
        <f t="shared" si="31"/>
        <v>1</v>
      </c>
      <c r="G508">
        <f>VLOOKUP(E508,Sheet1!$A$2:$B$25,2,FALSE)</f>
        <v>1</v>
      </c>
    </row>
    <row r="509" spans="1:7" x14ac:dyDescent="0.25">
      <c r="A509" s="11">
        <v>44572.583333333336</v>
      </c>
      <c r="B509" s="10">
        <v>354.38</v>
      </c>
      <c r="C509">
        <f t="shared" si="28"/>
        <v>2</v>
      </c>
      <c r="D509">
        <f t="shared" si="29"/>
        <v>11</v>
      </c>
      <c r="E509">
        <f t="shared" si="30"/>
        <v>14</v>
      </c>
      <c r="F509">
        <f t="shared" si="31"/>
        <v>1</v>
      </c>
      <c r="G509">
        <f>VLOOKUP(E509,Sheet1!$A$2:$B$25,2,FALSE)</f>
        <v>1</v>
      </c>
    </row>
    <row r="510" spans="1:7" x14ac:dyDescent="0.25">
      <c r="A510" s="11">
        <v>44572.604166666664</v>
      </c>
      <c r="B510" s="10">
        <v>353.18</v>
      </c>
      <c r="C510">
        <f t="shared" si="28"/>
        <v>2</v>
      </c>
      <c r="D510">
        <f t="shared" si="29"/>
        <v>11</v>
      </c>
      <c r="E510">
        <f t="shared" si="30"/>
        <v>14</v>
      </c>
      <c r="F510">
        <f t="shared" si="31"/>
        <v>1</v>
      </c>
      <c r="G510">
        <f>VLOOKUP(E510,Sheet1!$A$2:$B$25,2,FALSE)</f>
        <v>1</v>
      </c>
    </row>
    <row r="511" spans="1:7" x14ac:dyDescent="0.25">
      <c r="A511" s="11">
        <v>44572.625</v>
      </c>
      <c r="B511" s="10">
        <v>348.24099999999999</v>
      </c>
      <c r="C511">
        <f t="shared" si="28"/>
        <v>2</v>
      </c>
      <c r="D511">
        <f t="shared" si="29"/>
        <v>11</v>
      </c>
      <c r="E511">
        <f t="shared" si="30"/>
        <v>15</v>
      </c>
      <c r="F511">
        <f t="shared" si="31"/>
        <v>1</v>
      </c>
      <c r="G511">
        <f>VLOOKUP(E511,Sheet1!$A$2:$B$25,2,FALSE)</f>
        <v>1</v>
      </c>
    </row>
    <row r="512" spans="1:7" x14ac:dyDescent="0.25">
      <c r="A512" s="11">
        <v>44572.645833333336</v>
      </c>
      <c r="B512" s="10">
        <v>348.5</v>
      </c>
      <c r="C512">
        <f t="shared" si="28"/>
        <v>2</v>
      </c>
      <c r="D512">
        <f t="shared" si="29"/>
        <v>11</v>
      </c>
      <c r="E512">
        <f t="shared" si="30"/>
        <v>15</v>
      </c>
      <c r="F512">
        <f t="shared" si="31"/>
        <v>1</v>
      </c>
      <c r="G512">
        <f>VLOOKUP(E512,Sheet1!$A$2:$B$25,2,FALSE)</f>
        <v>1</v>
      </c>
    </row>
    <row r="513" spans="1:7" x14ac:dyDescent="0.25">
      <c r="A513" s="11">
        <v>44572.666666666664</v>
      </c>
      <c r="B513" s="10">
        <v>335.76100000000002</v>
      </c>
      <c r="C513">
        <f t="shared" si="28"/>
        <v>2</v>
      </c>
      <c r="D513">
        <f t="shared" si="29"/>
        <v>11</v>
      </c>
      <c r="E513">
        <f t="shared" si="30"/>
        <v>16</v>
      </c>
      <c r="F513">
        <f t="shared" si="31"/>
        <v>1</v>
      </c>
      <c r="G513">
        <f>VLOOKUP(E513,Sheet1!$A$2:$B$25,2,FALSE)</f>
        <v>0</v>
      </c>
    </row>
    <row r="514" spans="1:7" x14ac:dyDescent="0.25">
      <c r="A514" s="11">
        <v>44572.6875</v>
      </c>
      <c r="B514" s="10">
        <v>325.916</v>
      </c>
      <c r="C514">
        <f t="shared" ref="C514:C577" si="32">WEEKDAY(A514,2)</f>
        <v>2</v>
      </c>
      <c r="D514">
        <f t="shared" ref="D514:D577" si="33">DAY(A514)</f>
        <v>11</v>
      </c>
      <c r="E514">
        <f t="shared" ref="E514:E577" si="34">HOUR(A514)</f>
        <v>16</v>
      </c>
      <c r="F514">
        <f t="shared" si="31"/>
        <v>1</v>
      </c>
      <c r="G514">
        <f>VLOOKUP(E514,Sheet1!$A$2:$B$25,2,FALSE)</f>
        <v>0</v>
      </c>
    </row>
    <row r="515" spans="1:7" x14ac:dyDescent="0.25">
      <c r="A515" s="11">
        <v>44572.708333333336</v>
      </c>
      <c r="B515" s="10">
        <v>329.99599999999998</v>
      </c>
      <c r="C515">
        <f t="shared" si="32"/>
        <v>2</v>
      </c>
      <c r="D515">
        <f t="shared" si="33"/>
        <v>11</v>
      </c>
      <c r="E515">
        <f t="shared" si="34"/>
        <v>17</v>
      </c>
      <c r="F515">
        <f t="shared" ref="F515:F578" si="35">IF(C515&gt;=6,0,1)</f>
        <v>1</v>
      </c>
      <c r="G515">
        <f>VLOOKUP(E515,Sheet1!$A$2:$B$25,2,FALSE)</f>
        <v>0</v>
      </c>
    </row>
    <row r="516" spans="1:7" x14ac:dyDescent="0.25">
      <c r="A516" s="11">
        <v>44572.729166666664</v>
      </c>
      <c r="B516" s="10">
        <v>328.31599999999997</v>
      </c>
      <c r="C516">
        <f t="shared" si="32"/>
        <v>2</v>
      </c>
      <c r="D516">
        <f t="shared" si="33"/>
        <v>11</v>
      </c>
      <c r="E516">
        <f t="shared" si="34"/>
        <v>17</v>
      </c>
      <c r="F516">
        <f t="shared" si="35"/>
        <v>1</v>
      </c>
      <c r="G516">
        <f>VLOOKUP(E516,Sheet1!$A$2:$B$25,2,FALSE)</f>
        <v>0</v>
      </c>
    </row>
    <row r="517" spans="1:7" x14ac:dyDescent="0.25">
      <c r="A517" s="11">
        <v>44572.75</v>
      </c>
      <c r="B517" s="10">
        <v>335.78500000000003</v>
      </c>
      <c r="C517">
        <f t="shared" si="32"/>
        <v>2</v>
      </c>
      <c r="D517">
        <f t="shared" si="33"/>
        <v>11</v>
      </c>
      <c r="E517">
        <f t="shared" si="34"/>
        <v>18</v>
      </c>
      <c r="F517">
        <f t="shared" si="35"/>
        <v>1</v>
      </c>
      <c r="G517">
        <f>VLOOKUP(E517,Sheet1!$A$2:$B$25,2,FALSE)</f>
        <v>0</v>
      </c>
    </row>
    <row r="518" spans="1:7" x14ac:dyDescent="0.25">
      <c r="A518" s="11">
        <v>44572.770833333336</v>
      </c>
      <c r="B518" s="10">
        <v>315.476</v>
      </c>
      <c r="C518">
        <f t="shared" si="32"/>
        <v>2</v>
      </c>
      <c r="D518">
        <f t="shared" si="33"/>
        <v>11</v>
      </c>
      <c r="E518">
        <f t="shared" si="34"/>
        <v>18</v>
      </c>
      <c r="F518">
        <f t="shared" si="35"/>
        <v>1</v>
      </c>
      <c r="G518">
        <f>VLOOKUP(E518,Sheet1!$A$2:$B$25,2,FALSE)</f>
        <v>0</v>
      </c>
    </row>
    <row r="519" spans="1:7" x14ac:dyDescent="0.25">
      <c r="A519" s="11">
        <v>44572.791666666664</v>
      </c>
      <c r="B519" s="10">
        <v>313.43599999999998</v>
      </c>
      <c r="C519">
        <f t="shared" si="32"/>
        <v>2</v>
      </c>
      <c r="D519">
        <f t="shared" si="33"/>
        <v>11</v>
      </c>
      <c r="E519">
        <f t="shared" si="34"/>
        <v>19</v>
      </c>
      <c r="F519">
        <f t="shared" si="35"/>
        <v>1</v>
      </c>
      <c r="G519">
        <f>VLOOKUP(E519,Sheet1!$A$2:$B$25,2,FALSE)</f>
        <v>0</v>
      </c>
    </row>
    <row r="520" spans="1:7" x14ac:dyDescent="0.25">
      <c r="A520" s="11">
        <v>44572.8125</v>
      </c>
      <c r="B520" s="10">
        <v>321.5</v>
      </c>
      <c r="C520">
        <f t="shared" si="32"/>
        <v>2</v>
      </c>
      <c r="D520">
        <f t="shared" si="33"/>
        <v>11</v>
      </c>
      <c r="E520">
        <f t="shared" si="34"/>
        <v>19</v>
      </c>
      <c r="F520">
        <f t="shared" si="35"/>
        <v>1</v>
      </c>
      <c r="G520">
        <f>VLOOKUP(E520,Sheet1!$A$2:$B$25,2,FALSE)</f>
        <v>0</v>
      </c>
    </row>
    <row r="521" spans="1:7" x14ac:dyDescent="0.25">
      <c r="A521" s="11">
        <v>44572.833333333336</v>
      </c>
      <c r="B521" s="10">
        <v>310.94499999999999</v>
      </c>
      <c r="C521">
        <f t="shared" si="32"/>
        <v>2</v>
      </c>
      <c r="D521">
        <f t="shared" si="33"/>
        <v>11</v>
      </c>
      <c r="E521">
        <f t="shared" si="34"/>
        <v>20</v>
      </c>
      <c r="F521">
        <f t="shared" si="35"/>
        <v>1</v>
      </c>
      <c r="G521">
        <f>VLOOKUP(E521,Sheet1!$A$2:$B$25,2,FALSE)</f>
        <v>0</v>
      </c>
    </row>
    <row r="522" spans="1:7" x14ac:dyDescent="0.25">
      <c r="A522" s="11">
        <v>44572.854166666664</v>
      </c>
      <c r="B522" s="10">
        <v>309.71600000000001</v>
      </c>
      <c r="C522">
        <f t="shared" si="32"/>
        <v>2</v>
      </c>
      <c r="D522">
        <f t="shared" si="33"/>
        <v>11</v>
      </c>
      <c r="E522">
        <f t="shared" si="34"/>
        <v>20</v>
      </c>
      <c r="F522">
        <f t="shared" si="35"/>
        <v>1</v>
      </c>
      <c r="G522">
        <f>VLOOKUP(E522,Sheet1!$A$2:$B$25,2,FALSE)</f>
        <v>0</v>
      </c>
    </row>
    <row r="523" spans="1:7" x14ac:dyDescent="0.25">
      <c r="A523" s="11">
        <v>44572.875</v>
      </c>
      <c r="B523" s="10">
        <v>305.66000000000003</v>
      </c>
      <c r="C523">
        <f t="shared" si="32"/>
        <v>2</v>
      </c>
      <c r="D523">
        <f t="shared" si="33"/>
        <v>11</v>
      </c>
      <c r="E523">
        <f t="shared" si="34"/>
        <v>21</v>
      </c>
      <c r="F523">
        <f t="shared" si="35"/>
        <v>1</v>
      </c>
      <c r="G523">
        <f>VLOOKUP(E523,Sheet1!$A$2:$B$25,2,FALSE)</f>
        <v>0</v>
      </c>
    </row>
    <row r="524" spans="1:7" x14ac:dyDescent="0.25">
      <c r="A524" s="11">
        <v>44572.895833333336</v>
      </c>
      <c r="B524" s="10">
        <v>302.87599999999998</v>
      </c>
      <c r="C524">
        <f t="shared" si="32"/>
        <v>2</v>
      </c>
      <c r="D524">
        <f t="shared" si="33"/>
        <v>11</v>
      </c>
      <c r="E524">
        <f t="shared" si="34"/>
        <v>21</v>
      </c>
      <c r="F524">
        <f t="shared" si="35"/>
        <v>1</v>
      </c>
      <c r="G524">
        <f>VLOOKUP(E524,Sheet1!$A$2:$B$25,2,FALSE)</f>
        <v>0</v>
      </c>
    </row>
    <row r="525" spans="1:7" x14ac:dyDescent="0.25">
      <c r="A525" s="11">
        <v>44572.916666666664</v>
      </c>
      <c r="B525" s="10">
        <v>305.28100000000001</v>
      </c>
      <c r="C525">
        <f t="shared" si="32"/>
        <v>2</v>
      </c>
      <c r="D525">
        <f t="shared" si="33"/>
        <v>11</v>
      </c>
      <c r="E525">
        <f t="shared" si="34"/>
        <v>22</v>
      </c>
      <c r="F525">
        <f t="shared" si="35"/>
        <v>1</v>
      </c>
      <c r="G525">
        <f>VLOOKUP(E525,Sheet1!$A$2:$B$25,2,FALSE)</f>
        <v>0</v>
      </c>
    </row>
    <row r="526" spans="1:7" x14ac:dyDescent="0.25">
      <c r="A526" s="11">
        <v>44572.9375</v>
      </c>
      <c r="B526" s="10">
        <v>304.22000000000003</v>
      </c>
      <c r="C526">
        <f t="shared" si="32"/>
        <v>2</v>
      </c>
      <c r="D526">
        <f t="shared" si="33"/>
        <v>11</v>
      </c>
      <c r="E526">
        <f t="shared" si="34"/>
        <v>22</v>
      </c>
      <c r="F526">
        <f t="shared" si="35"/>
        <v>1</v>
      </c>
      <c r="G526">
        <f>VLOOKUP(E526,Sheet1!$A$2:$B$25,2,FALSE)</f>
        <v>0</v>
      </c>
    </row>
    <row r="527" spans="1:7" x14ac:dyDescent="0.25">
      <c r="A527" s="11">
        <v>44572.958333333336</v>
      </c>
      <c r="B527" s="10">
        <v>301.22000000000003</v>
      </c>
      <c r="C527">
        <f t="shared" si="32"/>
        <v>2</v>
      </c>
      <c r="D527">
        <f t="shared" si="33"/>
        <v>11</v>
      </c>
      <c r="E527">
        <f t="shared" si="34"/>
        <v>23</v>
      </c>
      <c r="F527">
        <f t="shared" si="35"/>
        <v>1</v>
      </c>
      <c r="G527">
        <f>VLOOKUP(E527,Sheet1!$A$2:$B$25,2,FALSE)</f>
        <v>0</v>
      </c>
    </row>
    <row r="528" spans="1:7" x14ac:dyDescent="0.25">
      <c r="A528" s="11">
        <v>44572.979166666664</v>
      </c>
      <c r="B528" s="10">
        <v>300.476</v>
      </c>
      <c r="C528">
        <f t="shared" si="32"/>
        <v>2</v>
      </c>
      <c r="D528">
        <f t="shared" si="33"/>
        <v>11</v>
      </c>
      <c r="E528">
        <f t="shared" si="34"/>
        <v>23</v>
      </c>
      <c r="F528">
        <f t="shared" si="35"/>
        <v>1</v>
      </c>
      <c r="G528">
        <f>VLOOKUP(E528,Sheet1!$A$2:$B$25,2,FALSE)</f>
        <v>0</v>
      </c>
    </row>
    <row r="529" spans="1:7" x14ac:dyDescent="0.25">
      <c r="A529" s="11">
        <v>44573</v>
      </c>
      <c r="B529" s="10">
        <v>302.185</v>
      </c>
      <c r="C529">
        <f t="shared" si="32"/>
        <v>3</v>
      </c>
      <c r="D529">
        <f t="shared" si="33"/>
        <v>12</v>
      </c>
      <c r="E529">
        <f t="shared" si="34"/>
        <v>0</v>
      </c>
      <c r="F529">
        <f t="shared" si="35"/>
        <v>1</v>
      </c>
      <c r="G529">
        <f>VLOOKUP(E529,Sheet1!$A$2:$B$25,2,FALSE)</f>
        <v>0</v>
      </c>
    </row>
    <row r="530" spans="1:7" x14ac:dyDescent="0.25">
      <c r="A530" s="11">
        <v>44573.020833333336</v>
      </c>
      <c r="B530" s="10">
        <v>309.62</v>
      </c>
      <c r="C530">
        <f t="shared" si="32"/>
        <v>3</v>
      </c>
      <c r="D530">
        <f t="shared" si="33"/>
        <v>12</v>
      </c>
      <c r="E530">
        <f t="shared" si="34"/>
        <v>0</v>
      </c>
      <c r="F530">
        <f t="shared" si="35"/>
        <v>1</v>
      </c>
      <c r="G530">
        <f>VLOOKUP(E530,Sheet1!$A$2:$B$25,2,FALSE)</f>
        <v>0</v>
      </c>
    </row>
    <row r="531" spans="1:7" x14ac:dyDescent="0.25">
      <c r="A531" s="11">
        <v>44573.041666666664</v>
      </c>
      <c r="B531" s="10">
        <v>303.38</v>
      </c>
      <c r="C531">
        <f t="shared" si="32"/>
        <v>3</v>
      </c>
      <c r="D531">
        <f t="shared" si="33"/>
        <v>12</v>
      </c>
      <c r="E531">
        <f t="shared" si="34"/>
        <v>1</v>
      </c>
      <c r="F531">
        <f t="shared" si="35"/>
        <v>1</v>
      </c>
      <c r="G531">
        <f>VLOOKUP(E531,Sheet1!$A$2:$B$25,2,FALSE)</f>
        <v>0</v>
      </c>
    </row>
    <row r="532" spans="1:7" x14ac:dyDescent="0.25">
      <c r="A532" s="11">
        <v>44573.0625</v>
      </c>
      <c r="B532" s="10">
        <v>303.86</v>
      </c>
      <c r="C532">
        <f t="shared" si="32"/>
        <v>3</v>
      </c>
      <c r="D532">
        <f t="shared" si="33"/>
        <v>12</v>
      </c>
      <c r="E532">
        <f t="shared" si="34"/>
        <v>1</v>
      </c>
      <c r="F532">
        <f t="shared" si="35"/>
        <v>1</v>
      </c>
      <c r="G532">
        <f>VLOOKUP(E532,Sheet1!$A$2:$B$25,2,FALSE)</f>
        <v>0</v>
      </c>
    </row>
    <row r="533" spans="1:7" x14ac:dyDescent="0.25">
      <c r="A533" s="11">
        <v>44573.083333333336</v>
      </c>
      <c r="B533" s="10">
        <v>303.745</v>
      </c>
      <c r="C533">
        <f t="shared" si="32"/>
        <v>3</v>
      </c>
      <c r="D533">
        <f t="shared" si="33"/>
        <v>12</v>
      </c>
      <c r="E533">
        <f t="shared" si="34"/>
        <v>2</v>
      </c>
      <c r="F533">
        <f t="shared" si="35"/>
        <v>1</v>
      </c>
      <c r="G533">
        <f>VLOOKUP(E533,Sheet1!$A$2:$B$25,2,FALSE)</f>
        <v>0</v>
      </c>
    </row>
    <row r="534" spans="1:7" x14ac:dyDescent="0.25">
      <c r="A534" s="11">
        <v>44573.104166666664</v>
      </c>
      <c r="B534" s="10">
        <v>303.38</v>
      </c>
      <c r="C534">
        <f t="shared" si="32"/>
        <v>3</v>
      </c>
      <c r="D534">
        <f t="shared" si="33"/>
        <v>12</v>
      </c>
      <c r="E534">
        <f t="shared" si="34"/>
        <v>2</v>
      </c>
      <c r="F534">
        <f t="shared" si="35"/>
        <v>1</v>
      </c>
      <c r="G534">
        <f>VLOOKUP(E534,Sheet1!$A$2:$B$25,2,FALSE)</f>
        <v>0</v>
      </c>
    </row>
    <row r="535" spans="1:7" x14ac:dyDescent="0.25">
      <c r="A535" s="11">
        <v>44573.125</v>
      </c>
      <c r="B535" s="10">
        <v>303.26</v>
      </c>
      <c r="C535">
        <f t="shared" si="32"/>
        <v>3</v>
      </c>
      <c r="D535">
        <f t="shared" si="33"/>
        <v>12</v>
      </c>
      <c r="E535">
        <f t="shared" si="34"/>
        <v>3</v>
      </c>
      <c r="F535">
        <f t="shared" si="35"/>
        <v>1</v>
      </c>
      <c r="G535">
        <f>VLOOKUP(E535,Sheet1!$A$2:$B$25,2,FALSE)</f>
        <v>0</v>
      </c>
    </row>
    <row r="536" spans="1:7" x14ac:dyDescent="0.25">
      <c r="A536" s="11">
        <v>44573.145833333336</v>
      </c>
      <c r="B536" s="10">
        <v>384.596</v>
      </c>
      <c r="C536">
        <f t="shared" si="32"/>
        <v>3</v>
      </c>
      <c r="D536">
        <f t="shared" si="33"/>
        <v>12</v>
      </c>
      <c r="E536">
        <f t="shared" si="34"/>
        <v>3</v>
      </c>
      <c r="F536">
        <f t="shared" si="35"/>
        <v>1</v>
      </c>
      <c r="G536">
        <f>VLOOKUP(E536,Sheet1!$A$2:$B$25,2,FALSE)</f>
        <v>0</v>
      </c>
    </row>
    <row r="537" spans="1:7" x14ac:dyDescent="0.25">
      <c r="A537" s="11">
        <v>44573.166666666664</v>
      </c>
      <c r="B537" s="10">
        <v>319.10000000000002</v>
      </c>
      <c r="C537">
        <f t="shared" si="32"/>
        <v>3</v>
      </c>
      <c r="D537">
        <f t="shared" si="33"/>
        <v>12</v>
      </c>
      <c r="E537">
        <f t="shared" si="34"/>
        <v>4</v>
      </c>
      <c r="F537">
        <f t="shared" si="35"/>
        <v>1</v>
      </c>
      <c r="G537">
        <f>VLOOKUP(E537,Sheet1!$A$2:$B$25,2,FALSE)</f>
        <v>1</v>
      </c>
    </row>
    <row r="538" spans="1:7" x14ac:dyDescent="0.25">
      <c r="A538" s="11">
        <v>44573.1875</v>
      </c>
      <c r="B538" s="10">
        <v>317.036</v>
      </c>
      <c r="C538">
        <f t="shared" si="32"/>
        <v>3</v>
      </c>
      <c r="D538">
        <f t="shared" si="33"/>
        <v>12</v>
      </c>
      <c r="E538">
        <f t="shared" si="34"/>
        <v>4</v>
      </c>
      <c r="F538">
        <f t="shared" si="35"/>
        <v>1</v>
      </c>
      <c r="G538">
        <f>VLOOKUP(E538,Sheet1!$A$2:$B$25,2,FALSE)</f>
        <v>1</v>
      </c>
    </row>
    <row r="539" spans="1:7" x14ac:dyDescent="0.25">
      <c r="A539" s="11">
        <v>44573.208333333336</v>
      </c>
      <c r="B539" s="10">
        <v>329.40100000000001</v>
      </c>
      <c r="C539">
        <f t="shared" si="32"/>
        <v>3</v>
      </c>
      <c r="D539">
        <f t="shared" si="33"/>
        <v>12</v>
      </c>
      <c r="E539">
        <f t="shared" si="34"/>
        <v>5</v>
      </c>
      <c r="F539">
        <f t="shared" si="35"/>
        <v>1</v>
      </c>
      <c r="G539">
        <f>VLOOKUP(E539,Sheet1!$A$2:$B$25,2,FALSE)</f>
        <v>1</v>
      </c>
    </row>
    <row r="540" spans="1:7" x14ac:dyDescent="0.25">
      <c r="A540" s="11">
        <v>44573.229166666664</v>
      </c>
      <c r="B540" s="10">
        <v>752.3</v>
      </c>
      <c r="C540">
        <f t="shared" si="32"/>
        <v>3</v>
      </c>
      <c r="D540">
        <f t="shared" si="33"/>
        <v>12</v>
      </c>
      <c r="E540">
        <f t="shared" si="34"/>
        <v>5</v>
      </c>
      <c r="F540">
        <f t="shared" si="35"/>
        <v>1</v>
      </c>
      <c r="G540">
        <f>VLOOKUP(E540,Sheet1!$A$2:$B$25,2,FALSE)</f>
        <v>1</v>
      </c>
    </row>
    <row r="541" spans="1:7" x14ac:dyDescent="0.25">
      <c r="A541" s="11">
        <v>44573.25</v>
      </c>
      <c r="B541" s="10">
        <v>730.46</v>
      </c>
      <c r="C541">
        <f t="shared" si="32"/>
        <v>3</v>
      </c>
      <c r="D541">
        <f t="shared" si="33"/>
        <v>12</v>
      </c>
      <c r="E541">
        <f t="shared" si="34"/>
        <v>6</v>
      </c>
      <c r="F541">
        <f t="shared" si="35"/>
        <v>1</v>
      </c>
      <c r="G541">
        <f>VLOOKUP(E541,Sheet1!$A$2:$B$25,2,FALSE)</f>
        <v>1</v>
      </c>
    </row>
    <row r="542" spans="1:7" x14ac:dyDescent="0.25">
      <c r="A542" s="11">
        <v>44573.270833333336</v>
      </c>
      <c r="B542" s="10">
        <v>766.34</v>
      </c>
      <c r="C542">
        <f t="shared" si="32"/>
        <v>3</v>
      </c>
      <c r="D542">
        <f t="shared" si="33"/>
        <v>12</v>
      </c>
      <c r="E542">
        <f t="shared" si="34"/>
        <v>6</v>
      </c>
      <c r="F542">
        <f t="shared" si="35"/>
        <v>1</v>
      </c>
      <c r="G542">
        <f>VLOOKUP(E542,Sheet1!$A$2:$B$25,2,FALSE)</f>
        <v>1</v>
      </c>
    </row>
    <row r="543" spans="1:7" x14ac:dyDescent="0.25">
      <c r="A543" s="11">
        <v>44573.291666666664</v>
      </c>
      <c r="B543" s="10">
        <v>916.34</v>
      </c>
      <c r="C543">
        <f t="shared" si="32"/>
        <v>3</v>
      </c>
      <c r="D543">
        <f t="shared" si="33"/>
        <v>12</v>
      </c>
      <c r="E543">
        <f t="shared" si="34"/>
        <v>7</v>
      </c>
      <c r="F543">
        <f t="shared" si="35"/>
        <v>1</v>
      </c>
      <c r="G543">
        <f>VLOOKUP(E543,Sheet1!$A$2:$B$25,2,FALSE)</f>
        <v>1</v>
      </c>
    </row>
    <row r="544" spans="1:7" x14ac:dyDescent="0.25">
      <c r="A544" s="11">
        <v>44573.3125</v>
      </c>
      <c r="B544" s="10">
        <v>842.63599999999997</v>
      </c>
      <c r="C544">
        <f t="shared" si="32"/>
        <v>3</v>
      </c>
      <c r="D544">
        <f t="shared" si="33"/>
        <v>12</v>
      </c>
      <c r="E544">
        <f t="shared" si="34"/>
        <v>7</v>
      </c>
      <c r="F544">
        <f t="shared" si="35"/>
        <v>1</v>
      </c>
      <c r="G544">
        <f>VLOOKUP(E544,Sheet1!$A$2:$B$25,2,FALSE)</f>
        <v>1</v>
      </c>
    </row>
    <row r="545" spans="1:7" x14ac:dyDescent="0.25">
      <c r="A545" s="11">
        <v>44573.333333333336</v>
      </c>
      <c r="B545" s="10">
        <v>869.03599999999994</v>
      </c>
      <c r="C545">
        <f t="shared" si="32"/>
        <v>3</v>
      </c>
      <c r="D545">
        <f t="shared" si="33"/>
        <v>12</v>
      </c>
      <c r="E545">
        <f t="shared" si="34"/>
        <v>8</v>
      </c>
      <c r="F545">
        <f t="shared" si="35"/>
        <v>1</v>
      </c>
      <c r="G545">
        <f>VLOOKUP(E545,Sheet1!$A$2:$B$25,2,FALSE)</f>
        <v>1</v>
      </c>
    </row>
    <row r="546" spans="1:7" x14ac:dyDescent="0.25">
      <c r="A546" s="11">
        <v>44573.354166666664</v>
      </c>
      <c r="B546" s="10">
        <v>859.31600000000003</v>
      </c>
      <c r="C546">
        <f t="shared" si="32"/>
        <v>3</v>
      </c>
      <c r="D546">
        <f t="shared" si="33"/>
        <v>12</v>
      </c>
      <c r="E546">
        <f t="shared" si="34"/>
        <v>8</v>
      </c>
      <c r="F546">
        <f t="shared" si="35"/>
        <v>1</v>
      </c>
      <c r="G546">
        <f>VLOOKUP(E546,Sheet1!$A$2:$B$25,2,FALSE)</f>
        <v>1</v>
      </c>
    </row>
    <row r="547" spans="1:7" x14ac:dyDescent="0.25">
      <c r="A547" s="11">
        <v>44573.375</v>
      </c>
      <c r="B547" s="10">
        <v>840.5</v>
      </c>
      <c r="C547">
        <f t="shared" si="32"/>
        <v>3</v>
      </c>
      <c r="D547">
        <f t="shared" si="33"/>
        <v>12</v>
      </c>
      <c r="E547">
        <f t="shared" si="34"/>
        <v>9</v>
      </c>
      <c r="F547">
        <f t="shared" si="35"/>
        <v>1</v>
      </c>
      <c r="G547">
        <f>VLOOKUP(E547,Sheet1!$A$2:$B$25,2,FALSE)</f>
        <v>1</v>
      </c>
    </row>
    <row r="548" spans="1:7" x14ac:dyDescent="0.25">
      <c r="A548" s="11">
        <v>44573.395833333336</v>
      </c>
      <c r="B548" s="10">
        <v>816.96100000000001</v>
      </c>
      <c r="C548">
        <f t="shared" si="32"/>
        <v>3</v>
      </c>
      <c r="D548">
        <f t="shared" si="33"/>
        <v>12</v>
      </c>
      <c r="E548">
        <f t="shared" si="34"/>
        <v>9</v>
      </c>
      <c r="F548">
        <f t="shared" si="35"/>
        <v>1</v>
      </c>
      <c r="G548">
        <f>VLOOKUP(E548,Sheet1!$A$2:$B$25,2,FALSE)</f>
        <v>1</v>
      </c>
    </row>
    <row r="549" spans="1:7" x14ac:dyDescent="0.25">
      <c r="A549" s="11">
        <v>44573.416666666664</v>
      </c>
      <c r="B549" s="10">
        <v>813.14</v>
      </c>
      <c r="C549">
        <f t="shared" si="32"/>
        <v>3</v>
      </c>
      <c r="D549">
        <f t="shared" si="33"/>
        <v>12</v>
      </c>
      <c r="E549">
        <f t="shared" si="34"/>
        <v>10</v>
      </c>
      <c r="F549">
        <f t="shared" si="35"/>
        <v>1</v>
      </c>
      <c r="G549">
        <f>VLOOKUP(E549,Sheet1!$A$2:$B$25,2,FALSE)</f>
        <v>1</v>
      </c>
    </row>
    <row r="550" spans="1:7" x14ac:dyDescent="0.25">
      <c r="A550" s="11">
        <v>44573.4375</v>
      </c>
      <c r="B550" s="10">
        <v>798.11599999999999</v>
      </c>
      <c r="C550">
        <f t="shared" si="32"/>
        <v>3</v>
      </c>
      <c r="D550">
        <f t="shared" si="33"/>
        <v>12</v>
      </c>
      <c r="E550">
        <f t="shared" si="34"/>
        <v>10</v>
      </c>
      <c r="F550">
        <f t="shared" si="35"/>
        <v>1</v>
      </c>
      <c r="G550">
        <f>VLOOKUP(E550,Sheet1!$A$2:$B$25,2,FALSE)</f>
        <v>1</v>
      </c>
    </row>
    <row r="551" spans="1:7" x14ac:dyDescent="0.25">
      <c r="A551" s="11">
        <v>44573.458333333336</v>
      </c>
      <c r="B551" s="10">
        <v>817.92100000000005</v>
      </c>
      <c r="C551">
        <f t="shared" si="32"/>
        <v>3</v>
      </c>
      <c r="D551">
        <f t="shared" si="33"/>
        <v>12</v>
      </c>
      <c r="E551">
        <f t="shared" si="34"/>
        <v>11</v>
      </c>
      <c r="F551">
        <f t="shared" si="35"/>
        <v>1</v>
      </c>
      <c r="G551">
        <f>VLOOKUP(E551,Sheet1!$A$2:$B$25,2,FALSE)</f>
        <v>1</v>
      </c>
    </row>
    <row r="552" spans="1:7" x14ac:dyDescent="0.25">
      <c r="A552" s="11">
        <v>44573.479166666664</v>
      </c>
      <c r="B552" s="10">
        <v>791.99599999999998</v>
      </c>
      <c r="C552">
        <f t="shared" si="32"/>
        <v>3</v>
      </c>
      <c r="D552">
        <f t="shared" si="33"/>
        <v>12</v>
      </c>
      <c r="E552">
        <f t="shared" si="34"/>
        <v>11</v>
      </c>
      <c r="F552">
        <f t="shared" si="35"/>
        <v>1</v>
      </c>
      <c r="G552">
        <f>VLOOKUP(E552,Sheet1!$A$2:$B$25,2,FALSE)</f>
        <v>1</v>
      </c>
    </row>
    <row r="553" spans="1:7" x14ac:dyDescent="0.25">
      <c r="A553" s="11">
        <v>44573.5</v>
      </c>
      <c r="B553" s="10">
        <v>764.51599999999996</v>
      </c>
      <c r="C553">
        <f t="shared" si="32"/>
        <v>3</v>
      </c>
      <c r="D553">
        <f t="shared" si="33"/>
        <v>12</v>
      </c>
      <c r="E553">
        <f t="shared" si="34"/>
        <v>12</v>
      </c>
      <c r="F553">
        <f t="shared" si="35"/>
        <v>1</v>
      </c>
      <c r="G553">
        <f>VLOOKUP(E553,Sheet1!$A$2:$B$25,2,FALSE)</f>
        <v>1</v>
      </c>
    </row>
    <row r="554" spans="1:7" x14ac:dyDescent="0.25">
      <c r="A554" s="11">
        <v>44573.520833333336</v>
      </c>
      <c r="B554" s="10">
        <v>775.58</v>
      </c>
      <c r="C554">
        <f t="shared" si="32"/>
        <v>3</v>
      </c>
      <c r="D554">
        <f t="shared" si="33"/>
        <v>12</v>
      </c>
      <c r="E554">
        <f t="shared" si="34"/>
        <v>12</v>
      </c>
      <c r="F554">
        <f t="shared" si="35"/>
        <v>1</v>
      </c>
      <c r="G554">
        <f>VLOOKUP(E554,Sheet1!$A$2:$B$25,2,FALSE)</f>
        <v>1</v>
      </c>
    </row>
    <row r="555" spans="1:7" x14ac:dyDescent="0.25">
      <c r="A555" s="11">
        <v>44573.541666666664</v>
      </c>
      <c r="B555" s="10">
        <v>805.82500000000005</v>
      </c>
      <c r="C555">
        <f t="shared" si="32"/>
        <v>3</v>
      </c>
      <c r="D555">
        <f t="shared" si="33"/>
        <v>12</v>
      </c>
      <c r="E555">
        <f t="shared" si="34"/>
        <v>13</v>
      </c>
      <c r="F555">
        <f t="shared" si="35"/>
        <v>1</v>
      </c>
      <c r="G555">
        <f>VLOOKUP(E555,Sheet1!$A$2:$B$25,2,FALSE)</f>
        <v>1</v>
      </c>
    </row>
    <row r="556" spans="1:7" x14ac:dyDescent="0.25">
      <c r="A556" s="11">
        <v>44573.5625</v>
      </c>
      <c r="B556" s="10">
        <v>805.58</v>
      </c>
      <c r="C556">
        <f t="shared" si="32"/>
        <v>3</v>
      </c>
      <c r="D556">
        <f t="shared" si="33"/>
        <v>12</v>
      </c>
      <c r="E556">
        <f t="shared" si="34"/>
        <v>13</v>
      </c>
      <c r="F556">
        <f t="shared" si="35"/>
        <v>1</v>
      </c>
      <c r="G556">
        <f>VLOOKUP(E556,Sheet1!$A$2:$B$25,2,FALSE)</f>
        <v>1</v>
      </c>
    </row>
    <row r="557" spans="1:7" x14ac:dyDescent="0.25">
      <c r="A557" s="11">
        <v>44573.583333333336</v>
      </c>
      <c r="B557" s="10">
        <v>635.75599999999997</v>
      </c>
      <c r="C557">
        <f t="shared" si="32"/>
        <v>3</v>
      </c>
      <c r="D557">
        <f t="shared" si="33"/>
        <v>12</v>
      </c>
      <c r="E557">
        <f t="shared" si="34"/>
        <v>14</v>
      </c>
      <c r="F557">
        <f t="shared" si="35"/>
        <v>1</v>
      </c>
      <c r="G557">
        <f>VLOOKUP(E557,Sheet1!$A$2:$B$25,2,FALSE)</f>
        <v>1</v>
      </c>
    </row>
    <row r="558" spans="1:7" x14ac:dyDescent="0.25">
      <c r="A558" s="11">
        <v>44573.604166666664</v>
      </c>
      <c r="B558" s="10">
        <v>336.14499999999998</v>
      </c>
      <c r="C558">
        <f t="shared" si="32"/>
        <v>3</v>
      </c>
      <c r="D558">
        <f t="shared" si="33"/>
        <v>12</v>
      </c>
      <c r="E558">
        <f t="shared" si="34"/>
        <v>14</v>
      </c>
      <c r="F558">
        <f t="shared" si="35"/>
        <v>1</v>
      </c>
      <c r="G558">
        <f>VLOOKUP(E558,Sheet1!$A$2:$B$25,2,FALSE)</f>
        <v>1</v>
      </c>
    </row>
    <row r="559" spans="1:7" x14ac:dyDescent="0.25">
      <c r="A559" s="11">
        <v>44573.625</v>
      </c>
      <c r="B559" s="10">
        <v>331.916</v>
      </c>
      <c r="C559">
        <f t="shared" si="32"/>
        <v>3</v>
      </c>
      <c r="D559">
        <f t="shared" si="33"/>
        <v>12</v>
      </c>
      <c r="E559">
        <f t="shared" si="34"/>
        <v>15</v>
      </c>
      <c r="F559">
        <f t="shared" si="35"/>
        <v>1</v>
      </c>
      <c r="G559">
        <f>VLOOKUP(E559,Sheet1!$A$2:$B$25,2,FALSE)</f>
        <v>1</v>
      </c>
    </row>
    <row r="560" spans="1:7" x14ac:dyDescent="0.25">
      <c r="A560" s="11">
        <v>44573.645833333336</v>
      </c>
      <c r="B560" s="10">
        <v>333.23599999999999</v>
      </c>
      <c r="C560">
        <f t="shared" si="32"/>
        <v>3</v>
      </c>
      <c r="D560">
        <f t="shared" si="33"/>
        <v>12</v>
      </c>
      <c r="E560">
        <f t="shared" si="34"/>
        <v>15</v>
      </c>
      <c r="F560">
        <f t="shared" si="35"/>
        <v>1</v>
      </c>
      <c r="G560">
        <f>VLOOKUP(E560,Sheet1!$A$2:$B$25,2,FALSE)</f>
        <v>1</v>
      </c>
    </row>
    <row r="561" spans="1:7" x14ac:dyDescent="0.25">
      <c r="A561" s="11">
        <v>44573.666666666664</v>
      </c>
      <c r="B561" s="10">
        <v>327.476</v>
      </c>
      <c r="C561">
        <f t="shared" si="32"/>
        <v>3</v>
      </c>
      <c r="D561">
        <f t="shared" si="33"/>
        <v>12</v>
      </c>
      <c r="E561">
        <f t="shared" si="34"/>
        <v>16</v>
      </c>
      <c r="F561">
        <f t="shared" si="35"/>
        <v>1</v>
      </c>
      <c r="G561">
        <f>VLOOKUP(E561,Sheet1!$A$2:$B$25,2,FALSE)</f>
        <v>0</v>
      </c>
    </row>
    <row r="562" spans="1:7" x14ac:dyDescent="0.25">
      <c r="A562" s="11">
        <v>44573.6875</v>
      </c>
      <c r="B562" s="10">
        <v>324.5</v>
      </c>
      <c r="C562">
        <f t="shared" si="32"/>
        <v>3</v>
      </c>
      <c r="D562">
        <f t="shared" si="33"/>
        <v>12</v>
      </c>
      <c r="E562">
        <f t="shared" si="34"/>
        <v>16</v>
      </c>
      <c r="F562">
        <f t="shared" si="35"/>
        <v>1</v>
      </c>
      <c r="G562">
        <f>VLOOKUP(E562,Sheet1!$A$2:$B$25,2,FALSE)</f>
        <v>0</v>
      </c>
    </row>
    <row r="563" spans="1:7" x14ac:dyDescent="0.25">
      <c r="A563" s="11">
        <v>44573.708333333336</v>
      </c>
      <c r="B563" s="10">
        <v>309.12099999999998</v>
      </c>
      <c r="C563">
        <f t="shared" si="32"/>
        <v>3</v>
      </c>
      <c r="D563">
        <f t="shared" si="33"/>
        <v>12</v>
      </c>
      <c r="E563">
        <f t="shared" si="34"/>
        <v>17</v>
      </c>
      <c r="F563">
        <f t="shared" si="35"/>
        <v>1</v>
      </c>
      <c r="G563">
        <f>VLOOKUP(E563,Sheet1!$A$2:$B$25,2,FALSE)</f>
        <v>0</v>
      </c>
    </row>
    <row r="564" spans="1:7" x14ac:dyDescent="0.25">
      <c r="A564" s="11">
        <v>44573.729166666664</v>
      </c>
      <c r="B564" s="10">
        <v>317.3</v>
      </c>
      <c r="C564">
        <f t="shared" si="32"/>
        <v>3</v>
      </c>
      <c r="D564">
        <f t="shared" si="33"/>
        <v>12</v>
      </c>
      <c r="E564">
        <f t="shared" si="34"/>
        <v>17</v>
      </c>
      <c r="F564">
        <f t="shared" si="35"/>
        <v>1</v>
      </c>
      <c r="G564">
        <f>VLOOKUP(E564,Sheet1!$A$2:$B$25,2,FALSE)</f>
        <v>0</v>
      </c>
    </row>
    <row r="565" spans="1:7" x14ac:dyDescent="0.25">
      <c r="A565" s="11">
        <v>44573.75</v>
      </c>
      <c r="B565" s="10">
        <v>309.98</v>
      </c>
      <c r="C565">
        <f t="shared" si="32"/>
        <v>3</v>
      </c>
      <c r="D565">
        <f t="shared" si="33"/>
        <v>12</v>
      </c>
      <c r="E565">
        <f t="shared" si="34"/>
        <v>18</v>
      </c>
      <c r="F565">
        <f t="shared" si="35"/>
        <v>1</v>
      </c>
      <c r="G565">
        <f>VLOOKUP(E565,Sheet1!$A$2:$B$25,2,FALSE)</f>
        <v>0</v>
      </c>
    </row>
    <row r="566" spans="1:7" x14ac:dyDescent="0.25">
      <c r="A566" s="11">
        <v>44573.770833333336</v>
      </c>
      <c r="B566" s="10">
        <v>315.02499999999998</v>
      </c>
      <c r="C566">
        <f t="shared" si="32"/>
        <v>3</v>
      </c>
      <c r="D566">
        <f t="shared" si="33"/>
        <v>12</v>
      </c>
      <c r="E566">
        <f t="shared" si="34"/>
        <v>18</v>
      </c>
      <c r="F566">
        <f t="shared" si="35"/>
        <v>1</v>
      </c>
      <c r="G566">
        <f>VLOOKUP(E566,Sheet1!$A$2:$B$25,2,FALSE)</f>
        <v>0</v>
      </c>
    </row>
    <row r="567" spans="1:7" x14ac:dyDescent="0.25">
      <c r="A567" s="11">
        <v>44573.791666666664</v>
      </c>
      <c r="B567" s="10">
        <v>312.23599999999999</v>
      </c>
      <c r="C567">
        <f t="shared" si="32"/>
        <v>3</v>
      </c>
      <c r="D567">
        <f t="shared" si="33"/>
        <v>12</v>
      </c>
      <c r="E567">
        <f t="shared" si="34"/>
        <v>19</v>
      </c>
      <c r="F567">
        <f t="shared" si="35"/>
        <v>1</v>
      </c>
      <c r="G567">
        <f>VLOOKUP(E567,Sheet1!$A$2:$B$25,2,FALSE)</f>
        <v>0</v>
      </c>
    </row>
    <row r="568" spans="1:7" x14ac:dyDescent="0.25">
      <c r="A568" s="11">
        <v>44573.8125</v>
      </c>
      <c r="B568" s="10">
        <v>310.94</v>
      </c>
      <c r="C568">
        <f t="shared" si="32"/>
        <v>3</v>
      </c>
      <c r="D568">
        <f t="shared" si="33"/>
        <v>12</v>
      </c>
      <c r="E568">
        <f t="shared" si="34"/>
        <v>19</v>
      </c>
      <c r="F568">
        <f t="shared" si="35"/>
        <v>1</v>
      </c>
      <c r="G568">
        <f>VLOOKUP(E568,Sheet1!$A$2:$B$25,2,FALSE)</f>
        <v>0</v>
      </c>
    </row>
    <row r="569" spans="1:7" x14ac:dyDescent="0.25">
      <c r="A569" s="11">
        <v>44573.833333333336</v>
      </c>
      <c r="B569" s="10">
        <v>313.10500000000002</v>
      </c>
      <c r="C569">
        <f t="shared" si="32"/>
        <v>3</v>
      </c>
      <c r="D569">
        <f t="shared" si="33"/>
        <v>12</v>
      </c>
      <c r="E569">
        <f t="shared" si="34"/>
        <v>20</v>
      </c>
      <c r="F569">
        <f t="shared" si="35"/>
        <v>1</v>
      </c>
      <c r="G569">
        <f>VLOOKUP(E569,Sheet1!$A$2:$B$25,2,FALSE)</f>
        <v>0</v>
      </c>
    </row>
    <row r="570" spans="1:7" x14ac:dyDescent="0.25">
      <c r="A570" s="11">
        <v>44573.854166666664</v>
      </c>
      <c r="B570" s="10">
        <v>318.26</v>
      </c>
      <c r="C570">
        <f t="shared" si="32"/>
        <v>3</v>
      </c>
      <c r="D570">
        <f t="shared" si="33"/>
        <v>12</v>
      </c>
      <c r="E570">
        <f t="shared" si="34"/>
        <v>20</v>
      </c>
      <c r="F570">
        <f t="shared" si="35"/>
        <v>1</v>
      </c>
      <c r="G570">
        <f>VLOOKUP(E570,Sheet1!$A$2:$B$25,2,FALSE)</f>
        <v>0</v>
      </c>
    </row>
    <row r="571" spans="1:7" x14ac:dyDescent="0.25">
      <c r="A571" s="11">
        <v>44573.875</v>
      </c>
      <c r="B571" s="10">
        <v>306.83600000000001</v>
      </c>
      <c r="C571">
        <f t="shared" si="32"/>
        <v>3</v>
      </c>
      <c r="D571">
        <f t="shared" si="33"/>
        <v>12</v>
      </c>
      <c r="E571">
        <f t="shared" si="34"/>
        <v>21</v>
      </c>
      <c r="F571">
        <f t="shared" si="35"/>
        <v>1</v>
      </c>
      <c r="G571">
        <f>VLOOKUP(E571,Sheet1!$A$2:$B$25,2,FALSE)</f>
        <v>0</v>
      </c>
    </row>
    <row r="572" spans="1:7" x14ac:dyDescent="0.25">
      <c r="A572" s="11">
        <v>44573.895833333336</v>
      </c>
      <c r="B572" s="10">
        <v>304.10000000000002</v>
      </c>
      <c r="C572">
        <f t="shared" si="32"/>
        <v>3</v>
      </c>
      <c r="D572">
        <f t="shared" si="33"/>
        <v>12</v>
      </c>
      <c r="E572">
        <f t="shared" si="34"/>
        <v>21</v>
      </c>
      <c r="F572">
        <f t="shared" si="35"/>
        <v>1</v>
      </c>
      <c r="G572">
        <f>VLOOKUP(E572,Sheet1!$A$2:$B$25,2,FALSE)</f>
        <v>0</v>
      </c>
    </row>
    <row r="573" spans="1:7" x14ac:dyDescent="0.25">
      <c r="A573" s="11">
        <v>44573.916666666664</v>
      </c>
      <c r="B573" s="10">
        <v>298.08100000000002</v>
      </c>
      <c r="C573">
        <f t="shared" si="32"/>
        <v>3</v>
      </c>
      <c r="D573">
        <f t="shared" si="33"/>
        <v>12</v>
      </c>
      <c r="E573">
        <f t="shared" si="34"/>
        <v>22</v>
      </c>
      <c r="F573">
        <f t="shared" si="35"/>
        <v>1</v>
      </c>
      <c r="G573">
        <f>VLOOKUP(E573,Sheet1!$A$2:$B$25,2,FALSE)</f>
        <v>0</v>
      </c>
    </row>
    <row r="574" spans="1:7" x14ac:dyDescent="0.25">
      <c r="A574" s="11">
        <v>44573.9375</v>
      </c>
      <c r="B574" s="10">
        <v>292.916</v>
      </c>
      <c r="C574">
        <f t="shared" si="32"/>
        <v>3</v>
      </c>
      <c r="D574">
        <f t="shared" si="33"/>
        <v>12</v>
      </c>
      <c r="E574">
        <f t="shared" si="34"/>
        <v>22</v>
      </c>
      <c r="F574">
        <f t="shared" si="35"/>
        <v>1</v>
      </c>
      <c r="G574">
        <f>VLOOKUP(E574,Sheet1!$A$2:$B$25,2,FALSE)</f>
        <v>0</v>
      </c>
    </row>
    <row r="575" spans="1:7" x14ac:dyDescent="0.25">
      <c r="A575" s="11">
        <v>44573.958333333336</v>
      </c>
      <c r="B575" s="10">
        <v>297.476</v>
      </c>
      <c r="C575">
        <f t="shared" si="32"/>
        <v>3</v>
      </c>
      <c r="D575">
        <f t="shared" si="33"/>
        <v>12</v>
      </c>
      <c r="E575">
        <f t="shared" si="34"/>
        <v>23</v>
      </c>
      <c r="F575">
        <f t="shared" si="35"/>
        <v>1</v>
      </c>
      <c r="G575">
        <f>VLOOKUP(E575,Sheet1!$A$2:$B$25,2,FALSE)</f>
        <v>0</v>
      </c>
    </row>
    <row r="576" spans="1:7" x14ac:dyDescent="0.25">
      <c r="A576" s="11">
        <v>44573.979166666664</v>
      </c>
      <c r="B576" s="10">
        <v>301.55599999999998</v>
      </c>
      <c r="C576">
        <f t="shared" si="32"/>
        <v>3</v>
      </c>
      <c r="D576">
        <f t="shared" si="33"/>
        <v>12</v>
      </c>
      <c r="E576">
        <f t="shared" si="34"/>
        <v>23</v>
      </c>
      <c r="F576">
        <f t="shared" si="35"/>
        <v>1</v>
      </c>
      <c r="G576">
        <f>VLOOKUP(E576,Sheet1!$A$2:$B$25,2,FALSE)</f>
        <v>0</v>
      </c>
    </row>
    <row r="577" spans="1:7" x14ac:dyDescent="0.25">
      <c r="A577" s="11">
        <v>44574</v>
      </c>
      <c r="B577" s="10">
        <v>302.42</v>
      </c>
      <c r="C577">
        <f t="shared" si="32"/>
        <v>4</v>
      </c>
      <c r="D577">
        <f t="shared" si="33"/>
        <v>13</v>
      </c>
      <c r="E577">
        <f t="shared" si="34"/>
        <v>0</v>
      </c>
      <c r="F577">
        <f t="shared" si="35"/>
        <v>1</v>
      </c>
      <c r="G577">
        <f>VLOOKUP(E577,Sheet1!$A$2:$B$25,2,FALSE)</f>
        <v>0</v>
      </c>
    </row>
    <row r="578" spans="1:7" x14ac:dyDescent="0.25">
      <c r="A578" s="11">
        <v>44574.020833333336</v>
      </c>
      <c r="B578" s="10">
        <v>302.42</v>
      </c>
      <c r="C578">
        <f t="shared" ref="C578:C641" si="36">WEEKDAY(A578,2)</f>
        <v>4</v>
      </c>
      <c r="D578">
        <f t="shared" ref="D578:D641" si="37">DAY(A578)</f>
        <v>13</v>
      </c>
      <c r="E578">
        <f t="shared" ref="E578:E641" si="38">HOUR(A578)</f>
        <v>0</v>
      </c>
      <c r="F578">
        <f t="shared" si="35"/>
        <v>1</v>
      </c>
      <c r="G578">
        <f>VLOOKUP(E578,Sheet1!$A$2:$B$25,2,FALSE)</f>
        <v>0</v>
      </c>
    </row>
    <row r="579" spans="1:7" x14ac:dyDescent="0.25">
      <c r="A579" s="11">
        <v>44574.041666666664</v>
      </c>
      <c r="B579" s="10">
        <v>302.54000000000002</v>
      </c>
      <c r="C579">
        <f t="shared" si="36"/>
        <v>4</v>
      </c>
      <c r="D579">
        <f t="shared" si="37"/>
        <v>13</v>
      </c>
      <c r="E579">
        <f t="shared" si="38"/>
        <v>1</v>
      </c>
      <c r="F579">
        <f t="shared" ref="F579:F642" si="39">IF(C579&gt;=6,0,1)</f>
        <v>1</v>
      </c>
      <c r="G579">
        <f>VLOOKUP(E579,Sheet1!$A$2:$B$25,2,FALSE)</f>
        <v>0</v>
      </c>
    </row>
    <row r="580" spans="1:7" x14ac:dyDescent="0.25">
      <c r="A580" s="11">
        <v>44574.0625</v>
      </c>
      <c r="B580" s="10">
        <v>300.83600000000001</v>
      </c>
      <c r="C580">
        <f t="shared" si="36"/>
        <v>4</v>
      </c>
      <c r="D580">
        <f t="shared" si="37"/>
        <v>13</v>
      </c>
      <c r="E580">
        <f t="shared" si="38"/>
        <v>1</v>
      </c>
      <c r="F580">
        <f t="shared" si="39"/>
        <v>1</v>
      </c>
      <c r="G580">
        <f>VLOOKUP(E580,Sheet1!$A$2:$B$25,2,FALSE)</f>
        <v>0</v>
      </c>
    </row>
    <row r="581" spans="1:7" x14ac:dyDescent="0.25">
      <c r="A581" s="11">
        <v>44574.083333333336</v>
      </c>
      <c r="B581" s="10">
        <v>300.84100000000001</v>
      </c>
      <c r="C581">
        <f t="shared" si="36"/>
        <v>4</v>
      </c>
      <c r="D581">
        <f t="shared" si="37"/>
        <v>13</v>
      </c>
      <c r="E581">
        <f t="shared" si="38"/>
        <v>2</v>
      </c>
      <c r="F581">
        <f t="shared" si="39"/>
        <v>1</v>
      </c>
      <c r="G581">
        <f>VLOOKUP(E581,Sheet1!$A$2:$B$25,2,FALSE)</f>
        <v>0</v>
      </c>
    </row>
    <row r="582" spans="1:7" x14ac:dyDescent="0.25">
      <c r="A582" s="11">
        <v>44574.104166666664</v>
      </c>
      <c r="B582" s="10">
        <v>301.58</v>
      </c>
      <c r="C582">
        <f t="shared" si="36"/>
        <v>4</v>
      </c>
      <c r="D582">
        <f t="shared" si="37"/>
        <v>13</v>
      </c>
      <c r="E582">
        <f t="shared" si="38"/>
        <v>2</v>
      </c>
      <c r="F582">
        <f t="shared" si="39"/>
        <v>1</v>
      </c>
      <c r="G582">
        <f>VLOOKUP(E582,Sheet1!$A$2:$B$25,2,FALSE)</f>
        <v>0</v>
      </c>
    </row>
    <row r="583" spans="1:7" x14ac:dyDescent="0.25">
      <c r="A583" s="11">
        <v>44574.125</v>
      </c>
      <c r="B583" s="10">
        <v>299.63600000000002</v>
      </c>
      <c r="C583">
        <f t="shared" si="36"/>
        <v>4</v>
      </c>
      <c r="D583">
        <f t="shared" si="37"/>
        <v>13</v>
      </c>
      <c r="E583">
        <f t="shared" si="38"/>
        <v>3</v>
      </c>
      <c r="F583">
        <f t="shared" si="39"/>
        <v>1</v>
      </c>
      <c r="G583">
        <f>VLOOKUP(E583,Sheet1!$A$2:$B$25,2,FALSE)</f>
        <v>0</v>
      </c>
    </row>
    <row r="584" spans="1:7" x14ac:dyDescent="0.25">
      <c r="A584" s="11">
        <v>44574.145833333336</v>
      </c>
      <c r="B584" s="10">
        <v>302.54000000000002</v>
      </c>
      <c r="C584">
        <f t="shared" si="36"/>
        <v>4</v>
      </c>
      <c r="D584">
        <f t="shared" si="37"/>
        <v>13</v>
      </c>
      <c r="E584">
        <f t="shared" si="38"/>
        <v>3</v>
      </c>
      <c r="F584">
        <f t="shared" si="39"/>
        <v>1</v>
      </c>
      <c r="G584">
        <f>VLOOKUP(E584,Sheet1!$A$2:$B$25,2,FALSE)</f>
        <v>0</v>
      </c>
    </row>
    <row r="585" spans="1:7" x14ac:dyDescent="0.25">
      <c r="A585" s="11">
        <v>44574.166666666664</v>
      </c>
      <c r="B585" s="10">
        <v>303.74</v>
      </c>
      <c r="C585">
        <f t="shared" si="36"/>
        <v>4</v>
      </c>
      <c r="D585">
        <f t="shared" si="37"/>
        <v>13</v>
      </c>
      <c r="E585">
        <f t="shared" si="38"/>
        <v>4</v>
      </c>
      <c r="F585">
        <f t="shared" si="39"/>
        <v>1</v>
      </c>
      <c r="G585">
        <f>VLOOKUP(E585,Sheet1!$A$2:$B$25,2,FALSE)</f>
        <v>1</v>
      </c>
    </row>
    <row r="586" spans="1:7" x14ac:dyDescent="0.25">
      <c r="A586" s="11">
        <v>44574.1875</v>
      </c>
      <c r="B586" s="10">
        <v>311.54000000000002</v>
      </c>
      <c r="C586">
        <f t="shared" si="36"/>
        <v>4</v>
      </c>
      <c r="D586">
        <f t="shared" si="37"/>
        <v>13</v>
      </c>
      <c r="E586">
        <f t="shared" si="38"/>
        <v>4</v>
      </c>
      <c r="F586">
        <f t="shared" si="39"/>
        <v>1</v>
      </c>
      <c r="G586">
        <f>VLOOKUP(E586,Sheet1!$A$2:$B$25,2,FALSE)</f>
        <v>1</v>
      </c>
    </row>
    <row r="587" spans="1:7" x14ac:dyDescent="0.25">
      <c r="A587" s="11">
        <v>44574.208333333336</v>
      </c>
      <c r="B587" s="10">
        <v>330.505</v>
      </c>
      <c r="C587">
        <f t="shared" si="36"/>
        <v>4</v>
      </c>
      <c r="D587">
        <f t="shared" si="37"/>
        <v>13</v>
      </c>
      <c r="E587">
        <f t="shared" si="38"/>
        <v>5</v>
      </c>
      <c r="F587">
        <f t="shared" si="39"/>
        <v>1</v>
      </c>
      <c r="G587">
        <f>VLOOKUP(E587,Sheet1!$A$2:$B$25,2,FALSE)</f>
        <v>1</v>
      </c>
    </row>
    <row r="588" spans="1:7" x14ac:dyDescent="0.25">
      <c r="A588" s="11">
        <v>44574.229166666664</v>
      </c>
      <c r="B588" s="10">
        <v>746.06</v>
      </c>
      <c r="C588">
        <f t="shared" si="36"/>
        <v>4</v>
      </c>
      <c r="D588">
        <f t="shared" si="37"/>
        <v>13</v>
      </c>
      <c r="E588">
        <f t="shared" si="38"/>
        <v>5</v>
      </c>
      <c r="F588">
        <f t="shared" si="39"/>
        <v>1</v>
      </c>
      <c r="G588">
        <f>VLOOKUP(E588,Sheet1!$A$2:$B$25,2,FALSE)</f>
        <v>1</v>
      </c>
    </row>
    <row r="589" spans="1:7" x14ac:dyDescent="0.25">
      <c r="A589" s="11">
        <v>44574.25</v>
      </c>
      <c r="B589" s="10">
        <v>644.27599999999995</v>
      </c>
      <c r="C589">
        <f t="shared" si="36"/>
        <v>4</v>
      </c>
      <c r="D589">
        <f t="shared" si="37"/>
        <v>13</v>
      </c>
      <c r="E589">
        <f t="shared" si="38"/>
        <v>6</v>
      </c>
      <c r="F589">
        <f t="shared" si="39"/>
        <v>1</v>
      </c>
      <c r="G589">
        <f>VLOOKUP(E589,Sheet1!$A$2:$B$25,2,FALSE)</f>
        <v>1</v>
      </c>
    </row>
    <row r="590" spans="1:7" x14ac:dyDescent="0.25">
      <c r="A590" s="11">
        <v>44574.270833333336</v>
      </c>
      <c r="B590" s="10">
        <v>652.94500000000005</v>
      </c>
      <c r="C590">
        <f t="shared" si="36"/>
        <v>4</v>
      </c>
      <c r="D590">
        <f t="shared" si="37"/>
        <v>13</v>
      </c>
      <c r="E590">
        <f t="shared" si="38"/>
        <v>6</v>
      </c>
      <c r="F590">
        <f t="shared" si="39"/>
        <v>1</v>
      </c>
      <c r="G590">
        <f>VLOOKUP(E590,Sheet1!$A$2:$B$25,2,FALSE)</f>
        <v>1</v>
      </c>
    </row>
    <row r="591" spans="1:7" x14ac:dyDescent="0.25">
      <c r="A591" s="11">
        <v>44574.291666666664</v>
      </c>
      <c r="B591" s="10">
        <v>620.99599999999998</v>
      </c>
      <c r="C591">
        <f t="shared" si="36"/>
        <v>4</v>
      </c>
      <c r="D591">
        <f t="shared" si="37"/>
        <v>13</v>
      </c>
      <c r="E591">
        <f t="shared" si="38"/>
        <v>7</v>
      </c>
      <c r="F591">
        <f t="shared" si="39"/>
        <v>1</v>
      </c>
      <c r="G591">
        <f>VLOOKUP(E591,Sheet1!$A$2:$B$25,2,FALSE)</f>
        <v>1</v>
      </c>
    </row>
    <row r="592" spans="1:7" x14ac:dyDescent="0.25">
      <c r="A592" s="11">
        <v>44574.3125</v>
      </c>
      <c r="B592" s="10">
        <v>551.9</v>
      </c>
      <c r="C592">
        <f t="shared" si="36"/>
        <v>4</v>
      </c>
      <c r="D592">
        <f t="shared" si="37"/>
        <v>13</v>
      </c>
      <c r="E592">
        <f t="shared" si="38"/>
        <v>7</v>
      </c>
      <c r="F592">
        <f t="shared" si="39"/>
        <v>1</v>
      </c>
      <c r="G592">
        <f>VLOOKUP(E592,Sheet1!$A$2:$B$25,2,FALSE)</f>
        <v>1</v>
      </c>
    </row>
    <row r="593" spans="1:7" x14ac:dyDescent="0.25">
      <c r="A593" s="11">
        <v>44574.333333333336</v>
      </c>
      <c r="B593" s="10">
        <v>543.62</v>
      </c>
      <c r="C593">
        <f t="shared" si="36"/>
        <v>4</v>
      </c>
      <c r="D593">
        <f t="shared" si="37"/>
        <v>13</v>
      </c>
      <c r="E593">
        <f t="shared" si="38"/>
        <v>8</v>
      </c>
      <c r="F593">
        <f t="shared" si="39"/>
        <v>1</v>
      </c>
      <c r="G593">
        <f>VLOOKUP(E593,Sheet1!$A$2:$B$25,2,FALSE)</f>
        <v>1</v>
      </c>
    </row>
    <row r="594" spans="1:7" x14ac:dyDescent="0.25">
      <c r="A594" s="11">
        <v>44574.354166666664</v>
      </c>
      <c r="B594" s="10">
        <v>569.75599999999997</v>
      </c>
      <c r="C594">
        <f t="shared" si="36"/>
        <v>4</v>
      </c>
      <c r="D594">
        <f t="shared" si="37"/>
        <v>13</v>
      </c>
      <c r="E594">
        <f t="shared" si="38"/>
        <v>8</v>
      </c>
      <c r="F594">
        <f t="shared" si="39"/>
        <v>1</v>
      </c>
      <c r="G594">
        <f>VLOOKUP(E594,Sheet1!$A$2:$B$25,2,FALSE)</f>
        <v>1</v>
      </c>
    </row>
    <row r="595" spans="1:7" x14ac:dyDescent="0.25">
      <c r="A595" s="11">
        <v>44574.375</v>
      </c>
      <c r="B595" s="10">
        <v>558.71600000000001</v>
      </c>
      <c r="C595">
        <f t="shared" si="36"/>
        <v>4</v>
      </c>
      <c r="D595">
        <f t="shared" si="37"/>
        <v>13</v>
      </c>
      <c r="E595">
        <f t="shared" si="38"/>
        <v>9</v>
      </c>
      <c r="F595">
        <f t="shared" si="39"/>
        <v>1</v>
      </c>
      <c r="G595">
        <f>VLOOKUP(E595,Sheet1!$A$2:$B$25,2,FALSE)</f>
        <v>1</v>
      </c>
    </row>
    <row r="596" spans="1:7" x14ac:dyDescent="0.25">
      <c r="A596" s="11">
        <v>44574.395833333336</v>
      </c>
      <c r="B596" s="10">
        <v>557.75599999999997</v>
      </c>
      <c r="C596">
        <f t="shared" si="36"/>
        <v>4</v>
      </c>
      <c r="D596">
        <f t="shared" si="37"/>
        <v>13</v>
      </c>
      <c r="E596">
        <f t="shared" si="38"/>
        <v>9</v>
      </c>
      <c r="F596">
        <f t="shared" si="39"/>
        <v>1</v>
      </c>
      <c r="G596">
        <f>VLOOKUP(E596,Sheet1!$A$2:$B$25,2,FALSE)</f>
        <v>1</v>
      </c>
    </row>
    <row r="597" spans="1:7" x14ac:dyDescent="0.25">
      <c r="A597" s="11">
        <v>44574.416666666664</v>
      </c>
      <c r="B597" s="10">
        <v>556.91600000000005</v>
      </c>
      <c r="C597">
        <f t="shared" si="36"/>
        <v>4</v>
      </c>
      <c r="D597">
        <f t="shared" si="37"/>
        <v>13</v>
      </c>
      <c r="E597">
        <f t="shared" si="38"/>
        <v>10</v>
      </c>
      <c r="F597">
        <f t="shared" si="39"/>
        <v>1</v>
      </c>
      <c r="G597">
        <f>VLOOKUP(E597,Sheet1!$A$2:$B$25,2,FALSE)</f>
        <v>1</v>
      </c>
    </row>
    <row r="598" spans="1:7" x14ac:dyDescent="0.25">
      <c r="A598" s="11">
        <v>44574.4375</v>
      </c>
      <c r="B598" s="10">
        <v>559.08100000000002</v>
      </c>
      <c r="C598">
        <f t="shared" si="36"/>
        <v>4</v>
      </c>
      <c r="D598">
        <f t="shared" si="37"/>
        <v>13</v>
      </c>
      <c r="E598">
        <f t="shared" si="38"/>
        <v>10</v>
      </c>
      <c r="F598">
        <f t="shared" si="39"/>
        <v>1</v>
      </c>
      <c r="G598">
        <f>VLOOKUP(E598,Sheet1!$A$2:$B$25,2,FALSE)</f>
        <v>1</v>
      </c>
    </row>
    <row r="599" spans="1:7" x14ac:dyDescent="0.25">
      <c r="A599" s="11">
        <v>44574.458333333336</v>
      </c>
      <c r="B599" s="10">
        <v>565.22</v>
      </c>
      <c r="C599">
        <f t="shared" si="36"/>
        <v>4</v>
      </c>
      <c r="D599">
        <f t="shared" si="37"/>
        <v>13</v>
      </c>
      <c r="E599">
        <f t="shared" si="38"/>
        <v>11</v>
      </c>
      <c r="F599">
        <f t="shared" si="39"/>
        <v>1</v>
      </c>
      <c r="G599">
        <f>VLOOKUP(E599,Sheet1!$A$2:$B$25,2,FALSE)</f>
        <v>1</v>
      </c>
    </row>
    <row r="600" spans="1:7" x14ac:dyDescent="0.25">
      <c r="A600" s="11">
        <v>44574.479166666664</v>
      </c>
      <c r="B600" s="10">
        <v>554.66</v>
      </c>
      <c r="C600">
        <f t="shared" si="36"/>
        <v>4</v>
      </c>
      <c r="D600">
        <f t="shared" si="37"/>
        <v>13</v>
      </c>
      <c r="E600">
        <f t="shared" si="38"/>
        <v>11</v>
      </c>
      <c r="F600">
        <f t="shared" si="39"/>
        <v>1</v>
      </c>
      <c r="G600">
        <f>VLOOKUP(E600,Sheet1!$A$2:$B$25,2,FALSE)</f>
        <v>1</v>
      </c>
    </row>
    <row r="601" spans="1:7" x14ac:dyDescent="0.25">
      <c r="A601" s="11">
        <v>44574.5</v>
      </c>
      <c r="B601" s="10">
        <v>546.86500000000001</v>
      </c>
      <c r="C601">
        <f t="shared" si="36"/>
        <v>4</v>
      </c>
      <c r="D601">
        <f t="shared" si="37"/>
        <v>13</v>
      </c>
      <c r="E601">
        <f t="shared" si="38"/>
        <v>12</v>
      </c>
      <c r="F601">
        <f t="shared" si="39"/>
        <v>1</v>
      </c>
      <c r="G601">
        <f>VLOOKUP(E601,Sheet1!$A$2:$B$25,2,FALSE)</f>
        <v>1</v>
      </c>
    </row>
    <row r="602" spans="1:7" x14ac:dyDescent="0.25">
      <c r="A602" s="11">
        <v>44574.520833333336</v>
      </c>
      <c r="B602" s="10">
        <v>544.31600000000003</v>
      </c>
      <c r="C602">
        <f t="shared" si="36"/>
        <v>4</v>
      </c>
      <c r="D602">
        <f t="shared" si="37"/>
        <v>13</v>
      </c>
      <c r="E602">
        <f t="shared" si="38"/>
        <v>12</v>
      </c>
      <c r="F602">
        <f t="shared" si="39"/>
        <v>1</v>
      </c>
      <c r="G602">
        <f>VLOOKUP(E602,Sheet1!$A$2:$B$25,2,FALSE)</f>
        <v>1</v>
      </c>
    </row>
    <row r="603" spans="1:7" x14ac:dyDescent="0.25">
      <c r="A603" s="11">
        <v>44574.541666666664</v>
      </c>
      <c r="B603" s="10">
        <v>506.39600000000002</v>
      </c>
      <c r="C603">
        <f t="shared" si="36"/>
        <v>4</v>
      </c>
      <c r="D603">
        <f t="shared" si="37"/>
        <v>13</v>
      </c>
      <c r="E603">
        <f t="shared" si="38"/>
        <v>13</v>
      </c>
      <c r="F603">
        <f t="shared" si="39"/>
        <v>1</v>
      </c>
      <c r="G603">
        <f>VLOOKUP(E603,Sheet1!$A$2:$B$25,2,FALSE)</f>
        <v>1</v>
      </c>
    </row>
    <row r="604" spans="1:7" x14ac:dyDescent="0.25">
      <c r="A604" s="11">
        <v>44574.5625</v>
      </c>
      <c r="B604" s="10">
        <v>486.02</v>
      </c>
      <c r="C604">
        <f t="shared" si="36"/>
        <v>4</v>
      </c>
      <c r="D604">
        <f t="shared" si="37"/>
        <v>13</v>
      </c>
      <c r="E604">
        <f t="shared" si="38"/>
        <v>13</v>
      </c>
      <c r="F604">
        <f t="shared" si="39"/>
        <v>1</v>
      </c>
      <c r="G604">
        <f>VLOOKUP(E604,Sheet1!$A$2:$B$25,2,FALSE)</f>
        <v>1</v>
      </c>
    </row>
    <row r="605" spans="1:7" x14ac:dyDescent="0.25">
      <c r="A605" s="11">
        <v>44574.583333333336</v>
      </c>
      <c r="B605" s="10">
        <v>399.48099999999999</v>
      </c>
      <c r="C605">
        <f t="shared" si="36"/>
        <v>4</v>
      </c>
      <c r="D605">
        <f t="shared" si="37"/>
        <v>13</v>
      </c>
      <c r="E605">
        <f t="shared" si="38"/>
        <v>14</v>
      </c>
      <c r="F605">
        <f t="shared" si="39"/>
        <v>1</v>
      </c>
      <c r="G605">
        <f>VLOOKUP(E605,Sheet1!$A$2:$B$25,2,FALSE)</f>
        <v>1</v>
      </c>
    </row>
    <row r="606" spans="1:7" x14ac:dyDescent="0.25">
      <c r="A606" s="11">
        <v>44574.604166666664</v>
      </c>
      <c r="B606" s="10">
        <v>338.78</v>
      </c>
      <c r="C606">
        <f t="shared" si="36"/>
        <v>4</v>
      </c>
      <c r="D606">
        <f t="shared" si="37"/>
        <v>13</v>
      </c>
      <c r="E606">
        <f t="shared" si="38"/>
        <v>14</v>
      </c>
      <c r="F606">
        <f t="shared" si="39"/>
        <v>1</v>
      </c>
      <c r="G606">
        <f>VLOOKUP(E606,Sheet1!$A$2:$B$25,2,FALSE)</f>
        <v>1</v>
      </c>
    </row>
    <row r="607" spans="1:7" x14ac:dyDescent="0.25">
      <c r="A607" s="11">
        <v>44574.625</v>
      </c>
      <c r="B607" s="10">
        <v>313.19600000000003</v>
      </c>
      <c r="C607">
        <f t="shared" si="36"/>
        <v>4</v>
      </c>
      <c r="D607">
        <f t="shared" si="37"/>
        <v>13</v>
      </c>
      <c r="E607">
        <f t="shared" si="38"/>
        <v>15</v>
      </c>
      <c r="F607">
        <f t="shared" si="39"/>
        <v>1</v>
      </c>
      <c r="G607">
        <f>VLOOKUP(E607,Sheet1!$A$2:$B$25,2,FALSE)</f>
        <v>1</v>
      </c>
    </row>
    <row r="608" spans="1:7" x14ac:dyDescent="0.25">
      <c r="A608" s="11">
        <v>44574.645833333336</v>
      </c>
      <c r="B608" s="10">
        <v>307.22500000000002</v>
      </c>
      <c r="C608">
        <f t="shared" si="36"/>
        <v>4</v>
      </c>
      <c r="D608">
        <f t="shared" si="37"/>
        <v>13</v>
      </c>
      <c r="E608">
        <f t="shared" si="38"/>
        <v>15</v>
      </c>
      <c r="F608">
        <f t="shared" si="39"/>
        <v>1</v>
      </c>
      <c r="G608">
        <f>VLOOKUP(E608,Sheet1!$A$2:$B$25,2,FALSE)</f>
        <v>1</v>
      </c>
    </row>
    <row r="609" spans="1:7" x14ac:dyDescent="0.25">
      <c r="A609" s="11">
        <v>44574.666666666664</v>
      </c>
      <c r="B609" s="10">
        <v>310.58</v>
      </c>
      <c r="C609">
        <f t="shared" si="36"/>
        <v>4</v>
      </c>
      <c r="D609">
        <f t="shared" si="37"/>
        <v>13</v>
      </c>
      <c r="E609">
        <f t="shared" si="38"/>
        <v>16</v>
      </c>
      <c r="F609">
        <f t="shared" si="39"/>
        <v>1</v>
      </c>
      <c r="G609">
        <f>VLOOKUP(E609,Sheet1!$A$2:$B$25,2,FALSE)</f>
        <v>0</v>
      </c>
    </row>
    <row r="610" spans="1:7" x14ac:dyDescent="0.25">
      <c r="A610" s="11">
        <v>44574.6875</v>
      </c>
      <c r="B610" s="10">
        <v>306.35599999999999</v>
      </c>
      <c r="C610">
        <f t="shared" si="36"/>
        <v>4</v>
      </c>
      <c r="D610">
        <f t="shared" si="37"/>
        <v>13</v>
      </c>
      <c r="E610">
        <f t="shared" si="38"/>
        <v>16</v>
      </c>
      <c r="F610">
        <f t="shared" si="39"/>
        <v>1</v>
      </c>
      <c r="G610">
        <f>VLOOKUP(E610,Sheet1!$A$2:$B$25,2,FALSE)</f>
        <v>0</v>
      </c>
    </row>
    <row r="611" spans="1:7" x14ac:dyDescent="0.25">
      <c r="A611" s="11">
        <v>44574.708333333336</v>
      </c>
      <c r="B611" s="10">
        <v>295.19600000000003</v>
      </c>
      <c r="C611">
        <f t="shared" si="36"/>
        <v>4</v>
      </c>
      <c r="D611">
        <f t="shared" si="37"/>
        <v>13</v>
      </c>
      <c r="E611">
        <f t="shared" si="38"/>
        <v>17</v>
      </c>
      <c r="F611">
        <f t="shared" si="39"/>
        <v>1</v>
      </c>
      <c r="G611">
        <f>VLOOKUP(E611,Sheet1!$A$2:$B$25,2,FALSE)</f>
        <v>0</v>
      </c>
    </row>
    <row r="612" spans="1:7" x14ac:dyDescent="0.25">
      <c r="A612" s="11">
        <v>44574.729166666664</v>
      </c>
      <c r="B612" s="10">
        <v>305.42500000000001</v>
      </c>
      <c r="C612">
        <f t="shared" si="36"/>
        <v>4</v>
      </c>
      <c r="D612">
        <f t="shared" si="37"/>
        <v>13</v>
      </c>
      <c r="E612">
        <f t="shared" si="38"/>
        <v>17</v>
      </c>
      <c r="F612">
        <f t="shared" si="39"/>
        <v>1</v>
      </c>
      <c r="G612">
        <f>VLOOKUP(E612,Sheet1!$A$2:$B$25,2,FALSE)</f>
        <v>0</v>
      </c>
    </row>
    <row r="613" spans="1:7" x14ac:dyDescent="0.25">
      <c r="A613" s="11">
        <v>44574.75</v>
      </c>
      <c r="B613" s="10">
        <v>307.45999999999998</v>
      </c>
      <c r="C613">
        <f t="shared" si="36"/>
        <v>4</v>
      </c>
      <c r="D613">
        <f t="shared" si="37"/>
        <v>13</v>
      </c>
      <c r="E613">
        <f t="shared" si="38"/>
        <v>18</v>
      </c>
      <c r="F613">
        <f t="shared" si="39"/>
        <v>1</v>
      </c>
      <c r="G613">
        <f>VLOOKUP(E613,Sheet1!$A$2:$B$25,2,FALSE)</f>
        <v>0</v>
      </c>
    </row>
    <row r="614" spans="1:7" x14ac:dyDescent="0.25">
      <c r="A614" s="11">
        <v>44574.770833333336</v>
      </c>
      <c r="B614" s="10">
        <v>287.89999999999998</v>
      </c>
      <c r="C614">
        <f t="shared" si="36"/>
        <v>4</v>
      </c>
      <c r="D614">
        <f t="shared" si="37"/>
        <v>13</v>
      </c>
      <c r="E614">
        <f t="shared" si="38"/>
        <v>18</v>
      </c>
      <c r="F614">
        <f t="shared" si="39"/>
        <v>1</v>
      </c>
      <c r="G614">
        <f>VLOOKUP(E614,Sheet1!$A$2:$B$25,2,FALSE)</f>
        <v>0</v>
      </c>
    </row>
    <row r="615" spans="1:7" x14ac:dyDescent="0.25">
      <c r="A615" s="11">
        <v>44574.791666666664</v>
      </c>
      <c r="B615" s="10">
        <v>313.67599999999999</v>
      </c>
      <c r="C615">
        <f t="shared" si="36"/>
        <v>4</v>
      </c>
      <c r="D615">
        <f t="shared" si="37"/>
        <v>13</v>
      </c>
      <c r="E615">
        <f t="shared" si="38"/>
        <v>19</v>
      </c>
      <c r="F615">
        <f t="shared" si="39"/>
        <v>1</v>
      </c>
      <c r="G615">
        <f>VLOOKUP(E615,Sheet1!$A$2:$B$25,2,FALSE)</f>
        <v>0</v>
      </c>
    </row>
    <row r="616" spans="1:7" x14ac:dyDescent="0.25">
      <c r="A616" s="11">
        <v>44574.8125</v>
      </c>
      <c r="B616" s="10">
        <v>291.721</v>
      </c>
      <c r="C616">
        <f t="shared" si="36"/>
        <v>4</v>
      </c>
      <c r="D616">
        <f t="shared" si="37"/>
        <v>13</v>
      </c>
      <c r="E616">
        <f t="shared" si="38"/>
        <v>19</v>
      </c>
      <c r="F616">
        <f t="shared" si="39"/>
        <v>1</v>
      </c>
      <c r="G616">
        <f>VLOOKUP(E616,Sheet1!$A$2:$B$25,2,FALSE)</f>
        <v>0</v>
      </c>
    </row>
    <row r="617" spans="1:7" x14ac:dyDescent="0.25">
      <c r="A617" s="11">
        <v>44574.833333333336</v>
      </c>
      <c r="B617" s="10">
        <v>286.55599999999998</v>
      </c>
      <c r="C617">
        <f t="shared" si="36"/>
        <v>4</v>
      </c>
      <c r="D617">
        <f t="shared" si="37"/>
        <v>13</v>
      </c>
      <c r="E617">
        <f t="shared" si="38"/>
        <v>20</v>
      </c>
      <c r="F617">
        <f t="shared" si="39"/>
        <v>1</v>
      </c>
      <c r="G617">
        <f>VLOOKUP(E617,Sheet1!$A$2:$B$25,2,FALSE)</f>
        <v>0</v>
      </c>
    </row>
    <row r="618" spans="1:7" x14ac:dyDescent="0.25">
      <c r="A618" s="11">
        <v>44574.854166666664</v>
      </c>
      <c r="B618" s="10">
        <v>286.10500000000002</v>
      </c>
      <c r="C618">
        <f t="shared" si="36"/>
        <v>4</v>
      </c>
      <c r="D618">
        <f t="shared" si="37"/>
        <v>13</v>
      </c>
      <c r="E618">
        <f t="shared" si="38"/>
        <v>20</v>
      </c>
      <c r="F618">
        <f t="shared" si="39"/>
        <v>1</v>
      </c>
      <c r="G618">
        <f>VLOOKUP(E618,Sheet1!$A$2:$B$25,2,FALSE)</f>
        <v>0</v>
      </c>
    </row>
    <row r="619" spans="1:7" x14ac:dyDescent="0.25">
      <c r="A619" s="11">
        <v>44574.875</v>
      </c>
      <c r="B619" s="10">
        <v>284.63600000000002</v>
      </c>
      <c r="C619">
        <f t="shared" si="36"/>
        <v>4</v>
      </c>
      <c r="D619">
        <f t="shared" si="37"/>
        <v>13</v>
      </c>
      <c r="E619">
        <f t="shared" si="38"/>
        <v>21</v>
      </c>
      <c r="F619">
        <f t="shared" si="39"/>
        <v>1</v>
      </c>
      <c r="G619">
        <f>VLOOKUP(E619,Sheet1!$A$2:$B$25,2,FALSE)</f>
        <v>0</v>
      </c>
    </row>
    <row r="620" spans="1:7" x14ac:dyDescent="0.25">
      <c r="A620" s="11">
        <v>44574.895833333336</v>
      </c>
      <c r="B620" s="10">
        <v>279.476</v>
      </c>
      <c r="C620">
        <f t="shared" si="36"/>
        <v>4</v>
      </c>
      <c r="D620">
        <f t="shared" si="37"/>
        <v>13</v>
      </c>
      <c r="E620">
        <f t="shared" si="38"/>
        <v>21</v>
      </c>
      <c r="F620">
        <f t="shared" si="39"/>
        <v>1</v>
      </c>
      <c r="G620">
        <f>VLOOKUP(E620,Sheet1!$A$2:$B$25,2,FALSE)</f>
        <v>0</v>
      </c>
    </row>
    <row r="621" spans="1:7" x14ac:dyDescent="0.25">
      <c r="A621" s="11">
        <v>44574.916666666664</v>
      </c>
      <c r="B621" s="10">
        <v>280.70499999999998</v>
      </c>
      <c r="C621">
        <f t="shared" si="36"/>
        <v>4</v>
      </c>
      <c r="D621">
        <f t="shared" si="37"/>
        <v>13</v>
      </c>
      <c r="E621">
        <f t="shared" si="38"/>
        <v>22</v>
      </c>
      <c r="F621">
        <f t="shared" si="39"/>
        <v>1</v>
      </c>
      <c r="G621">
        <f>VLOOKUP(E621,Sheet1!$A$2:$B$25,2,FALSE)</f>
        <v>0</v>
      </c>
    </row>
    <row r="622" spans="1:7" x14ac:dyDescent="0.25">
      <c r="A622" s="11">
        <v>44574.9375</v>
      </c>
      <c r="B622" s="10">
        <v>278.77999999999997</v>
      </c>
      <c r="C622">
        <f t="shared" si="36"/>
        <v>4</v>
      </c>
      <c r="D622">
        <f t="shared" si="37"/>
        <v>13</v>
      </c>
      <c r="E622">
        <f t="shared" si="38"/>
        <v>22</v>
      </c>
      <c r="F622">
        <f t="shared" si="39"/>
        <v>1</v>
      </c>
      <c r="G622">
        <f>VLOOKUP(E622,Sheet1!$A$2:$B$25,2,FALSE)</f>
        <v>0</v>
      </c>
    </row>
    <row r="623" spans="1:7" x14ac:dyDescent="0.25">
      <c r="A623" s="11">
        <v>44574.958333333336</v>
      </c>
      <c r="B623" s="10">
        <v>278.99599999999998</v>
      </c>
      <c r="C623">
        <f t="shared" si="36"/>
        <v>4</v>
      </c>
      <c r="D623">
        <f t="shared" si="37"/>
        <v>13</v>
      </c>
      <c r="E623">
        <f t="shared" si="38"/>
        <v>23</v>
      </c>
      <c r="F623">
        <f t="shared" si="39"/>
        <v>1</v>
      </c>
      <c r="G623">
        <f>VLOOKUP(E623,Sheet1!$A$2:$B$25,2,FALSE)</f>
        <v>0</v>
      </c>
    </row>
    <row r="624" spans="1:7" x14ac:dyDescent="0.25">
      <c r="A624" s="11">
        <v>44574.979166666664</v>
      </c>
      <c r="B624" s="10">
        <v>282.601</v>
      </c>
      <c r="C624">
        <f t="shared" si="36"/>
        <v>4</v>
      </c>
      <c r="D624">
        <f t="shared" si="37"/>
        <v>13</v>
      </c>
      <c r="E624">
        <f t="shared" si="38"/>
        <v>23</v>
      </c>
      <c r="F624">
        <f t="shared" si="39"/>
        <v>1</v>
      </c>
      <c r="G624">
        <f>VLOOKUP(E624,Sheet1!$A$2:$B$25,2,FALSE)</f>
        <v>0</v>
      </c>
    </row>
    <row r="625" spans="1:7" x14ac:dyDescent="0.25">
      <c r="A625" s="11">
        <v>44575</v>
      </c>
      <c r="B625" s="10">
        <v>278.77999999999997</v>
      </c>
      <c r="C625">
        <f t="shared" si="36"/>
        <v>5</v>
      </c>
      <c r="D625">
        <f t="shared" si="37"/>
        <v>14</v>
      </c>
      <c r="E625">
        <f t="shared" si="38"/>
        <v>0</v>
      </c>
      <c r="F625">
        <f t="shared" si="39"/>
        <v>1</v>
      </c>
      <c r="G625">
        <f>VLOOKUP(E625,Sheet1!$A$2:$B$25,2,FALSE)</f>
        <v>0</v>
      </c>
    </row>
    <row r="626" spans="1:7" x14ac:dyDescent="0.25">
      <c r="A626" s="11">
        <v>44575.020833333336</v>
      </c>
      <c r="B626" s="10">
        <v>278.06</v>
      </c>
      <c r="C626">
        <f t="shared" si="36"/>
        <v>5</v>
      </c>
      <c r="D626">
        <f t="shared" si="37"/>
        <v>14</v>
      </c>
      <c r="E626">
        <f t="shared" si="38"/>
        <v>0</v>
      </c>
      <c r="F626">
        <f t="shared" si="39"/>
        <v>1</v>
      </c>
      <c r="G626">
        <f>VLOOKUP(E626,Sheet1!$A$2:$B$25,2,FALSE)</f>
        <v>0</v>
      </c>
    </row>
    <row r="627" spans="1:7" x14ac:dyDescent="0.25">
      <c r="A627" s="11">
        <v>44575.041666666664</v>
      </c>
      <c r="B627" s="10">
        <v>283.58</v>
      </c>
      <c r="C627">
        <f t="shared" si="36"/>
        <v>5</v>
      </c>
      <c r="D627">
        <f t="shared" si="37"/>
        <v>14</v>
      </c>
      <c r="E627">
        <f t="shared" si="38"/>
        <v>1</v>
      </c>
      <c r="F627">
        <f t="shared" si="39"/>
        <v>1</v>
      </c>
      <c r="G627">
        <f>VLOOKUP(E627,Sheet1!$A$2:$B$25,2,FALSE)</f>
        <v>0</v>
      </c>
    </row>
    <row r="628" spans="1:7" x14ac:dyDescent="0.25">
      <c r="A628" s="11">
        <v>44575.0625</v>
      </c>
      <c r="B628" s="10">
        <v>285.02</v>
      </c>
      <c r="C628">
        <f t="shared" si="36"/>
        <v>5</v>
      </c>
      <c r="D628">
        <f t="shared" si="37"/>
        <v>14</v>
      </c>
      <c r="E628">
        <f t="shared" si="38"/>
        <v>1</v>
      </c>
      <c r="F628">
        <f t="shared" si="39"/>
        <v>1</v>
      </c>
      <c r="G628">
        <f>VLOOKUP(E628,Sheet1!$A$2:$B$25,2,FALSE)</f>
        <v>0</v>
      </c>
    </row>
    <row r="629" spans="1:7" x14ac:dyDescent="0.25">
      <c r="A629" s="11">
        <v>44575.083333333336</v>
      </c>
      <c r="B629" s="10">
        <v>283.10500000000002</v>
      </c>
      <c r="C629">
        <f t="shared" si="36"/>
        <v>5</v>
      </c>
      <c r="D629">
        <f t="shared" si="37"/>
        <v>14</v>
      </c>
      <c r="E629">
        <f t="shared" si="38"/>
        <v>2</v>
      </c>
      <c r="F629">
        <f t="shared" si="39"/>
        <v>1</v>
      </c>
      <c r="G629">
        <f>VLOOKUP(E629,Sheet1!$A$2:$B$25,2,FALSE)</f>
        <v>0</v>
      </c>
    </row>
    <row r="630" spans="1:7" x14ac:dyDescent="0.25">
      <c r="A630" s="11">
        <v>44575.104166666664</v>
      </c>
      <c r="B630" s="10">
        <v>282.71600000000001</v>
      </c>
      <c r="C630">
        <f t="shared" si="36"/>
        <v>5</v>
      </c>
      <c r="D630">
        <f t="shared" si="37"/>
        <v>14</v>
      </c>
      <c r="E630">
        <f t="shared" si="38"/>
        <v>2</v>
      </c>
      <c r="F630">
        <f t="shared" si="39"/>
        <v>1</v>
      </c>
      <c r="G630">
        <f>VLOOKUP(E630,Sheet1!$A$2:$B$25,2,FALSE)</f>
        <v>0</v>
      </c>
    </row>
    <row r="631" spans="1:7" x14ac:dyDescent="0.25">
      <c r="A631" s="11">
        <v>44575.125</v>
      </c>
      <c r="B631" s="10">
        <v>287.99599999999998</v>
      </c>
      <c r="C631">
        <f t="shared" si="36"/>
        <v>5</v>
      </c>
      <c r="D631">
        <f t="shared" si="37"/>
        <v>14</v>
      </c>
      <c r="E631">
        <f t="shared" si="38"/>
        <v>3</v>
      </c>
      <c r="F631">
        <f t="shared" si="39"/>
        <v>1</v>
      </c>
      <c r="G631">
        <f>VLOOKUP(E631,Sheet1!$A$2:$B$25,2,FALSE)</f>
        <v>0</v>
      </c>
    </row>
    <row r="632" spans="1:7" x14ac:dyDescent="0.25">
      <c r="A632" s="11">
        <v>44575.145833333336</v>
      </c>
      <c r="B632" s="10">
        <v>284.89999999999998</v>
      </c>
      <c r="C632">
        <f t="shared" si="36"/>
        <v>5</v>
      </c>
      <c r="D632">
        <f t="shared" si="37"/>
        <v>14</v>
      </c>
      <c r="E632">
        <f t="shared" si="38"/>
        <v>3</v>
      </c>
      <c r="F632">
        <f t="shared" si="39"/>
        <v>1</v>
      </c>
      <c r="G632">
        <f>VLOOKUP(E632,Sheet1!$A$2:$B$25,2,FALSE)</f>
        <v>0</v>
      </c>
    </row>
    <row r="633" spans="1:7" x14ac:dyDescent="0.25">
      <c r="A633" s="11">
        <v>44575.166666666664</v>
      </c>
      <c r="B633" s="10">
        <v>283.22000000000003</v>
      </c>
      <c r="C633">
        <f t="shared" si="36"/>
        <v>5</v>
      </c>
      <c r="D633">
        <f t="shared" si="37"/>
        <v>14</v>
      </c>
      <c r="E633">
        <f t="shared" si="38"/>
        <v>4</v>
      </c>
      <c r="F633">
        <f t="shared" si="39"/>
        <v>1</v>
      </c>
      <c r="G633">
        <f>VLOOKUP(E633,Sheet1!$A$2:$B$25,2,FALSE)</f>
        <v>1</v>
      </c>
    </row>
    <row r="634" spans="1:7" x14ac:dyDescent="0.25">
      <c r="A634" s="11">
        <v>44575.1875</v>
      </c>
      <c r="B634" s="10">
        <v>294.26499999999999</v>
      </c>
      <c r="C634">
        <f t="shared" si="36"/>
        <v>5</v>
      </c>
      <c r="D634">
        <f t="shared" si="37"/>
        <v>14</v>
      </c>
      <c r="E634">
        <f t="shared" si="38"/>
        <v>4</v>
      </c>
      <c r="F634">
        <f t="shared" si="39"/>
        <v>1</v>
      </c>
      <c r="G634">
        <f>VLOOKUP(E634,Sheet1!$A$2:$B$25,2,FALSE)</f>
        <v>1</v>
      </c>
    </row>
    <row r="635" spans="1:7" x14ac:dyDescent="0.25">
      <c r="A635" s="11">
        <v>44575.208333333336</v>
      </c>
      <c r="B635" s="10">
        <v>300.23599999999999</v>
      </c>
      <c r="C635">
        <f t="shared" si="36"/>
        <v>5</v>
      </c>
      <c r="D635">
        <f t="shared" si="37"/>
        <v>14</v>
      </c>
      <c r="E635">
        <f t="shared" si="38"/>
        <v>5</v>
      </c>
      <c r="F635">
        <f t="shared" si="39"/>
        <v>1</v>
      </c>
      <c r="G635">
        <f>VLOOKUP(E635,Sheet1!$A$2:$B$25,2,FALSE)</f>
        <v>1</v>
      </c>
    </row>
    <row r="636" spans="1:7" x14ac:dyDescent="0.25">
      <c r="A636" s="11">
        <v>44575.229166666664</v>
      </c>
      <c r="B636" s="10">
        <v>355.7</v>
      </c>
      <c r="C636">
        <f t="shared" si="36"/>
        <v>5</v>
      </c>
      <c r="D636">
        <f t="shared" si="37"/>
        <v>14</v>
      </c>
      <c r="E636">
        <f t="shared" si="38"/>
        <v>5</v>
      </c>
      <c r="F636">
        <f t="shared" si="39"/>
        <v>1</v>
      </c>
      <c r="G636">
        <f>VLOOKUP(E636,Sheet1!$A$2:$B$25,2,FALSE)</f>
        <v>1</v>
      </c>
    </row>
    <row r="637" spans="1:7" x14ac:dyDescent="0.25">
      <c r="A637" s="11">
        <v>44575.25</v>
      </c>
      <c r="B637" s="10">
        <v>500.18</v>
      </c>
      <c r="C637">
        <f t="shared" si="36"/>
        <v>5</v>
      </c>
      <c r="D637">
        <f t="shared" si="37"/>
        <v>14</v>
      </c>
      <c r="E637">
        <f t="shared" si="38"/>
        <v>6</v>
      </c>
      <c r="F637">
        <f t="shared" si="39"/>
        <v>1</v>
      </c>
      <c r="G637">
        <f>VLOOKUP(E637,Sheet1!$A$2:$B$25,2,FALSE)</f>
        <v>1</v>
      </c>
    </row>
    <row r="638" spans="1:7" x14ac:dyDescent="0.25">
      <c r="A638" s="11">
        <v>44575.270833333336</v>
      </c>
      <c r="B638" s="10">
        <v>639.02499999999998</v>
      </c>
      <c r="C638">
        <f t="shared" si="36"/>
        <v>5</v>
      </c>
      <c r="D638">
        <f t="shared" si="37"/>
        <v>14</v>
      </c>
      <c r="E638">
        <f t="shared" si="38"/>
        <v>6</v>
      </c>
      <c r="F638">
        <f t="shared" si="39"/>
        <v>1</v>
      </c>
      <c r="G638">
        <f>VLOOKUP(E638,Sheet1!$A$2:$B$25,2,FALSE)</f>
        <v>1</v>
      </c>
    </row>
    <row r="639" spans="1:7" x14ac:dyDescent="0.25">
      <c r="A639" s="11">
        <v>44575.291666666664</v>
      </c>
      <c r="B639" s="10">
        <v>588.74</v>
      </c>
      <c r="C639">
        <f t="shared" si="36"/>
        <v>5</v>
      </c>
      <c r="D639">
        <f t="shared" si="37"/>
        <v>14</v>
      </c>
      <c r="E639">
        <f t="shared" si="38"/>
        <v>7</v>
      </c>
      <c r="F639">
        <f t="shared" si="39"/>
        <v>1</v>
      </c>
      <c r="G639">
        <f>VLOOKUP(E639,Sheet1!$A$2:$B$25,2,FALSE)</f>
        <v>1</v>
      </c>
    </row>
    <row r="640" spans="1:7" x14ac:dyDescent="0.25">
      <c r="A640" s="11">
        <v>44575.3125</v>
      </c>
      <c r="B640" s="10">
        <v>637.70000000000005</v>
      </c>
      <c r="C640">
        <f t="shared" si="36"/>
        <v>5</v>
      </c>
      <c r="D640">
        <f t="shared" si="37"/>
        <v>14</v>
      </c>
      <c r="E640">
        <f t="shared" si="38"/>
        <v>7</v>
      </c>
      <c r="F640">
        <f t="shared" si="39"/>
        <v>1</v>
      </c>
      <c r="G640">
        <f>VLOOKUP(E640,Sheet1!$A$2:$B$25,2,FALSE)</f>
        <v>1</v>
      </c>
    </row>
    <row r="641" spans="1:7" x14ac:dyDescent="0.25">
      <c r="A641" s="11">
        <v>44575.333333333336</v>
      </c>
      <c r="B641" s="10">
        <v>630.476</v>
      </c>
      <c r="C641">
        <f t="shared" si="36"/>
        <v>5</v>
      </c>
      <c r="D641">
        <f t="shared" si="37"/>
        <v>14</v>
      </c>
      <c r="E641">
        <f t="shared" si="38"/>
        <v>8</v>
      </c>
      <c r="F641">
        <f t="shared" si="39"/>
        <v>1</v>
      </c>
      <c r="G641">
        <f>VLOOKUP(E641,Sheet1!$A$2:$B$25,2,FALSE)</f>
        <v>1</v>
      </c>
    </row>
    <row r="642" spans="1:7" x14ac:dyDescent="0.25">
      <c r="A642" s="11">
        <v>44575.354166666664</v>
      </c>
      <c r="B642" s="10">
        <v>598.58500000000004</v>
      </c>
      <c r="C642">
        <f t="shared" ref="C642:C705" si="40">WEEKDAY(A642,2)</f>
        <v>5</v>
      </c>
      <c r="D642">
        <f t="shared" ref="D642:D705" si="41">DAY(A642)</f>
        <v>14</v>
      </c>
      <c r="E642">
        <f t="shared" ref="E642:E705" si="42">HOUR(A642)</f>
        <v>8</v>
      </c>
      <c r="F642">
        <f t="shared" si="39"/>
        <v>1</v>
      </c>
      <c r="G642">
        <f>VLOOKUP(E642,Sheet1!$A$2:$B$25,2,FALSE)</f>
        <v>1</v>
      </c>
    </row>
    <row r="643" spans="1:7" x14ac:dyDescent="0.25">
      <c r="A643" s="11">
        <v>44575.375</v>
      </c>
      <c r="B643" s="10">
        <v>551.41999999999996</v>
      </c>
      <c r="C643">
        <f t="shared" si="40"/>
        <v>5</v>
      </c>
      <c r="D643">
        <f t="shared" si="41"/>
        <v>14</v>
      </c>
      <c r="E643">
        <f t="shared" si="42"/>
        <v>9</v>
      </c>
      <c r="F643">
        <f t="shared" ref="F643:F706" si="43">IF(C643&gt;=6,0,1)</f>
        <v>1</v>
      </c>
      <c r="G643">
        <f>VLOOKUP(E643,Sheet1!$A$2:$B$25,2,FALSE)</f>
        <v>1</v>
      </c>
    </row>
    <row r="644" spans="1:7" x14ac:dyDescent="0.25">
      <c r="A644" s="11">
        <v>44575.395833333336</v>
      </c>
      <c r="B644" s="10">
        <v>597.596</v>
      </c>
      <c r="C644">
        <f t="shared" si="40"/>
        <v>5</v>
      </c>
      <c r="D644">
        <f t="shared" si="41"/>
        <v>14</v>
      </c>
      <c r="E644">
        <f t="shared" si="42"/>
        <v>9</v>
      </c>
      <c r="F644">
        <f t="shared" si="43"/>
        <v>1</v>
      </c>
      <c r="G644">
        <f>VLOOKUP(E644,Sheet1!$A$2:$B$25,2,FALSE)</f>
        <v>1</v>
      </c>
    </row>
    <row r="645" spans="1:7" x14ac:dyDescent="0.25">
      <c r="A645" s="11">
        <v>44575.416666666664</v>
      </c>
      <c r="B645" s="10">
        <v>771.02</v>
      </c>
      <c r="C645">
        <f t="shared" si="40"/>
        <v>5</v>
      </c>
      <c r="D645">
        <f t="shared" si="41"/>
        <v>14</v>
      </c>
      <c r="E645">
        <f t="shared" si="42"/>
        <v>10</v>
      </c>
      <c r="F645">
        <f t="shared" si="43"/>
        <v>1</v>
      </c>
      <c r="G645">
        <f>VLOOKUP(E645,Sheet1!$A$2:$B$25,2,FALSE)</f>
        <v>1</v>
      </c>
    </row>
    <row r="646" spans="1:7" x14ac:dyDescent="0.25">
      <c r="A646" s="11">
        <v>44575.4375</v>
      </c>
      <c r="B646" s="10">
        <v>746.75599999999997</v>
      </c>
      <c r="C646">
        <f t="shared" si="40"/>
        <v>5</v>
      </c>
      <c r="D646">
        <f t="shared" si="41"/>
        <v>14</v>
      </c>
      <c r="E646">
        <f t="shared" si="42"/>
        <v>10</v>
      </c>
      <c r="F646">
        <f t="shared" si="43"/>
        <v>1</v>
      </c>
      <c r="G646">
        <f>VLOOKUP(E646,Sheet1!$A$2:$B$25,2,FALSE)</f>
        <v>1</v>
      </c>
    </row>
    <row r="647" spans="1:7" x14ac:dyDescent="0.25">
      <c r="A647" s="11">
        <v>44575.458333333336</v>
      </c>
      <c r="B647" s="10">
        <v>688.32100000000003</v>
      </c>
      <c r="C647">
        <f t="shared" si="40"/>
        <v>5</v>
      </c>
      <c r="D647">
        <f t="shared" si="41"/>
        <v>14</v>
      </c>
      <c r="E647">
        <f t="shared" si="42"/>
        <v>11</v>
      </c>
      <c r="F647">
        <f t="shared" si="43"/>
        <v>1</v>
      </c>
      <c r="G647">
        <f>VLOOKUP(E647,Sheet1!$A$2:$B$25,2,FALSE)</f>
        <v>1</v>
      </c>
    </row>
    <row r="648" spans="1:7" x14ac:dyDescent="0.25">
      <c r="A648" s="11">
        <v>44575.479166666664</v>
      </c>
      <c r="B648" s="10">
        <v>700.19600000000003</v>
      </c>
      <c r="C648">
        <f t="shared" si="40"/>
        <v>5</v>
      </c>
      <c r="D648">
        <f t="shared" si="41"/>
        <v>14</v>
      </c>
      <c r="E648">
        <f t="shared" si="42"/>
        <v>11</v>
      </c>
      <c r="F648">
        <f t="shared" si="43"/>
        <v>1</v>
      </c>
      <c r="G648">
        <f>VLOOKUP(E648,Sheet1!$A$2:$B$25,2,FALSE)</f>
        <v>1</v>
      </c>
    </row>
    <row r="649" spans="1:7" x14ac:dyDescent="0.25">
      <c r="A649" s="11">
        <v>44575.5</v>
      </c>
      <c r="B649" s="10">
        <v>740.06</v>
      </c>
      <c r="C649">
        <f t="shared" si="40"/>
        <v>5</v>
      </c>
      <c r="D649">
        <f t="shared" si="41"/>
        <v>14</v>
      </c>
      <c r="E649">
        <f t="shared" si="42"/>
        <v>12</v>
      </c>
      <c r="F649">
        <f t="shared" si="43"/>
        <v>1</v>
      </c>
      <c r="G649">
        <f>VLOOKUP(E649,Sheet1!$A$2:$B$25,2,FALSE)</f>
        <v>1</v>
      </c>
    </row>
    <row r="650" spans="1:7" x14ac:dyDescent="0.25">
      <c r="A650" s="11">
        <v>44575.520833333336</v>
      </c>
      <c r="B650" s="10">
        <v>723.18600000000004</v>
      </c>
      <c r="C650">
        <f t="shared" si="40"/>
        <v>5</v>
      </c>
      <c r="D650">
        <f t="shared" si="41"/>
        <v>14</v>
      </c>
      <c r="E650">
        <f t="shared" si="42"/>
        <v>12</v>
      </c>
      <c r="F650">
        <f t="shared" si="43"/>
        <v>1</v>
      </c>
      <c r="G650">
        <f>VLOOKUP(E650,Sheet1!$A$2:$B$25,2,FALSE)</f>
        <v>1</v>
      </c>
    </row>
    <row r="651" spans="1:7" x14ac:dyDescent="0.25">
      <c r="A651" s="11">
        <v>44575.541666666664</v>
      </c>
      <c r="B651" s="10">
        <v>688.7</v>
      </c>
      <c r="C651">
        <f t="shared" si="40"/>
        <v>5</v>
      </c>
      <c r="D651">
        <f t="shared" si="41"/>
        <v>14</v>
      </c>
      <c r="E651">
        <f t="shared" si="42"/>
        <v>13</v>
      </c>
      <c r="F651">
        <f t="shared" si="43"/>
        <v>1</v>
      </c>
      <c r="G651">
        <f>VLOOKUP(E651,Sheet1!$A$2:$B$25,2,FALSE)</f>
        <v>1</v>
      </c>
    </row>
    <row r="652" spans="1:7" x14ac:dyDescent="0.25">
      <c r="A652" s="11">
        <v>44575.5625</v>
      </c>
      <c r="B652" s="10">
        <v>519.14</v>
      </c>
      <c r="C652">
        <f t="shared" si="40"/>
        <v>5</v>
      </c>
      <c r="D652">
        <f t="shared" si="41"/>
        <v>14</v>
      </c>
      <c r="E652">
        <f t="shared" si="42"/>
        <v>13</v>
      </c>
      <c r="F652">
        <f t="shared" si="43"/>
        <v>1</v>
      </c>
      <c r="G652">
        <f>VLOOKUP(E652,Sheet1!$A$2:$B$25,2,FALSE)</f>
        <v>1</v>
      </c>
    </row>
    <row r="653" spans="1:7" x14ac:dyDescent="0.25">
      <c r="A653" s="11">
        <v>44575.583333333336</v>
      </c>
      <c r="B653" s="10">
        <v>333.36099999999999</v>
      </c>
      <c r="C653">
        <f t="shared" si="40"/>
        <v>5</v>
      </c>
      <c r="D653">
        <f t="shared" si="41"/>
        <v>14</v>
      </c>
      <c r="E653">
        <f t="shared" si="42"/>
        <v>14</v>
      </c>
      <c r="F653">
        <f t="shared" si="43"/>
        <v>1</v>
      </c>
      <c r="G653">
        <f>VLOOKUP(E653,Sheet1!$A$2:$B$25,2,FALSE)</f>
        <v>1</v>
      </c>
    </row>
    <row r="654" spans="1:7" x14ac:dyDescent="0.25">
      <c r="A654" s="11">
        <v>44575.604166666664</v>
      </c>
      <c r="B654" s="10">
        <v>320.87599999999998</v>
      </c>
      <c r="C654">
        <f t="shared" si="40"/>
        <v>5</v>
      </c>
      <c r="D654">
        <f t="shared" si="41"/>
        <v>14</v>
      </c>
      <c r="E654">
        <f t="shared" si="42"/>
        <v>14</v>
      </c>
      <c r="F654">
        <f t="shared" si="43"/>
        <v>1</v>
      </c>
      <c r="G654">
        <f>VLOOKUP(E654,Sheet1!$A$2:$B$25,2,FALSE)</f>
        <v>1</v>
      </c>
    </row>
    <row r="655" spans="1:7" x14ac:dyDescent="0.25">
      <c r="A655" s="11">
        <v>44575.625</v>
      </c>
      <c r="B655" s="10">
        <v>319.82</v>
      </c>
      <c r="C655">
        <f t="shared" si="40"/>
        <v>5</v>
      </c>
      <c r="D655">
        <f t="shared" si="41"/>
        <v>14</v>
      </c>
      <c r="E655">
        <f t="shared" si="42"/>
        <v>15</v>
      </c>
      <c r="F655">
        <f t="shared" si="43"/>
        <v>1</v>
      </c>
      <c r="G655">
        <f>VLOOKUP(E655,Sheet1!$A$2:$B$25,2,FALSE)</f>
        <v>1</v>
      </c>
    </row>
    <row r="656" spans="1:7" x14ac:dyDescent="0.25">
      <c r="A656" s="11">
        <v>44575.645833333336</v>
      </c>
      <c r="B656" s="10">
        <v>318.625</v>
      </c>
      <c r="C656">
        <f t="shared" si="40"/>
        <v>5</v>
      </c>
      <c r="D656">
        <f t="shared" si="41"/>
        <v>14</v>
      </c>
      <c r="E656">
        <f t="shared" si="42"/>
        <v>15</v>
      </c>
      <c r="F656">
        <f t="shared" si="43"/>
        <v>1</v>
      </c>
      <c r="G656">
        <f>VLOOKUP(E656,Sheet1!$A$2:$B$25,2,FALSE)</f>
        <v>1</v>
      </c>
    </row>
    <row r="657" spans="1:7" x14ac:dyDescent="0.25">
      <c r="A657" s="11">
        <v>44575.666666666664</v>
      </c>
      <c r="B657" s="10">
        <v>310.43599999999998</v>
      </c>
      <c r="C657">
        <f t="shared" si="40"/>
        <v>5</v>
      </c>
      <c r="D657">
        <f t="shared" si="41"/>
        <v>14</v>
      </c>
      <c r="E657">
        <f t="shared" si="42"/>
        <v>16</v>
      </c>
      <c r="F657">
        <f t="shared" si="43"/>
        <v>1</v>
      </c>
      <c r="G657">
        <f>VLOOKUP(E657,Sheet1!$A$2:$B$25,2,FALSE)</f>
        <v>0</v>
      </c>
    </row>
    <row r="658" spans="1:7" x14ac:dyDescent="0.25">
      <c r="A658" s="11">
        <v>44575.6875</v>
      </c>
      <c r="B658" s="10">
        <v>303.86</v>
      </c>
      <c r="C658">
        <f t="shared" si="40"/>
        <v>5</v>
      </c>
      <c r="D658">
        <f t="shared" si="41"/>
        <v>14</v>
      </c>
      <c r="E658">
        <f t="shared" si="42"/>
        <v>16</v>
      </c>
      <c r="F658">
        <f t="shared" si="43"/>
        <v>1</v>
      </c>
      <c r="G658">
        <f>VLOOKUP(E658,Sheet1!$A$2:$B$25,2,FALSE)</f>
        <v>0</v>
      </c>
    </row>
    <row r="659" spans="1:7" x14ac:dyDescent="0.25">
      <c r="A659" s="11">
        <v>44575.708333333336</v>
      </c>
      <c r="B659" s="10">
        <v>301.32100000000003</v>
      </c>
      <c r="C659">
        <f t="shared" si="40"/>
        <v>5</v>
      </c>
      <c r="D659">
        <f t="shared" si="41"/>
        <v>14</v>
      </c>
      <c r="E659">
        <f t="shared" si="42"/>
        <v>17</v>
      </c>
      <c r="F659">
        <f t="shared" si="43"/>
        <v>1</v>
      </c>
      <c r="G659">
        <f>VLOOKUP(E659,Sheet1!$A$2:$B$25,2,FALSE)</f>
        <v>0</v>
      </c>
    </row>
    <row r="660" spans="1:7" x14ac:dyDescent="0.25">
      <c r="A660" s="11">
        <v>44575.729166666664</v>
      </c>
      <c r="B660" s="10">
        <v>308.15600000000001</v>
      </c>
      <c r="C660">
        <f t="shared" si="40"/>
        <v>5</v>
      </c>
      <c r="D660">
        <f t="shared" si="41"/>
        <v>14</v>
      </c>
      <c r="E660">
        <f t="shared" si="42"/>
        <v>17</v>
      </c>
      <c r="F660">
        <f t="shared" si="43"/>
        <v>1</v>
      </c>
      <c r="G660">
        <f>VLOOKUP(E660,Sheet1!$A$2:$B$25,2,FALSE)</f>
        <v>0</v>
      </c>
    </row>
    <row r="661" spans="1:7" x14ac:dyDescent="0.25">
      <c r="A661" s="11">
        <v>44575.75</v>
      </c>
      <c r="B661" s="10">
        <v>294.23599999999999</v>
      </c>
      <c r="C661">
        <f t="shared" si="40"/>
        <v>5</v>
      </c>
      <c r="D661">
        <f t="shared" si="41"/>
        <v>14</v>
      </c>
      <c r="E661">
        <f t="shared" si="42"/>
        <v>18</v>
      </c>
      <c r="F661">
        <f t="shared" si="43"/>
        <v>1</v>
      </c>
      <c r="G661">
        <f>VLOOKUP(E661,Sheet1!$A$2:$B$25,2,FALSE)</f>
        <v>0</v>
      </c>
    </row>
    <row r="662" spans="1:7" x14ac:dyDescent="0.25">
      <c r="A662" s="11">
        <v>44575.770833333336</v>
      </c>
      <c r="B662" s="10">
        <v>297.38</v>
      </c>
      <c r="C662">
        <f t="shared" si="40"/>
        <v>5</v>
      </c>
      <c r="D662">
        <f t="shared" si="41"/>
        <v>14</v>
      </c>
      <c r="E662">
        <f t="shared" si="42"/>
        <v>18</v>
      </c>
      <c r="F662">
        <f t="shared" si="43"/>
        <v>1</v>
      </c>
      <c r="G662">
        <f>VLOOKUP(E662,Sheet1!$A$2:$B$25,2,FALSE)</f>
        <v>0</v>
      </c>
    </row>
    <row r="663" spans="1:7" x14ac:dyDescent="0.25">
      <c r="A663" s="11">
        <v>44575.791666666664</v>
      </c>
      <c r="B663" s="10">
        <v>293.88099999999997</v>
      </c>
      <c r="C663">
        <f t="shared" si="40"/>
        <v>5</v>
      </c>
      <c r="D663">
        <f t="shared" si="41"/>
        <v>14</v>
      </c>
      <c r="E663">
        <f t="shared" si="42"/>
        <v>19</v>
      </c>
      <c r="F663">
        <f t="shared" si="43"/>
        <v>1</v>
      </c>
      <c r="G663">
        <f>VLOOKUP(E663,Sheet1!$A$2:$B$25,2,FALSE)</f>
        <v>0</v>
      </c>
    </row>
    <row r="664" spans="1:7" x14ac:dyDescent="0.25">
      <c r="A664" s="11">
        <v>44575.8125</v>
      </c>
      <c r="B664" s="10">
        <v>293.89999999999998</v>
      </c>
      <c r="C664">
        <f t="shared" si="40"/>
        <v>5</v>
      </c>
      <c r="D664">
        <f t="shared" si="41"/>
        <v>14</v>
      </c>
      <c r="E664">
        <f t="shared" si="42"/>
        <v>19</v>
      </c>
      <c r="F664">
        <f t="shared" si="43"/>
        <v>1</v>
      </c>
      <c r="G664">
        <f>VLOOKUP(E664,Sheet1!$A$2:$B$25,2,FALSE)</f>
        <v>0</v>
      </c>
    </row>
    <row r="665" spans="1:7" x14ac:dyDescent="0.25">
      <c r="A665" s="11">
        <v>44575.833333333336</v>
      </c>
      <c r="B665" s="10">
        <v>299.39600000000002</v>
      </c>
      <c r="C665">
        <f t="shared" si="40"/>
        <v>5</v>
      </c>
      <c r="D665">
        <f t="shared" si="41"/>
        <v>14</v>
      </c>
      <c r="E665">
        <f t="shared" si="42"/>
        <v>20</v>
      </c>
      <c r="F665">
        <f t="shared" si="43"/>
        <v>1</v>
      </c>
      <c r="G665">
        <f>VLOOKUP(E665,Sheet1!$A$2:$B$25,2,FALSE)</f>
        <v>0</v>
      </c>
    </row>
    <row r="666" spans="1:7" x14ac:dyDescent="0.25">
      <c r="A666" s="11">
        <v>44575.854166666664</v>
      </c>
      <c r="B666" s="10">
        <v>298.22500000000002</v>
      </c>
      <c r="C666">
        <f t="shared" si="40"/>
        <v>5</v>
      </c>
      <c r="D666">
        <f t="shared" si="41"/>
        <v>14</v>
      </c>
      <c r="E666">
        <f t="shared" si="42"/>
        <v>20</v>
      </c>
      <c r="F666">
        <f t="shared" si="43"/>
        <v>1</v>
      </c>
      <c r="G666">
        <f>VLOOKUP(E666,Sheet1!$A$2:$B$25,2,FALSE)</f>
        <v>0</v>
      </c>
    </row>
    <row r="667" spans="1:7" x14ac:dyDescent="0.25">
      <c r="A667" s="11">
        <v>44575.875</v>
      </c>
      <c r="B667" s="10">
        <v>292.33999999999997</v>
      </c>
      <c r="C667">
        <f t="shared" si="40"/>
        <v>5</v>
      </c>
      <c r="D667">
        <f t="shared" si="41"/>
        <v>14</v>
      </c>
      <c r="E667">
        <f t="shared" si="42"/>
        <v>21</v>
      </c>
      <c r="F667">
        <f t="shared" si="43"/>
        <v>1</v>
      </c>
      <c r="G667">
        <f>VLOOKUP(E667,Sheet1!$A$2:$B$25,2,FALSE)</f>
        <v>0</v>
      </c>
    </row>
    <row r="668" spans="1:7" x14ac:dyDescent="0.25">
      <c r="A668" s="11">
        <v>44575.895833333336</v>
      </c>
      <c r="B668" s="10">
        <v>295.82</v>
      </c>
      <c r="C668">
        <f t="shared" si="40"/>
        <v>5</v>
      </c>
      <c r="D668">
        <f t="shared" si="41"/>
        <v>14</v>
      </c>
      <c r="E668">
        <f t="shared" si="42"/>
        <v>21</v>
      </c>
      <c r="F668">
        <f t="shared" si="43"/>
        <v>1</v>
      </c>
      <c r="G668">
        <f>VLOOKUP(E668,Sheet1!$A$2:$B$25,2,FALSE)</f>
        <v>0</v>
      </c>
    </row>
    <row r="669" spans="1:7" x14ac:dyDescent="0.25">
      <c r="A669" s="11">
        <v>44575.916666666664</v>
      </c>
      <c r="B669" s="10">
        <v>294.38499999999999</v>
      </c>
      <c r="C669">
        <f t="shared" si="40"/>
        <v>5</v>
      </c>
      <c r="D669">
        <f t="shared" si="41"/>
        <v>14</v>
      </c>
      <c r="E669">
        <f t="shared" si="42"/>
        <v>22</v>
      </c>
      <c r="F669">
        <f t="shared" si="43"/>
        <v>1</v>
      </c>
      <c r="G669">
        <f>VLOOKUP(E669,Sheet1!$A$2:$B$25,2,FALSE)</f>
        <v>0</v>
      </c>
    </row>
    <row r="670" spans="1:7" x14ac:dyDescent="0.25">
      <c r="A670" s="11">
        <v>44575.9375</v>
      </c>
      <c r="B670" s="10">
        <v>296.27600000000001</v>
      </c>
      <c r="C670">
        <f t="shared" si="40"/>
        <v>5</v>
      </c>
      <c r="D670">
        <f t="shared" si="41"/>
        <v>14</v>
      </c>
      <c r="E670">
        <f t="shared" si="42"/>
        <v>22</v>
      </c>
      <c r="F670">
        <f t="shared" si="43"/>
        <v>1</v>
      </c>
      <c r="G670">
        <f>VLOOKUP(E670,Sheet1!$A$2:$B$25,2,FALSE)</f>
        <v>0</v>
      </c>
    </row>
    <row r="671" spans="1:7" x14ac:dyDescent="0.25">
      <c r="A671" s="11">
        <v>44575.958333333336</v>
      </c>
      <c r="B671" s="10">
        <v>295.07600000000002</v>
      </c>
      <c r="C671">
        <f t="shared" si="40"/>
        <v>5</v>
      </c>
      <c r="D671">
        <f t="shared" si="41"/>
        <v>14</v>
      </c>
      <c r="E671">
        <f t="shared" si="42"/>
        <v>23</v>
      </c>
      <c r="F671">
        <f t="shared" si="43"/>
        <v>1</v>
      </c>
      <c r="G671">
        <f>VLOOKUP(E671,Sheet1!$A$2:$B$25,2,FALSE)</f>
        <v>0</v>
      </c>
    </row>
    <row r="672" spans="1:7" x14ac:dyDescent="0.25">
      <c r="A672" s="11">
        <v>44575.979166666664</v>
      </c>
      <c r="B672" s="10">
        <v>291.35599999999999</v>
      </c>
      <c r="C672">
        <f t="shared" si="40"/>
        <v>5</v>
      </c>
      <c r="D672">
        <f t="shared" si="41"/>
        <v>14</v>
      </c>
      <c r="E672">
        <f t="shared" si="42"/>
        <v>23</v>
      </c>
      <c r="F672">
        <f t="shared" si="43"/>
        <v>1</v>
      </c>
      <c r="G672">
        <f>VLOOKUP(E672,Sheet1!$A$2:$B$25,2,FALSE)</f>
        <v>0</v>
      </c>
    </row>
    <row r="673" spans="1:7" x14ac:dyDescent="0.25">
      <c r="A673" s="11">
        <v>44576</v>
      </c>
      <c r="B673" s="10">
        <v>291.98</v>
      </c>
      <c r="C673">
        <f t="shared" si="40"/>
        <v>6</v>
      </c>
      <c r="D673">
        <f t="shared" si="41"/>
        <v>15</v>
      </c>
      <c r="E673">
        <f t="shared" si="42"/>
        <v>0</v>
      </c>
      <c r="F673">
        <f t="shared" si="43"/>
        <v>0</v>
      </c>
      <c r="G673">
        <f>VLOOKUP(E673,Sheet1!$A$2:$B$25,2,FALSE)</f>
        <v>0</v>
      </c>
    </row>
    <row r="674" spans="1:7" x14ac:dyDescent="0.25">
      <c r="A674" s="11">
        <v>44576.020833333336</v>
      </c>
      <c r="B674" s="10">
        <v>290.52100000000002</v>
      </c>
      <c r="C674">
        <f t="shared" si="40"/>
        <v>6</v>
      </c>
      <c r="D674">
        <f t="shared" si="41"/>
        <v>15</v>
      </c>
      <c r="E674">
        <f t="shared" si="42"/>
        <v>0</v>
      </c>
      <c r="F674">
        <f t="shared" si="43"/>
        <v>0</v>
      </c>
      <c r="G674">
        <f>VLOOKUP(E674,Sheet1!$A$2:$B$25,2,FALSE)</f>
        <v>0</v>
      </c>
    </row>
    <row r="675" spans="1:7" x14ac:dyDescent="0.25">
      <c r="A675" s="11">
        <v>44576.041666666664</v>
      </c>
      <c r="B675" s="10">
        <v>288.74</v>
      </c>
      <c r="C675">
        <f t="shared" si="40"/>
        <v>6</v>
      </c>
      <c r="D675">
        <f t="shared" si="41"/>
        <v>15</v>
      </c>
      <c r="E675">
        <f t="shared" si="42"/>
        <v>1</v>
      </c>
      <c r="F675">
        <f t="shared" si="43"/>
        <v>0</v>
      </c>
      <c r="G675">
        <f>VLOOKUP(E675,Sheet1!$A$2:$B$25,2,FALSE)</f>
        <v>0</v>
      </c>
    </row>
    <row r="676" spans="1:7" x14ac:dyDescent="0.25">
      <c r="A676" s="11">
        <v>44576.0625</v>
      </c>
      <c r="B676" s="10">
        <v>291.23599999999999</v>
      </c>
      <c r="C676">
        <f t="shared" si="40"/>
        <v>6</v>
      </c>
      <c r="D676">
        <f t="shared" si="41"/>
        <v>15</v>
      </c>
      <c r="E676">
        <f t="shared" si="42"/>
        <v>1</v>
      </c>
      <c r="F676">
        <f t="shared" si="43"/>
        <v>0</v>
      </c>
      <c r="G676">
        <f>VLOOKUP(E676,Sheet1!$A$2:$B$25,2,FALSE)</f>
        <v>0</v>
      </c>
    </row>
    <row r="677" spans="1:7" x14ac:dyDescent="0.25">
      <c r="A677" s="11">
        <v>44576.083333333336</v>
      </c>
      <c r="B677" s="10">
        <v>287.06</v>
      </c>
      <c r="C677">
        <f t="shared" si="40"/>
        <v>6</v>
      </c>
      <c r="D677">
        <f t="shared" si="41"/>
        <v>15</v>
      </c>
      <c r="E677">
        <f t="shared" si="42"/>
        <v>2</v>
      </c>
      <c r="F677">
        <f t="shared" si="43"/>
        <v>0</v>
      </c>
      <c r="G677">
        <f>VLOOKUP(E677,Sheet1!$A$2:$B$25,2,FALSE)</f>
        <v>0</v>
      </c>
    </row>
    <row r="678" spans="1:7" x14ac:dyDescent="0.25">
      <c r="A678" s="11">
        <v>44576.104166666664</v>
      </c>
      <c r="B678" s="10">
        <v>298.34500000000003</v>
      </c>
      <c r="C678">
        <f t="shared" si="40"/>
        <v>6</v>
      </c>
      <c r="D678">
        <f t="shared" si="41"/>
        <v>15</v>
      </c>
      <c r="E678">
        <f t="shared" si="42"/>
        <v>2</v>
      </c>
      <c r="F678">
        <f t="shared" si="43"/>
        <v>0</v>
      </c>
      <c r="G678">
        <f>VLOOKUP(E678,Sheet1!$A$2:$B$25,2,FALSE)</f>
        <v>0</v>
      </c>
    </row>
    <row r="679" spans="1:7" x14ac:dyDescent="0.25">
      <c r="A679" s="11">
        <v>44576.125</v>
      </c>
      <c r="B679" s="10">
        <v>298.82</v>
      </c>
      <c r="C679">
        <f t="shared" si="40"/>
        <v>6</v>
      </c>
      <c r="D679">
        <f t="shared" si="41"/>
        <v>15</v>
      </c>
      <c r="E679">
        <f t="shared" si="42"/>
        <v>3</v>
      </c>
      <c r="F679">
        <f t="shared" si="43"/>
        <v>0</v>
      </c>
      <c r="G679">
        <f>VLOOKUP(E679,Sheet1!$A$2:$B$25,2,FALSE)</f>
        <v>0</v>
      </c>
    </row>
    <row r="680" spans="1:7" x14ac:dyDescent="0.25">
      <c r="A680" s="11">
        <v>44576.145833333336</v>
      </c>
      <c r="B680" s="10">
        <v>299.77999999999997</v>
      </c>
      <c r="C680">
        <f t="shared" si="40"/>
        <v>6</v>
      </c>
      <c r="D680">
        <f t="shared" si="41"/>
        <v>15</v>
      </c>
      <c r="E680">
        <f t="shared" si="42"/>
        <v>3</v>
      </c>
      <c r="F680">
        <f t="shared" si="43"/>
        <v>0</v>
      </c>
      <c r="G680">
        <f>VLOOKUP(E680,Sheet1!$A$2:$B$25,2,FALSE)</f>
        <v>0</v>
      </c>
    </row>
    <row r="681" spans="1:7" x14ac:dyDescent="0.25">
      <c r="A681" s="11">
        <v>44576.166666666664</v>
      </c>
      <c r="B681" s="10">
        <v>301.82</v>
      </c>
      <c r="C681">
        <f t="shared" si="40"/>
        <v>6</v>
      </c>
      <c r="D681">
        <f t="shared" si="41"/>
        <v>15</v>
      </c>
      <c r="E681">
        <f t="shared" si="42"/>
        <v>4</v>
      </c>
      <c r="F681">
        <f t="shared" si="43"/>
        <v>0</v>
      </c>
      <c r="G681">
        <f>VLOOKUP(E681,Sheet1!$A$2:$B$25,2,FALSE)</f>
        <v>1</v>
      </c>
    </row>
    <row r="682" spans="1:7" x14ac:dyDescent="0.25">
      <c r="A682" s="11">
        <v>44576.1875</v>
      </c>
      <c r="B682" s="10">
        <v>310.82</v>
      </c>
      <c r="C682">
        <f t="shared" si="40"/>
        <v>6</v>
      </c>
      <c r="D682">
        <f t="shared" si="41"/>
        <v>15</v>
      </c>
      <c r="E682">
        <f t="shared" si="42"/>
        <v>4</v>
      </c>
      <c r="F682">
        <f t="shared" si="43"/>
        <v>0</v>
      </c>
      <c r="G682">
        <f>VLOOKUP(E682,Sheet1!$A$2:$B$25,2,FALSE)</f>
        <v>1</v>
      </c>
    </row>
    <row r="683" spans="1:7" x14ac:dyDescent="0.25">
      <c r="A683" s="11">
        <v>44576.208333333336</v>
      </c>
      <c r="B683" s="10">
        <v>312.12099999999998</v>
      </c>
      <c r="C683">
        <f t="shared" si="40"/>
        <v>6</v>
      </c>
      <c r="D683">
        <f t="shared" si="41"/>
        <v>15</v>
      </c>
      <c r="E683">
        <f t="shared" si="42"/>
        <v>5</v>
      </c>
      <c r="F683">
        <f t="shared" si="43"/>
        <v>0</v>
      </c>
      <c r="G683">
        <f>VLOOKUP(E683,Sheet1!$A$2:$B$25,2,FALSE)</f>
        <v>1</v>
      </c>
    </row>
    <row r="684" spans="1:7" x14ac:dyDescent="0.25">
      <c r="A684" s="11">
        <v>44576.229166666664</v>
      </c>
      <c r="B684" s="10">
        <v>309.23599999999999</v>
      </c>
      <c r="C684">
        <f t="shared" si="40"/>
        <v>6</v>
      </c>
      <c r="D684">
        <f t="shared" si="41"/>
        <v>15</v>
      </c>
      <c r="E684">
        <f t="shared" si="42"/>
        <v>5</v>
      </c>
      <c r="F684">
        <f t="shared" si="43"/>
        <v>0</v>
      </c>
      <c r="G684">
        <f>VLOOKUP(E684,Sheet1!$A$2:$B$25,2,FALSE)</f>
        <v>1</v>
      </c>
    </row>
    <row r="685" spans="1:7" x14ac:dyDescent="0.25">
      <c r="A685" s="11">
        <v>44576.25</v>
      </c>
      <c r="B685" s="10">
        <v>309.476</v>
      </c>
      <c r="C685">
        <f t="shared" si="40"/>
        <v>6</v>
      </c>
      <c r="D685">
        <f t="shared" si="41"/>
        <v>15</v>
      </c>
      <c r="E685">
        <f t="shared" si="42"/>
        <v>6</v>
      </c>
      <c r="F685">
        <f t="shared" si="43"/>
        <v>0</v>
      </c>
      <c r="G685">
        <f>VLOOKUP(E685,Sheet1!$A$2:$B$25,2,FALSE)</f>
        <v>1</v>
      </c>
    </row>
    <row r="686" spans="1:7" x14ac:dyDescent="0.25">
      <c r="A686" s="11">
        <v>44576.270833333336</v>
      </c>
      <c r="B686" s="10">
        <v>306.5</v>
      </c>
      <c r="C686">
        <f t="shared" si="40"/>
        <v>6</v>
      </c>
      <c r="D686">
        <f t="shared" si="41"/>
        <v>15</v>
      </c>
      <c r="E686">
        <f t="shared" si="42"/>
        <v>6</v>
      </c>
      <c r="F686">
        <f t="shared" si="43"/>
        <v>0</v>
      </c>
      <c r="G686">
        <f>VLOOKUP(E686,Sheet1!$A$2:$B$25,2,FALSE)</f>
        <v>1</v>
      </c>
    </row>
    <row r="687" spans="1:7" x14ac:dyDescent="0.25">
      <c r="A687" s="11">
        <v>44576.291666666664</v>
      </c>
      <c r="B687" s="10">
        <v>303.86500000000001</v>
      </c>
      <c r="C687">
        <f t="shared" si="40"/>
        <v>6</v>
      </c>
      <c r="D687">
        <f t="shared" si="41"/>
        <v>15</v>
      </c>
      <c r="E687">
        <f t="shared" si="42"/>
        <v>7</v>
      </c>
      <c r="F687">
        <f t="shared" si="43"/>
        <v>0</v>
      </c>
      <c r="G687">
        <f>VLOOKUP(E687,Sheet1!$A$2:$B$25,2,FALSE)</f>
        <v>1</v>
      </c>
    </row>
    <row r="688" spans="1:7" x14ac:dyDescent="0.25">
      <c r="A688" s="11">
        <v>44576.3125</v>
      </c>
      <c r="B688" s="10">
        <v>314.27600000000001</v>
      </c>
      <c r="C688">
        <f t="shared" si="40"/>
        <v>6</v>
      </c>
      <c r="D688">
        <f t="shared" si="41"/>
        <v>15</v>
      </c>
      <c r="E688">
        <f t="shared" si="42"/>
        <v>7</v>
      </c>
      <c r="F688">
        <f t="shared" si="43"/>
        <v>0</v>
      </c>
      <c r="G688">
        <f>VLOOKUP(E688,Sheet1!$A$2:$B$25,2,FALSE)</f>
        <v>1</v>
      </c>
    </row>
    <row r="689" spans="1:7" x14ac:dyDescent="0.25">
      <c r="A689" s="11">
        <v>44576.333333333336</v>
      </c>
      <c r="B689" s="10">
        <v>299.39600000000002</v>
      </c>
      <c r="C689">
        <f t="shared" si="40"/>
        <v>6</v>
      </c>
      <c r="D689">
        <f t="shared" si="41"/>
        <v>15</v>
      </c>
      <c r="E689">
        <f t="shared" si="42"/>
        <v>8</v>
      </c>
      <c r="F689">
        <f t="shared" si="43"/>
        <v>0</v>
      </c>
      <c r="G689">
        <f>VLOOKUP(E689,Sheet1!$A$2:$B$25,2,FALSE)</f>
        <v>1</v>
      </c>
    </row>
    <row r="690" spans="1:7" x14ac:dyDescent="0.25">
      <c r="A690" s="11">
        <v>44576.354166666664</v>
      </c>
      <c r="B690" s="10">
        <v>300.95600000000002</v>
      </c>
      <c r="C690">
        <f t="shared" si="40"/>
        <v>6</v>
      </c>
      <c r="D690">
        <f t="shared" si="41"/>
        <v>15</v>
      </c>
      <c r="E690">
        <f t="shared" si="42"/>
        <v>8</v>
      </c>
      <c r="F690">
        <f t="shared" si="43"/>
        <v>0</v>
      </c>
      <c r="G690">
        <f>VLOOKUP(E690,Sheet1!$A$2:$B$25,2,FALSE)</f>
        <v>1</v>
      </c>
    </row>
    <row r="691" spans="1:7" x14ac:dyDescent="0.25">
      <c r="A691" s="11">
        <v>44576.375</v>
      </c>
      <c r="B691" s="10">
        <v>302.06</v>
      </c>
      <c r="C691">
        <f t="shared" si="40"/>
        <v>6</v>
      </c>
      <c r="D691">
        <f t="shared" si="41"/>
        <v>15</v>
      </c>
      <c r="E691">
        <f t="shared" si="42"/>
        <v>9</v>
      </c>
      <c r="F691">
        <f t="shared" si="43"/>
        <v>0</v>
      </c>
      <c r="G691">
        <f>VLOOKUP(E691,Sheet1!$A$2:$B$25,2,FALSE)</f>
        <v>1</v>
      </c>
    </row>
    <row r="692" spans="1:7" x14ac:dyDescent="0.25">
      <c r="A692" s="11">
        <v>44576.395833333336</v>
      </c>
      <c r="B692" s="10">
        <v>304.22500000000002</v>
      </c>
      <c r="C692">
        <f t="shared" si="40"/>
        <v>6</v>
      </c>
      <c r="D692">
        <f t="shared" si="41"/>
        <v>15</v>
      </c>
      <c r="E692">
        <f t="shared" si="42"/>
        <v>9</v>
      </c>
      <c r="F692">
        <f t="shared" si="43"/>
        <v>0</v>
      </c>
      <c r="G692">
        <f>VLOOKUP(E692,Sheet1!$A$2:$B$25,2,FALSE)</f>
        <v>1</v>
      </c>
    </row>
    <row r="693" spans="1:7" x14ac:dyDescent="0.25">
      <c r="A693" s="11">
        <v>44576.416666666664</v>
      </c>
      <c r="B693" s="10">
        <v>305.51600000000002</v>
      </c>
      <c r="C693">
        <f t="shared" si="40"/>
        <v>6</v>
      </c>
      <c r="D693">
        <f t="shared" si="41"/>
        <v>15</v>
      </c>
      <c r="E693">
        <f t="shared" si="42"/>
        <v>10</v>
      </c>
      <c r="F693">
        <f t="shared" si="43"/>
        <v>0</v>
      </c>
      <c r="G693">
        <f>VLOOKUP(E693,Sheet1!$A$2:$B$25,2,FALSE)</f>
        <v>1</v>
      </c>
    </row>
    <row r="694" spans="1:7" x14ac:dyDescent="0.25">
      <c r="A694" s="11">
        <v>44576.4375</v>
      </c>
      <c r="B694" s="10">
        <v>296.15600000000001</v>
      </c>
      <c r="C694">
        <f t="shared" si="40"/>
        <v>6</v>
      </c>
      <c r="D694">
        <f t="shared" si="41"/>
        <v>15</v>
      </c>
      <c r="E694">
        <f t="shared" si="42"/>
        <v>10</v>
      </c>
      <c r="F694">
        <f t="shared" si="43"/>
        <v>0</v>
      </c>
      <c r="G694">
        <f>VLOOKUP(E694,Sheet1!$A$2:$B$25,2,FALSE)</f>
        <v>1</v>
      </c>
    </row>
    <row r="695" spans="1:7" x14ac:dyDescent="0.25">
      <c r="A695" s="11">
        <v>44576.458333333336</v>
      </c>
      <c r="B695" s="10">
        <v>299.161</v>
      </c>
      <c r="C695">
        <f t="shared" si="40"/>
        <v>6</v>
      </c>
      <c r="D695">
        <f t="shared" si="41"/>
        <v>15</v>
      </c>
      <c r="E695">
        <f t="shared" si="42"/>
        <v>11</v>
      </c>
      <c r="F695">
        <f t="shared" si="43"/>
        <v>0</v>
      </c>
      <c r="G695">
        <f>VLOOKUP(E695,Sheet1!$A$2:$B$25,2,FALSE)</f>
        <v>1</v>
      </c>
    </row>
    <row r="696" spans="1:7" x14ac:dyDescent="0.25">
      <c r="A696" s="11">
        <v>44576.479166666664</v>
      </c>
      <c r="B696" s="10">
        <v>300.98</v>
      </c>
      <c r="C696">
        <f t="shared" si="40"/>
        <v>6</v>
      </c>
      <c r="D696">
        <f t="shared" si="41"/>
        <v>15</v>
      </c>
      <c r="E696">
        <f t="shared" si="42"/>
        <v>11</v>
      </c>
      <c r="F696">
        <f t="shared" si="43"/>
        <v>0</v>
      </c>
      <c r="G696">
        <f>VLOOKUP(E696,Sheet1!$A$2:$B$25,2,FALSE)</f>
        <v>1</v>
      </c>
    </row>
    <row r="697" spans="1:7" x14ac:dyDescent="0.25">
      <c r="A697" s="11">
        <v>44576.5</v>
      </c>
      <c r="B697" s="10">
        <v>314.15600000000001</v>
      </c>
      <c r="C697">
        <f t="shared" si="40"/>
        <v>6</v>
      </c>
      <c r="D697">
        <f t="shared" si="41"/>
        <v>15</v>
      </c>
      <c r="E697">
        <f t="shared" si="42"/>
        <v>12</v>
      </c>
      <c r="F697">
        <f t="shared" si="43"/>
        <v>0</v>
      </c>
      <c r="G697">
        <f>VLOOKUP(E697,Sheet1!$A$2:$B$25,2,FALSE)</f>
        <v>1</v>
      </c>
    </row>
    <row r="698" spans="1:7" x14ac:dyDescent="0.25">
      <c r="A698" s="11">
        <v>44576.520833333336</v>
      </c>
      <c r="B698" s="10">
        <v>298.79599999999999</v>
      </c>
      <c r="C698">
        <f t="shared" si="40"/>
        <v>6</v>
      </c>
      <c r="D698">
        <f t="shared" si="41"/>
        <v>15</v>
      </c>
      <c r="E698">
        <f t="shared" si="42"/>
        <v>12</v>
      </c>
      <c r="F698">
        <f t="shared" si="43"/>
        <v>0</v>
      </c>
      <c r="G698">
        <f>VLOOKUP(E698,Sheet1!$A$2:$B$25,2,FALSE)</f>
        <v>1</v>
      </c>
    </row>
    <row r="699" spans="1:7" x14ac:dyDescent="0.25">
      <c r="A699" s="11">
        <v>44576.541666666664</v>
      </c>
      <c r="B699" s="10">
        <v>299.185</v>
      </c>
      <c r="C699">
        <f t="shared" si="40"/>
        <v>6</v>
      </c>
      <c r="D699">
        <f t="shared" si="41"/>
        <v>15</v>
      </c>
      <c r="E699">
        <f t="shared" si="42"/>
        <v>13</v>
      </c>
      <c r="F699">
        <f t="shared" si="43"/>
        <v>0</v>
      </c>
      <c r="G699">
        <f>VLOOKUP(E699,Sheet1!$A$2:$B$25,2,FALSE)</f>
        <v>1</v>
      </c>
    </row>
    <row r="700" spans="1:7" x14ac:dyDescent="0.25">
      <c r="A700" s="11">
        <v>44576.5625</v>
      </c>
      <c r="B700" s="10">
        <v>300.71600000000001</v>
      </c>
      <c r="C700">
        <f t="shared" si="40"/>
        <v>6</v>
      </c>
      <c r="D700">
        <f t="shared" si="41"/>
        <v>15</v>
      </c>
      <c r="E700">
        <f t="shared" si="42"/>
        <v>13</v>
      </c>
      <c r="F700">
        <f t="shared" si="43"/>
        <v>0</v>
      </c>
      <c r="G700">
        <f>VLOOKUP(E700,Sheet1!$A$2:$B$25,2,FALSE)</f>
        <v>1</v>
      </c>
    </row>
    <row r="701" spans="1:7" x14ac:dyDescent="0.25">
      <c r="A701" s="11">
        <v>44576.583333333336</v>
      </c>
      <c r="B701" s="10">
        <v>293.42</v>
      </c>
      <c r="C701">
        <f t="shared" si="40"/>
        <v>6</v>
      </c>
      <c r="D701">
        <f t="shared" si="41"/>
        <v>15</v>
      </c>
      <c r="E701">
        <f t="shared" si="42"/>
        <v>14</v>
      </c>
      <c r="F701">
        <f t="shared" si="43"/>
        <v>0</v>
      </c>
      <c r="G701">
        <f>VLOOKUP(E701,Sheet1!$A$2:$B$25,2,FALSE)</f>
        <v>1</v>
      </c>
    </row>
    <row r="702" spans="1:7" x14ac:dyDescent="0.25">
      <c r="A702" s="11">
        <v>44576.604166666664</v>
      </c>
      <c r="B702" s="10">
        <v>297.11599999999999</v>
      </c>
      <c r="C702">
        <f t="shared" si="40"/>
        <v>6</v>
      </c>
      <c r="D702">
        <f t="shared" si="41"/>
        <v>15</v>
      </c>
      <c r="E702">
        <f t="shared" si="42"/>
        <v>14</v>
      </c>
      <c r="F702">
        <f t="shared" si="43"/>
        <v>0</v>
      </c>
      <c r="G702">
        <f>VLOOKUP(E702,Sheet1!$A$2:$B$25,2,FALSE)</f>
        <v>1</v>
      </c>
    </row>
    <row r="703" spans="1:7" x14ac:dyDescent="0.25">
      <c r="A703" s="11">
        <v>44576.625</v>
      </c>
      <c r="B703" s="10">
        <v>304.80099999999999</v>
      </c>
      <c r="C703">
        <f t="shared" si="40"/>
        <v>6</v>
      </c>
      <c r="D703">
        <f t="shared" si="41"/>
        <v>15</v>
      </c>
      <c r="E703">
        <f t="shared" si="42"/>
        <v>15</v>
      </c>
      <c r="F703">
        <f t="shared" si="43"/>
        <v>0</v>
      </c>
      <c r="G703">
        <f>VLOOKUP(E703,Sheet1!$A$2:$B$25,2,FALSE)</f>
        <v>1</v>
      </c>
    </row>
    <row r="704" spans="1:7" x14ac:dyDescent="0.25">
      <c r="A704" s="11">
        <v>44576.645833333336</v>
      </c>
      <c r="B704" s="10">
        <v>298.916</v>
      </c>
      <c r="C704">
        <f t="shared" si="40"/>
        <v>6</v>
      </c>
      <c r="D704">
        <f t="shared" si="41"/>
        <v>15</v>
      </c>
      <c r="E704">
        <f t="shared" si="42"/>
        <v>15</v>
      </c>
      <c r="F704">
        <f t="shared" si="43"/>
        <v>0</v>
      </c>
      <c r="G704">
        <f>VLOOKUP(E704,Sheet1!$A$2:$B$25,2,FALSE)</f>
        <v>1</v>
      </c>
    </row>
    <row r="705" spans="1:7" x14ac:dyDescent="0.25">
      <c r="A705" s="11">
        <v>44576.666666666664</v>
      </c>
      <c r="B705" s="10">
        <v>300.596</v>
      </c>
      <c r="C705">
        <f t="shared" si="40"/>
        <v>6</v>
      </c>
      <c r="D705">
        <f t="shared" si="41"/>
        <v>15</v>
      </c>
      <c r="E705">
        <f t="shared" si="42"/>
        <v>16</v>
      </c>
      <c r="F705">
        <f t="shared" si="43"/>
        <v>0</v>
      </c>
      <c r="G705">
        <f>VLOOKUP(E705,Sheet1!$A$2:$B$25,2,FALSE)</f>
        <v>0</v>
      </c>
    </row>
    <row r="706" spans="1:7" x14ac:dyDescent="0.25">
      <c r="A706" s="11">
        <v>44576.6875</v>
      </c>
      <c r="B706" s="10">
        <v>306.11599999999999</v>
      </c>
      <c r="C706">
        <f t="shared" ref="C706:C769" si="44">WEEKDAY(A706,2)</f>
        <v>6</v>
      </c>
      <c r="D706">
        <f t="shared" ref="D706:D769" si="45">DAY(A706)</f>
        <v>15</v>
      </c>
      <c r="E706">
        <f t="shared" ref="E706:E769" si="46">HOUR(A706)</f>
        <v>16</v>
      </c>
      <c r="F706">
        <f t="shared" si="43"/>
        <v>0</v>
      </c>
      <c r="G706">
        <f>VLOOKUP(E706,Sheet1!$A$2:$B$25,2,FALSE)</f>
        <v>0</v>
      </c>
    </row>
    <row r="707" spans="1:7" x14ac:dyDescent="0.25">
      <c r="A707" s="11">
        <v>44576.708333333336</v>
      </c>
      <c r="B707" s="10">
        <v>302.18</v>
      </c>
      <c r="C707">
        <f t="shared" si="44"/>
        <v>6</v>
      </c>
      <c r="D707">
        <f t="shared" si="45"/>
        <v>15</v>
      </c>
      <c r="E707">
        <f t="shared" si="46"/>
        <v>17</v>
      </c>
      <c r="F707">
        <f t="shared" ref="F707:F770" si="47">IF(C707&gt;=6,0,1)</f>
        <v>0</v>
      </c>
      <c r="G707">
        <f>VLOOKUP(E707,Sheet1!$A$2:$B$25,2,FALSE)</f>
        <v>0</v>
      </c>
    </row>
    <row r="708" spans="1:7" x14ac:dyDescent="0.25">
      <c r="A708" s="11">
        <v>44576.729166666664</v>
      </c>
      <c r="B708" s="10">
        <v>318.86500000000001</v>
      </c>
      <c r="C708">
        <f t="shared" si="44"/>
        <v>6</v>
      </c>
      <c r="D708">
        <f t="shared" si="45"/>
        <v>15</v>
      </c>
      <c r="E708">
        <f t="shared" si="46"/>
        <v>17</v>
      </c>
      <c r="F708">
        <f t="shared" si="47"/>
        <v>0</v>
      </c>
      <c r="G708">
        <f>VLOOKUP(E708,Sheet1!$A$2:$B$25,2,FALSE)</f>
        <v>0</v>
      </c>
    </row>
    <row r="709" spans="1:7" x14ac:dyDescent="0.25">
      <c r="A709" s="11">
        <v>44576.75</v>
      </c>
      <c r="B709" s="10">
        <v>316.7</v>
      </c>
      <c r="C709">
        <f t="shared" si="44"/>
        <v>6</v>
      </c>
      <c r="D709">
        <f t="shared" si="45"/>
        <v>15</v>
      </c>
      <c r="E709">
        <f t="shared" si="46"/>
        <v>18</v>
      </c>
      <c r="F709">
        <f t="shared" si="47"/>
        <v>0</v>
      </c>
      <c r="G709">
        <f>VLOOKUP(E709,Sheet1!$A$2:$B$25,2,FALSE)</f>
        <v>0</v>
      </c>
    </row>
    <row r="710" spans="1:7" x14ac:dyDescent="0.25">
      <c r="A710" s="11">
        <v>44576.770833333336</v>
      </c>
      <c r="B710" s="10">
        <v>312.14</v>
      </c>
      <c r="C710">
        <f t="shared" si="44"/>
        <v>6</v>
      </c>
      <c r="D710">
        <f t="shared" si="45"/>
        <v>15</v>
      </c>
      <c r="E710">
        <f t="shared" si="46"/>
        <v>18</v>
      </c>
      <c r="F710">
        <f t="shared" si="47"/>
        <v>0</v>
      </c>
      <c r="G710">
        <f>VLOOKUP(E710,Sheet1!$A$2:$B$25,2,FALSE)</f>
        <v>0</v>
      </c>
    </row>
    <row r="711" spans="1:7" x14ac:dyDescent="0.25">
      <c r="A711" s="11">
        <v>44576.791666666664</v>
      </c>
      <c r="B711" s="10">
        <v>308.66000000000003</v>
      </c>
      <c r="C711">
        <f t="shared" si="44"/>
        <v>6</v>
      </c>
      <c r="D711">
        <f t="shared" si="45"/>
        <v>15</v>
      </c>
      <c r="E711">
        <f t="shared" si="46"/>
        <v>19</v>
      </c>
      <c r="F711">
        <f t="shared" si="47"/>
        <v>0</v>
      </c>
      <c r="G711">
        <f>VLOOKUP(E711,Sheet1!$A$2:$B$25,2,FALSE)</f>
        <v>0</v>
      </c>
    </row>
    <row r="712" spans="1:7" x14ac:dyDescent="0.25">
      <c r="A712" s="11">
        <v>44576.8125</v>
      </c>
      <c r="B712" s="10">
        <v>308.54000000000002</v>
      </c>
      <c r="C712">
        <f t="shared" si="44"/>
        <v>6</v>
      </c>
      <c r="D712">
        <f t="shared" si="45"/>
        <v>15</v>
      </c>
      <c r="E712">
        <f t="shared" si="46"/>
        <v>19</v>
      </c>
      <c r="F712">
        <f t="shared" si="47"/>
        <v>0</v>
      </c>
      <c r="G712">
        <f>VLOOKUP(E712,Sheet1!$A$2:$B$25,2,FALSE)</f>
        <v>0</v>
      </c>
    </row>
    <row r="713" spans="1:7" x14ac:dyDescent="0.25">
      <c r="A713" s="11">
        <v>44576.833333333336</v>
      </c>
      <c r="B713" s="10">
        <v>311.27600000000001</v>
      </c>
      <c r="C713">
        <f t="shared" si="44"/>
        <v>6</v>
      </c>
      <c r="D713">
        <f t="shared" si="45"/>
        <v>15</v>
      </c>
      <c r="E713">
        <f t="shared" si="46"/>
        <v>20</v>
      </c>
      <c r="F713">
        <f t="shared" si="47"/>
        <v>0</v>
      </c>
      <c r="G713">
        <f>VLOOKUP(E713,Sheet1!$A$2:$B$25,2,FALSE)</f>
        <v>0</v>
      </c>
    </row>
    <row r="714" spans="1:7" x14ac:dyDescent="0.25">
      <c r="A714" s="11">
        <v>44576.854166666664</v>
      </c>
      <c r="B714" s="10">
        <v>308.161</v>
      </c>
      <c r="C714">
        <f t="shared" si="44"/>
        <v>6</v>
      </c>
      <c r="D714">
        <f t="shared" si="45"/>
        <v>15</v>
      </c>
      <c r="E714">
        <f t="shared" si="46"/>
        <v>20</v>
      </c>
      <c r="F714">
        <f t="shared" si="47"/>
        <v>0</v>
      </c>
      <c r="G714">
        <f>VLOOKUP(E714,Sheet1!$A$2:$B$25,2,FALSE)</f>
        <v>0</v>
      </c>
    </row>
    <row r="715" spans="1:7" x14ac:dyDescent="0.25">
      <c r="A715" s="11">
        <v>44576.875</v>
      </c>
      <c r="B715" s="10">
        <v>307.82</v>
      </c>
      <c r="C715">
        <f t="shared" si="44"/>
        <v>6</v>
      </c>
      <c r="D715">
        <f t="shared" si="45"/>
        <v>15</v>
      </c>
      <c r="E715">
        <f t="shared" si="46"/>
        <v>21</v>
      </c>
      <c r="F715">
        <f t="shared" si="47"/>
        <v>0</v>
      </c>
      <c r="G715">
        <f>VLOOKUP(E715,Sheet1!$A$2:$B$25,2,FALSE)</f>
        <v>0</v>
      </c>
    </row>
    <row r="716" spans="1:7" x14ac:dyDescent="0.25">
      <c r="A716" s="11">
        <v>44576.895833333336</v>
      </c>
      <c r="B716" s="10">
        <v>308.77999999999997</v>
      </c>
      <c r="C716">
        <f t="shared" si="44"/>
        <v>6</v>
      </c>
      <c r="D716">
        <f t="shared" si="45"/>
        <v>15</v>
      </c>
      <c r="E716">
        <f t="shared" si="46"/>
        <v>21</v>
      </c>
      <c r="F716">
        <f t="shared" si="47"/>
        <v>0</v>
      </c>
      <c r="G716">
        <f>VLOOKUP(E716,Sheet1!$A$2:$B$25,2,FALSE)</f>
        <v>0</v>
      </c>
    </row>
    <row r="717" spans="1:7" x14ac:dyDescent="0.25">
      <c r="A717" s="11">
        <v>44576.916666666664</v>
      </c>
      <c r="B717" s="10">
        <v>310.82</v>
      </c>
      <c r="C717">
        <f t="shared" si="44"/>
        <v>6</v>
      </c>
      <c r="D717">
        <f t="shared" si="45"/>
        <v>15</v>
      </c>
      <c r="E717">
        <f t="shared" si="46"/>
        <v>22</v>
      </c>
      <c r="F717">
        <f t="shared" si="47"/>
        <v>0</v>
      </c>
      <c r="G717">
        <f>VLOOKUP(E717,Sheet1!$A$2:$B$25,2,FALSE)</f>
        <v>0</v>
      </c>
    </row>
    <row r="718" spans="1:7" x14ac:dyDescent="0.25">
      <c r="A718" s="11">
        <v>44576.9375</v>
      </c>
      <c r="B718" s="10">
        <v>310.33999999999997</v>
      </c>
      <c r="C718">
        <f t="shared" si="44"/>
        <v>6</v>
      </c>
      <c r="D718">
        <f t="shared" si="45"/>
        <v>15</v>
      </c>
      <c r="E718">
        <f t="shared" si="46"/>
        <v>22</v>
      </c>
      <c r="F718">
        <f t="shared" si="47"/>
        <v>0</v>
      </c>
      <c r="G718">
        <f>VLOOKUP(E718,Sheet1!$A$2:$B$25,2,FALSE)</f>
        <v>0</v>
      </c>
    </row>
    <row r="719" spans="1:7" x14ac:dyDescent="0.25">
      <c r="A719" s="11">
        <v>44576.958333333336</v>
      </c>
      <c r="B719" s="10">
        <v>311.39600000000002</v>
      </c>
      <c r="C719">
        <f t="shared" si="44"/>
        <v>6</v>
      </c>
      <c r="D719">
        <f t="shared" si="45"/>
        <v>15</v>
      </c>
      <c r="E719">
        <f t="shared" si="46"/>
        <v>23</v>
      </c>
      <c r="F719">
        <f t="shared" si="47"/>
        <v>0</v>
      </c>
      <c r="G719">
        <f>VLOOKUP(E719,Sheet1!$A$2:$B$25,2,FALSE)</f>
        <v>0</v>
      </c>
    </row>
    <row r="720" spans="1:7" x14ac:dyDescent="0.25">
      <c r="A720" s="11">
        <v>44576.979166666664</v>
      </c>
      <c r="B720" s="10">
        <v>310.33999999999997</v>
      </c>
      <c r="C720">
        <f t="shared" si="44"/>
        <v>6</v>
      </c>
      <c r="D720">
        <f t="shared" si="45"/>
        <v>15</v>
      </c>
      <c r="E720">
        <f t="shared" si="46"/>
        <v>23</v>
      </c>
      <c r="F720">
        <f t="shared" si="47"/>
        <v>0</v>
      </c>
      <c r="G720">
        <f>VLOOKUP(E720,Sheet1!$A$2:$B$25,2,FALSE)</f>
        <v>0</v>
      </c>
    </row>
    <row r="721" spans="1:7" x14ac:dyDescent="0.25">
      <c r="A721" s="11">
        <v>44577</v>
      </c>
      <c r="B721" s="10">
        <v>316.45999999999998</v>
      </c>
      <c r="C721">
        <f t="shared" si="44"/>
        <v>7</v>
      </c>
      <c r="D721">
        <f t="shared" si="45"/>
        <v>16</v>
      </c>
      <c r="E721">
        <f t="shared" si="46"/>
        <v>0</v>
      </c>
      <c r="F721">
        <f t="shared" si="47"/>
        <v>0</v>
      </c>
      <c r="G721">
        <f>VLOOKUP(E721,Sheet1!$A$2:$B$25,2,FALSE)</f>
        <v>0</v>
      </c>
    </row>
    <row r="722" spans="1:7" x14ac:dyDescent="0.25">
      <c r="A722" s="11">
        <v>44577.020833333336</v>
      </c>
      <c r="B722" s="10">
        <v>320.63600000000002</v>
      </c>
      <c r="C722">
        <f t="shared" si="44"/>
        <v>7</v>
      </c>
      <c r="D722">
        <f t="shared" si="45"/>
        <v>16</v>
      </c>
      <c r="E722">
        <f t="shared" si="46"/>
        <v>0</v>
      </c>
      <c r="F722">
        <f t="shared" si="47"/>
        <v>0</v>
      </c>
      <c r="G722">
        <f>VLOOKUP(E722,Sheet1!$A$2:$B$25,2,FALSE)</f>
        <v>0</v>
      </c>
    </row>
    <row r="723" spans="1:7" x14ac:dyDescent="0.25">
      <c r="A723" s="11">
        <v>44577.041666666664</v>
      </c>
      <c r="B723" s="10">
        <v>319.55599999999998</v>
      </c>
      <c r="C723">
        <f t="shared" si="44"/>
        <v>7</v>
      </c>
      <c r="D723">
        <f t="shared" si="45"/>
        <v>16</v>
      </c>
      <c r="E723">
        <f t="shared" si="46"/>
        <v>1</v>
      </c>
      <c r="F723">
        <f t="shared" si="47"/>
        <v>0</v>
      </c>
      <c r="G723">
        <f>VLOOKUP(E723,Sheet1!$A$2:$B$25,2,FALSE)</f>
        <v>0</v>
      </c>
    </row>
    <row r="724" spans="1:7" x14ac:dyDescent="0.25">
      <c r="A724" s="11">
        <v>44577.0625</v>
      </c>
      <c r="B724" s="10">
        <v>315.14499999999998</v>
      </c>
      <c r="C724">
        <f t="shared" si="44"/>
        <v>7</v>
      </c>
      <c r="D724">
        <f t="shared" si="45"/>
        <v>16</v>
      </c>
      <c r="E724">
        <f t="shared" si="46"/>
        <v>1</v>
      </c>
      <c r="F724">
        <f t="shared" si="47"/>
        <v>0</v>
      </c>
      <c r="G724">
        <f>VLOOKUP(E724,Sheet1!$A$2:$B$25,2,FALSE)</f>
        <v>0</v>
      </c>
    </row>
    <row r="725" spans="1:7" x14ac:dyDescent="0.25">
      <c r="A725" s="11">
        <v>44577.083333333336</v>
      </c>
      <c r="B725" s="10">
        <v>316.916</v>
      </c>
      <c r="C725">
        <f t="shared" si="44"/>
        <v>7</v>
      </c>
      <c r="D725">
        <f t="shared" si="45"/>
        <v>16</v>
      </c>
      <c r="E725">
        <f t="shared" si="46"/>
        <v>2</v>
      </c>
      <c r="F725">
        <f t="shared" si="47"/>
        <v>0</v>
      </c>
      <c r="G725">
        <f>VLOOKUP(E725,Sheet1!$A$2:$B$25,2,FALSE)</f>
        <v>0</v>
      </c>
    </row>
    <row r="726" spans="1:7" x14ac:dyDescent="0.25">
      <c r="A726" s="11">
        <v>44577.104166666664</v>
      </c>
      <c r="B726" s="10">
        <v>317.39600000000002</v>
      </c>
      <c r="C726">
        <f t="shared" si="44"/>
        <v>7</v>
      </c>
      <c r="D726">
        <f t="shared" si="45"/>
        <v>16</v>
      </c>
      <c r="E726">
        <f t="shared" si="46"/>
        <v>2</v>
      </c>
      <c r="F726">
        <f t="shared" si="47"/>
        <v>0</v>
      </c>
      <c r="G726">
        <f>VLOOKUP(E726,Sheet1!$A$2:$B$25,2,FALSE)</f>
        <v>0</v>
      </c>
    </row>
    <row r="727" spans="1:7" x14ac:dyDescent="0.25">
      <c r="A727" s="11">
        <v>44577.125</v>
      </c>
      <c r="B727" s="10">
        <v>313.916</v>
      </c>
      <c r="C727">
        <f t="shared" si="44"/>
        <v>7</v>
      </c>
      <c r="D727">
        <f t="shared" si="45"/>
        <v>16</v>
      </c>
      <c r="E727">
        <f t="shared" si="46"/>
        <v>3</v>
      </c>
      <c r="F727">
        <f t="shared" si="47"/>
        <v>0</v>
      </c>
      <c r="G727">
        <f>VLOOKUP(E727,Sheet1!$A$2:$B$25,2,FALSE)</f>
        <v>0</v>
      </c>
    </row>
    <row r="728" spans="1:7" x14ac:dyDescent="0.25">
      <c r="A728" s="11">
        <v>44577.145833333336</v>
      </c>
      <c r="B728" s="10">
        <v>315.476</v>
      </c>
      <c r="C728">
        <f t="shared" si="44"/>
        <v>7</v>
      </c>
      <c r="D728">
        <f t="shared" si="45"/>
        <v>16</v>
      </c>
      <c r="E728">
        <f t="shared" si="46"/>
        <v>3</v>
      </c>
      <c r="F728">
        <f t="shared" si="47"/>
        <v>0</v>
      </c>
      <c r="G728">
        <f>VLOOKUP(E728,Sheet1!$A$2:$B$25,2,FALSE)</f>
        <v>0</v>
      </c>
    </row>
    <row r="729" spans="1:7" x14ac:dyDescent="0.25">
      <c r="A729" s="11">
        <v>44577.166666666664</v>
      </c>
      <c r="B729" s="10">
        <v>316.10000000000002</v>
      </c>
      <c r="C729">
        <f t="shared" si="44"/>
        <v>7</v>
      </c>
      <c r="D729">
        <f t="shared" si="45"/>
        <v>16</v>
      </c>
      <c r="E729">
        <f t="shared" si="46"/>
        <v>4</v>
      </c>
      <c r="F729">
        <f t="shared" si="47"/>
        <v>0</v>
      </c>
      <c r="G729">
        <f>VLOOKUP(E729,Sheet1!$A$2:$B$25,2,FALSE)</f>
        <v>1</v>
      </c>
    </row>
    <row r="730" spans="1:7" x14ac:dyDescent="0.25">
      <c r="A730" s="11">
        <v>44577.1875</v>
      </c>
      <c r="B730" s="10">
        <v>316.67599999999999</v>
      </c>
      <c r="C730">
        <f t="shared" si="44"/>
        <v>7</v>
      </c>
      <c r="D730">
        <f t="shared" si="45"/>
        <v>16</v>
      </c>
      <c r="E730">
        <f t="shared" si="46"/>
        <v>4</v>
      </c>
      <c r="F730">
        <f t="shared" si="47"/>
        <v>0</v>
      </c>
      <c r="G730">
        <f>VLOOKUP(E730,Sheet1!$A$2:$B$25,2,FALSE)</f>
        <v>1</v>
      </c>
    </row>
    <row r="731" spans="1:7" x14ac:dyDescent="0.25">
      <c r="A731" s="11">
        <v>44577.208333333336</v>
      </c>
      <c r="B731" s="10">
        <v>317.64100000000002</v>
      </c>
      <c r="C731">
        <f t="shared" si="44"/>
        <v>7</v>
      </c>
      <c r="D731">
        <f t="shared" si="45"/>
        <v>16</v>
      </c>
      <c r="E731">
        <f t="shared" si="46"/>
        <v>5</v>
      </c>
      <c r="F731">
        <f t="shared" si="47"/>
        <v>0</v>
      </c>
      <c r="G731">
        <f>VLOOKUP(E731,Sheet1!$A$2:$B$25,2,FALSE)</f>
        <v>1</v>
      </c>
    </row>
    <row r="732" spans="1:7" x14ac:dyDescent="0.25">
      <c r="A732" s="11">
        <v>44577.229166666664</v>
      </c>
      <c r="B732" s="10">
        <v>317.39600000000002</v>
      </c>
      <c r="C732">
        <f t="shared" si="44"/>
        <v>7</v>
      </c>
      <c r="D732">
        <f t="shared" si="45"/>
        <v>16</v>
      </c>
      <c r="E732">
        <f t="shared" si="46"/>
        <v>5</v>
      </c>
      <c r="F732">
        <f t="shared" si="47"/>
        <v>0</v>
      </c>
      <c r="G732">
        <f>VLOOKUP(E732,Sheet1!$A$2:$B$25,2,FALSE)</f>
        <v>1</v>
      </c>
    </row>
    <row r="733" spans="1:7" x14ac:dyDescent="0.25">
      <c r="A733" s="11">
        <v>44577.25</v>
      </c>
      <c r="B733" s="10">
        <v>316.94</v>
      </c>
      <c r="C733">
        <f t="shared" si="44"/>
        <v>7</v>
      </c>
      <c r="D733">
        <f t="shared" si="45"/>
        <v>16</v>
      </c>
      <c r="E733">
        <f t="shared" si="46"/>
        <v>6</v>
      </c>
      <c r="F733">
        <f t="shared" si="47"/>
        <v>0</v>
      </c>
      <c r="G733">
        <f>VLOOKUP(E733,Sheet1!$A$2:$B$25,2,FALSE)</f>
        <v>1</v>
      </c>
    </row>
    <row r="734" spans="1:7" x14ac:dyDescent="0.25">
      <c r="A734" s="11">
        <v>44577.270833333336</v>
      </c>
      <c r="B734" s="10">
        <v>313.916</v>
      </c>
      <c r="C734">
        <f t="shared" si="44"/>
        <v>7</v>
      </c>
      <c r="D734">
        <f t="shared" si="45"/>
        <v>16</v>
      </c>
      <c r="E734">
        <f t="shared" si="46"/>
        <v>6</v>
      </c>
      <c r="F734">
        <f t="shared" si="47"/>
        <v>0</v>
      </c>
      <c r="G734">
        <f>VLOOKUP(E734,Sheet1!$A$2:$B$25,2,FALSE)</f>
        <v>1</v>
      </c>
    </row>
    <row r="735" spans="1:7" x14ac:dyDescent="0.25">
      <c r="A735" s="11">
        <v>44577.291666666664</v>
      </c>
      <c r="B735" s="10">
        <v>315.26499999999999</v>
      </c>
      <c r="C735">
        <f t="shared" si="44"/>
        <v>7</v>
      </c>
      <c r="D735">
        <f t="shared" si="45"/>
        <v>16</v>
      </c>
      <c r="E735">
        <f t="shared" si="46"/>
        <v>7</v>
      </c>
      <c r="F735">
        <f t="shared" si="47"/>
        <v>0</v>
      </c>
      <c r="G735">
        <f>VLOOKUP(E735,Sheet1!$A$2:$B$25,2,FALSE)</f>
        <v>1</v>
      </c>
    </row>
    <row r="736" spans="1:7" x14ac:dyDescent="0.25">
      <c r="A736" s="11">
        <v>44577.3125</v>
      </c>
      <c r="B736" s="10">
        <v>317.77999999999997</v>
      </c>
      <c r="C736">
        <f t="shared" si="44"/>
        <v>7</v>
      </c>
      <c r="D736">
        <f t="shared" si="45"/>
        <v>16</v>
      </c>
      <c r="E736">
        <f t="shared" si="46"/>
        <v>7</v>
      </c>
      <c r="F736">
        <f t="shared" si="47"/>
        <v>0</v>
      </c>
      <c r="G736">
        <f>VLOOKUP(E736,Sheet1!$A$2:$B$25,2,FALSE)</f>
        <v>1</v>
      </c>
    </row>
    <row r="737" spans="1:7" x14ac:dyDescent="0.25">
      <c r="A737" s="11">
        <v>44577.333333333336</v>
      </c>
      <c r="B737" s="10">
        <v>321.83600000000001</v>
      </c>
      <c r="C737">
        <f t="shared" si="44"/>
        <v>7</v>
      </c>
      <c r="D737">
        <f t="shared" si="45"/>
        <v>16</v>
      </c>
      <c r="E737">
        <f t="shared" si="46"/>
        <v>8</v>
      </c>
      <c r="F737">
        <f t="shared" si="47"/>
        <v>0</v>
      </c>
      <c r="G737">
        <f>VLOOKUP(E737,Sheet1!$A$2:$B$25,2,FALSE)</f>
        <v>1</v>
      </c>
    </row>
    <row r="738" spans="1:7" x14ac:dyDescent="0.25">
      <c r="A738" s="11">
        <v>44577.354166666664</v>
      </c>
      <c r="B738" s="10">
        <v>307.34500000000003</v>
      </c>
      <c r="C738">
        <f t="shared" si="44"/>
        <v>7</v>
      </c>
      <c r="D738">
        <f t="shared" si="45"/>
        <v>16</v>
      </c>
      <c r="E738">
        <f t="shared" si="46"/>
        <v>8</v>
      </c>
      <c r="F738">
        <f t="shared" si="47"/>
        <v>0</v>
      </c>
      <c r="G738">
        <f>VLOOKUP(E738,Sheet1!$A$2:$B$25,2,FALSE)</f>
        <v>1</v>
      </c>
    </row>
    <row r="739" spans="1:7" x14ac:dyDescent="0.25">
      <c r="A739" s="11">
        <v>44577.375</v>
      </c>
      <c r="B739" s="10">
        <v>304.67599999999999</v>
      </c>
      <c r="C739">
        <f t="shared" si="44"/>
        <v>7</v>
      </c>
      <c r="D739">
        <f t="shared" si="45"/>
        <v>16</v>
      </c>
      <c r="E739">
        <f t="shared" si="46"/>
        <v>9</v>
      </c>
      <c r="F739">
        <f t="shared" si="47"/>
        <v>0</v>
      </c>
      <c r="G739">
        <f>VLOOKUP(E739,Sheet1!$A$2:$B$25,2,FALSE)</f>
        <v>1</v>
      </c>
    </row>
    <row r="740" spans="1:7" x14ac:dyDescent="0.25">
      <c r="A740" s="11">
        <v>44577.395833333336</v>
      </c>
      <c r="B740" s="10">
        <v>303.95600000000002</v>
      </c>
      <c r="C740">
        <f t="shared" si="44"/>
        <v>7</v>
      </c>
      <c r="D740">
        <f t="shared" si="45"/>
        <v>16</v>
      </c>
      <c r="E740">
        <f t="shared" si="46"/>
        <v>9</v>
      </c>
      <c r="F740">
        <f t="shared" si="47"/>
        <v>0</v>
      </c>
      <c r="G740">
        <f>VLOOKUP(E740,Sheet1!$A$2:$B$25,2,FALSE)</f>
        <v>1</v>
      </c>
    </row>
    <row r="741" spans="1:7" x14ac:dyDescent="0.25">
      <c r="A741" s="11">
        <v>44577.416666666664</v>
      </c>
      <c r="B741" s="10">
        <v>305.63600000000002</v>
      </c>
      <c r="C741">
        <f t="shared" si="44"/>
        <v>7</v>
      </c>
      <c r="D741">
        <f t="shared" si="45"/>
        <v>16</v>
      </c>
      <c r="E741">
        <f t="shared" si="46"/>
        <v>10</v>
      </c>
      <c r="F741">
        <f t="shared" si="47"/>
        <v>0</v>
      </c>
      <c r="G741">
        <f>VLOOKUP(E741,Sheet1!$A$2:$B$25,2,FALSE)</f>
        <v>1</v>
      </c>
    </row>
    <row r="742" spans="1:7" x14ac:dyDescent="0.25">
      <c r="A742" s="11">
        <v>44577.4375</v>
      </c>
      <c r="B742" s="10">
        <v>310.32100000000003</v>
      </c>
      <c r="C742">
        <f t="shared" si="44"/>
        <v>7</v>
      </c>
      <c r="D742">
        <f t="shared" si="45"/>
        <v>16</v>
      </c>
      <c r="E742">
        <f t="shared" si="46"/>
        <v>10</v>
      </c>
      <c r="F742">
        <f t="shared" si="47"/>
        <v>0</v>
      </c>
      <c r="G742">
        <f>VLOOKUP(E742,Sheet1!$A$2:$B$25,2,FALSE)</f>
        <v>1</v>
      </c>
    </row>
    <row r="743" spans="1:7" x14ac:dyDescent="0.25">
      <c r="A743" s="11">
        <v>44577.458333333336</v>
      </c>
      <c r="B743" s="10">
        <v>305.99599999999998</v>
      </c>
      <c r="C743">
        <f t="shared" si="44"/>
        <v>7</v>
      </c>
      <c r="D743">
        <f t="shared" si="45"/>
        <v>16</v>
      </c>
      <c r="E743">
        <f t="shared" si="46"/>
        <v>11</v>
      </c>
      <c r="F743">
        <f t="shared" si="47"/>
        <v>0</v>
      </c>
      <c r="G743">
        <f>VLOOKUP(E743,Sheet1!$A$2:$B$25,2,FALSE)</f>
        <v>1</v>
      </c>
    </row>
    <row r="744" spans="1:7" x14ac:dyDescent="0.25">
      <c r="A744" s="11">
        <v>44577.479166666664</v>
      </c>
      <c r="B744" s="10">
        <v>308.77999999999997</v>
      </c>
      <c r="C744">
        <f t="shared" si="44"/>
        <v>7</v>
      </c>
      <c r="D744">
        <f t="shared" si="45"/>
        <v>16</v>
      </c>
      <c r="E744">
        <f t="shared" si="46"/>
        <v>11</v>
      </c>
      <c r="F744">
        <f t="shared" si="47"/>
        <v>0</v>
      </c>
      <c r="G744">
        <f>VLOOKUP(E744,Sheet1!$A$2:$B$25,2,FALSE)</f>
        <v>1</v>
      </c>
    </row>
    <row r="745" spans="1:7" x14ac:dyDescent="0.25">
      <c r="A745" s="11">
        <v>44577.5</v>
      </c>
      <c r="B745" s="10">
        <v>307.33999999999997</v>
      </c>
      <c r="C745">
        <f t="shared" si="44"/>
        <v>7</v>
      </c>
      <c r="D745">
        <f t="shared" si="45"/>
        <v>16</v>
      </c>
      <c r="E745">
        <f t="shared" si="46"/>
        <v>12</v>
      </c>
      <c r="F745">
        <f t="shared" si="47"/>
        <v>0</v>
      </c>
      <c r="G745">
        <f>VLOOKUP(E745,Sheet1!$A$2:$B$25,2,FALSE)</f>
        <v>1</v>
      </c>
    </row>
    <row r="746" spans="1:7" x14ac:dyDescent="0.25">
      <c r="A746" s="11">
        <v>44577.520833333336</v>
      </c>
      <c r="B746" s="10">
        <v>307.20100000000002</v>
      </c>
      <c r="C746">
        <f t="shared" si="44"/>
        <v>7</v>
      </c>
      <c r="D746">
        <f t="shared" si="45"/>
        <v>16</v>
      </c>
      <c r="E746">
        <f t="shared" si="46"/>
        <v>12</v>
      </c>
      <c r="F746">
        <f t="shared" si="47"/>
        <v>0</v>
      </c>
      <c r="G746">
        <f>VLOOKUP(E746,Sheet1!$A$2:$B$25,2,FALSE)</f>
        <v>1</v>
      </c>
    </row>
    <row r="747" spans="1:7" x14ac:dyDescent="0.25">
      <c r="A747" s="11">
        <v>44577.541666666664</v>
      </c>
      <c r="B747" s="10">
        <v>320.27600000000001</v>
      </c>
      <c r="C747">
        <f t="shared" si="44"/>
        <v>7</v>
      </c>
      <c r="D747">
        <f t="shared" si="45"/>
        <v>16</v>
      </c>
      <c r="E747">
        <f t="shared" si="46"/>
        <v>13</v>
      </c>
      <c r="F747">
        <f t="shared" si="47"/>
        <v>0</v>
      </c>
      <c r="G747">
        <f>VLOOKUP(E747,Sheet1!$A$2:$B$25,2,FALSE)</f>
        <v>1</v>
      </c>
    </row>
    <row r="748" spans="1:7" x14ac:dyDescent="0.25">
      <c r="A748" s="11">
        <v>44577.5625</v>
      </c>
      <c r="B748" s="10">
        <v>303.86</v>
      </c>
      <c r="C748">
        <f t="shared" si="44"/>
        <v>7</v>
      </c>
      <c r="D748">
        <f t="shared" si="45"/>
        <v>16</v>
      </c>
      <c r="E748">
        <f t="shared" si="46"/>
        <v>13</v>
      </c>
      <c r="F748">
        <f t="shared" si="47"/>
        <v>0</v>
      </c>
      <c r="G748">
        <f>VLOOKUP(E748,Sheet1!$A$2:$B$25,2,FALSE)</f>
        <v>1</v>
      </c>
    </row>
    <row r="749" spans="1:7" x14ac:dyDescent="0.25">
      <c r="A749" s="11">
        <v>44577.583333333336</v>
      </c>
      <c r="B749" s="10">
        <v>300.14499999999998</v>
      </c>
      <c r="C749">
        <f t="shared" si="44"/>
        <v>7</v>
      </c>
      <c r="D749">
        <f t="shared" si="45"/>
        <v>16</v>
      </c>
      <c r="E749">
        <f t="shared" si="46"/>
        <v>14</v>
      </c>
      <c r="F749">
        <f t="shared" si="47"/>
        <v>0</v>
      </c>
      <c r="G749">
        <f>VLOOKUP(E749,Sheet1!$A$2:$B$25,2,FALSE)</f>
        <v>1</v>
      </c>
    </row>
    <row r="750" spans="1:7" x14ac:dyDescent="0.25">
      <c r="A750" s="11">
        <v>44577.604166666664</v>
      </c>
      <c r="B750" s="10">
        <v>307.7</v>
      </c>
      <c r="C750">
        <f t="shared" si="44"/>
        <v>7</v>
      </c>
      <c r="D750">
        <f t="shared" si="45"/>
        <v>16</v>
      </c>
      <c r="E750">
        <f t="shared" si="46"/>
        <v>14</v>
      </c>
      <c r="F750">
        <f t="shared" si="47"/>
        <v>0</v>
      </c>
      <c r="G750">
        <f>VLOOKUP(E750,Sheet1!$A$2:$B$25,2,FALSE)</f>
        <v>1</v>
      </c>
    </row>
    <row r="751" spans="1:7" x14ac:dyDescent="0.25">
      <c r="A751" s="11">
        <v>44577.625</v>
      </c>
      <c r="B751" s="10">
        <v>300.62</v>
      </c>
      <c r="C751">
        <f t="shared" si="44"/>
        <v>7</v>
      </c>
      <c r="D751">
        <f t="shared" si="45"/>
        <v>16</v>
      </c>
      <c r="E751">
        <f t="shared" si="46"/>
        <v>15</v>
      </c>
      <c r="F751">
        <f t="shared" si="47"/>
        <v>0</v>
      </c>
      <c r="G751">
        <f>VLOOKUP(E751,Sheet1!$A$2:$B$25,2,FALSE)</f>
        <v>1</v>
      </c>
    </row>
    <row r="752" spans="1:7" x14ac:dyDescent="0.25">
      <c r="A752" s="11">
        <v>44577.645833333336</v>
      </c>
      <c r="B752" s="10">
        <v>297.86</v>
      </c>
      <c r="C752">
        <f t="shared" si="44"/>
        <v>7</v>
      </c>
      <c r="D752">
        <f t="shared" si="45"/>
        <v>16</v>
      </c>
      <c r="E752">
        <f t="shared" si="46"/>
        <v>15</v>
      </c>
      <c r="F752">
        <f t="shared" si="47"/>
        <v>0</v>
      </c>
      <c r="G752">
        <f>VLOOKUP(E752,Sheet1!$A$2:$B$25,2,FALSE)</f>
        <v>1</v>
      </c>
    </row>
    <row r="753" spans="1:7" x14ac:dyDescent="0.25">
      <c r="A753" s="11">
        <v>44577.666666666664</v>
      </c>
      <c r="B753" s="10">
        <v>297.96100000000001</v>
      </c>
      <c r="C753">
        <f t="shared" si="44"/>
        <v>7</v>
      </c>
      <c r="D753">
        <f t="shared" si="45"/>
        <v>16</v>
      </c>
      <c r="E753">
        <f t="shared" si="46"/>
        <v>16</v>
      </c>
      <c r="F753">
        <f t="shared" si="47"/>
        <v>0</v>
      </c>
      <c r="G753">
        <f>VLOOKUP(E753,Sheet1!$A$2:$B$25,2,FALSE)</f>
        <v>0</v>
      </c>
    </row>
    <row r="754" spans="1:7" x14ac:dyDescent="0.25">
      <c r="A754" s="11">
        <v>44577.6875</v>
      </c>
      <c r="B754" s="10">
        <v>297.98</v>
      </c>
      <c r="C754">
        <f t="shared" si="44"/>
        <v>7</v>
      </c>
      <c r="D754">
        <f t="shared" si="45"/>
        <v>16</v>
      </c>
      <c r="E754">
        <f t="shared" si="46"/>
        <v>16</v>
      </c>
      <c r="F754">
        <f t="shared" si="47"/>
        <v>0</v>
      </c>
      <c r="G754">
        <f>VLOOKUP(E754,Sheet1!$A$2:$B$25,2,FALSE)</f>
        <v>0</v>
      </c>
    </row>
    <row r="755" spans="1:7" x14ac:dyDescent="0.25">
      <c r="A755" s="11">
        <v>44577.708333333336</v>
      </c>
      <c r="B755" s="10">
        <v>299.27600000000001</v>
      </c>
      <c r="C755">
        <f t="shared" si="44"/>
        <v>7</v>
      </c>
      <c r="D755">
        <f t="shared" si="45"/>
        <v>16</v>
      </c>
      <c r="E755">
        <f t="shared" si="46"/>
        <v>17</v>
      </c>
      <c r="F755">
        <f t="shared" si="47"/>
        <v>0</v>
      </c>
      <c r="G755">
        <f>VLOOKUP(E755,Sheet1!$A$2:$B$25,2,FALSE)</f>
        <v>0</v>
      </c>
    </row>
    <row r="756" spans="1:7" x14ac:dyDescent="0.25">
      <c r="A756" s="11">
        <v>44577.729166666664</v>
      </c>
      <c r="B756" s="10">
        <v>312.5</v>
      </c>
      <c r="C756">
        <f t="shared" si="44"/>
        <v>7</v>
      </c>
      <c r="D756">
        <f t="shared" si="45"/>
        <v>16</v>
      </c>
      <c r="E756">
        <f t="shared" si="46"/>
        <v>17</v>
      </c>
      <c r="F756">
        <f t="shared" si="47"/>
        <v>0</v>
      </c>
      <c r="G756">
        <f>VLOOKUP(E756,Sheet1!$A$2:$B$25,2,FALSE)</f>
        <v>0</v>
      </c>
    </row>
    <row r="757" spans="1:7" x14ac:dyDescent="0.25">
      <c r="A757" s="11">
        <v>44577.75</v>
      </c>
      <c r="B757" s="10">
        <v>310.68099999999998</v>
      </c>
      <c r="C757">
        <f t="shared" si="44"/>
        <v>7</v>
      </c>
      <c r="D757">
        <f t="shared" si="45"/>
        <v>16</v>
      </c>
      <c r="E757">
        <f t="shared" si="46"/>
        <v>18</v>
      </c>
      <c r="F757">
        <f t="shared" si="47"/>
        <v>0</v>
      </c>
      <c r="G757">
        <f>VLOOKUP(E757,Sheet1!$A$2:$B$25,2,FALSE)</f>
        <v>0</v>
      </c>
    </row>
    <row r="758" spans="1:7" x14ac:dyDescent="0.25">
      <c r="A758" s="11">
        <v>44577.770833333336</v>
      </c>
      <c r="B758" s="10">
        <v>308.06</v>
      </c>
      <c r="C758">
        <f t="shared" si="44"/>
        <v>7</v>
      </c>
      <c r="D758">
        <f t="shared" si="45"/>
        <v>16</v>
      </c>
      <c r="E758">
        <f t="shared" si="46"/>
        <v>18</v>
      </c>
      <c r="F758">
        <f t="shared" si="47"/>
        <v>0</v>
      </c>
      <c r="G758">
        <f>VLOOKUP(E758,Sheet1!$A$2:$B$25,2,FALSE)</f>
        <v>0</v>
      </c>
    </row>
    <row r="759" spans="1:7" x14ac:dyDescent="0.25">
      <c r="A759" s="11">
        <v>44577.791666666664</v>
      </c>
      <c r="B759" s="10">
        <v>305.15600000000001</v>
      </c>
      <c r="C759">
        <f t="shared" si="44"/>
        <v>7</v>
      </c>
      <c r="D759">
        <f t="shared" si="45"/>
        <v>16</v>
      </c>
      <c r="E759">
        <f t="shared" si="46"/>
        <v>19</v>
      </c>
      <c r="F759">
        <f t="shared" si="47"/>
        <v>0</v>
      </c>
      <c r="G759">
        <f>VLOOKUP(E759,Sheet1!$A$2:$B$25,2,FALSE)</f>
        <v>0</v>
      </c>
    </row>
    <row r="760" spans="1:7" x14ac:dyDescent="0.25">
      <c r="A760" s="11">
        <v>44577.8125</v>
      </c>
      <c r="B760" s="10">
        <v>297.505</v>
      </c>
      <c r="C760">
        <f t="shared" si="44"/>
        <v>7</v>
      </c>
      <c r="D760">
        <f t="shared" si="45"/>
        <v>16</v>
      </c>
      <c r="E760">
        <f t="shared" si="46"/>
        <v>19</v>
      </c>
      <c r="F760">
        <f t="shared" si="47"/>
        <v>0</v>
      </c>
      <c r="G760">
        <f>VLOOKUP(E760,Sheet1!$A$2:$B$25,2,FALSE)</f>
        <v>0</v>
      </c>
    </row>
    <row r="761" spans="1:7" x14ac:dyDescent="0.25">
      <c r="A761" s="11">
        <v>44577.833333333336</v>
      </c>
      <c r="B761" s="10">
        <v>300.95600000000002</v>
      </c>
      <c r="C761">
        <f t="shared" si="44"/>
        <v>7</v>
      </c>
      <c r="D761">
        <f t="shared" si="45"/>
        <v>16</v>
      </c>
      <c r="E761">
        <f t="shared" si="46"/>
        <v>20</v>
      </c>
      <c r="F761">
        <f t="shared" si="47"/>
        <v>0</v>
      </c>
      <c r="G761">
        <f>VLOOKUP(E761,Sheet1!$A$2:$B$25,2,FALSE)</f>
        <v>0</v>
      </c>
    </row>
    <row r="762" spans="1:7" x14ac:dyDescent="0.25">
      <c r="A762" s="11">
        <v>44577.854166666664</v>
      </c>
      <c r="B762" s="10">
        <v>301.19600000000003</v>
      </c>
      <c r="C762">
        <f t="shared" si="44"/>
        <v>7</v>
      </c>
      <c r="D762">
        <f t="shared" si="45"/>
        <v>16</v>
      </c>
      <c r="E762">
        <f t="shared" si="46"/>
        <v>20</v>
      </c>
      <c r="F762">
        <f t="shared" si="47"/>
        <v>0</v>
      </c>
      <c r="G762">
        <f>VLOOKUP(E762,Sheet1!$A$2:$B$25,2,FALSE)</f>
        <v>0</v>
      </c>
    </row>
    <row r="763" spans="1:7" x14ac:dyDescent="0.25">
      <c r="A763" s="11">
        <v>44577.875</v>
      </c>
      <c r="B763" s="10">
        <v>305.51600000000002</v>
      </c>
      <c r="C763">
        <f t="shared" si="44"/>
        <v>7</v>
      </c>
      <c r="D763">
        <f t="shared" si="45"/>
        <v>16</v>
      </c>
      <c r="E763">
        <f t="shared" si="46"/>
        <v>21</v>
      </c>
      <c r="F763">
        <f t="shared" si="47"/>
        <v>0</v>
      </c>
      <c r="G763">
        <f>VLOOKUP(E763,Sheet1!$A$2:$B$25,2,FALSE)</f>
        <v>0</v>
      </c>
    </row>
    <row r="764" spans="1:7" x14ac:dyDescent="0.25">
      <c r="A764" s="11">
        <v>44577.895833333336</v>
      </c>
      <c r="B764" s="10">
        <v>306.26499999999999</v>
      </c>
      <c r="C764">
        <f t="shared" si="44"/>
        <v>7</v>
      </c>
      <c r="D764">
        <f t="shared" si="45"/>
        <v>16</v>
      </c>
      <c r="E764">
        <f t="shared" si="46"/>
        <v>21</v>
      </c>
      <c r="F764">
        <f t="shared" si="47"/>
        <v>0</v>
      </c>
      <c r="G764">
        <f>VLOOKUP(E764,Sheet1!$A$2:$B$25,2,FALSE)</f>
        <v>0</v>
      </c>
    </row>
    <row r="765" spans="1:7" x14ac:dyDescent="0.25">
      <c r="A765" s="11">
        <v>44577.916666666664</v>
      </c>
      <c r="B765" s="10">
        <v>305.18</v>
      </c>
      <c r="C765">
        <f t="shared" si="44"/>
        <v>7</v>
      </c>
      <c r="D765">
        <f t="shared" si="45"/>
        <v>16</v>
      </c>
      <c r="E765">
        <f t="shared" si="46"/>
        <v>22</v>
      </c>
      <c r="F765">
        <f t="shared" si="47"/>
        <v>0</v>
      </c>
      <c r="G765">
        <f>VLOOKUP(E765,Sheet1!$A$2:$B$25,2,FALSE)</f>
        <v>0</v>
      </c>
    </row>
    <row r="766" spans="1:7" x14ac:dyDescent="0.25">
      <c r="A766" s="11">
        <v>44577.9375</v>
      </c>
      <c r="B766" s="10">
        <v>303.62</v>
      </c>
      <c r="C766">
        <f t="shared" si="44"/>
        <v>7</v>
      </c>
      <c r="D766">
        <f t="shared" si="45"/>
        <v>16</v>
      </c>
      <c r="E766">
        <f t="shared" si="46"/>
        <v>22</v>
      </c>
      <c r="F766">
        <f t="shared" si="47"/>
        <v>0</v>
      </c>
      <c r="G766">
        <f>VLOOKUP(E766,Sheet1!$A$2:$B$25,2,FALSE)</f>
        <v>0</v>
      </c>
    </row>
    <row r="767" spans="1:7" x14ac:dyDescent="0.25">
      <c r="A767" s="11">
        <v>44577.958333333336</v>
      </c>
      <c r="B767" s="10">
        <v>298.92099999999999</v>
      </c>
      <c r="C767">
        <f t="shared" si="44"/>
        <v>7</v>
      </c>
      <c r="D767">
        <f t="shared" si="45"/>
        <v>16</v>
      </c>
      <c r="E767">
        <f t="shared" si="46"/>
        <v>23</v>
      </c>
      <c r="F767">
        <f t="shared" si="47"/>
        <v>0</v>
      </c>
      <c r="G767">
        <f>VLOOKUP(E767,Sheet1!$A$2:$B$25,2,FALSE)</f>
        <v>0</v>
      </c>
    </row>
    <row r="768" spans="1:7" x14ac:dyDescent="0.25">
      <c r="A768" s="11">
        <v>44577.979166666664</v>
      </c>
      <c r="B768" s="10">
        <v>298.916</v>
      </c>
      <c r="C768">
        <f t="shared" si="44"/>
        <v>7</v>
      </c>
      <c r="D768">
        <f t="shared" si="45"/>
        <v>16</v>
      </c>
      <c r="E768">
        <f t="shared" si="46"/>
        <v>23</v>
      </c>
      <c r="F768">
        <f t="shared" si="47"/>
        <v>0</v>
      </c>
      <c r="G768">
        <f>VLOOKUP(E768,Sheet1!$A$2:$B$25,2,FALSE)</f>
        <v>0</v>
      </c>
    </row>
    <row r="769" spans="1:7" x14ac:dyDescent="0.25">
      <c r="A769" s="11">
        <v>44578</v>
      </c>
      <c r="B769" s="10">
        <v>296.77999999999997</v>
      </c>
      <c r="C769">
        <f t="shared" si="44"/>
        <v>1</v>
      </c>
      <c r="D769">
        <f t="shared" si="45"/>
        <v>17</v>
      </c>
      <c r="E769">
        <f t="shared" si="46"/>
        <v>0</v>
      </c>
      <c r="F769">
        <f t="shared" si="47"/>
        <v>1</v>
      </c>
      <c r="G769">
        <f>VLOOKUP(E769,Sheet1!$A$2:$B$25,2,FALSE)</f>
        <v>0</v>
      </c>
    </row>
    <row r="770" spans="1:7" x14ac:dyDescent="0.25">
      <c r="A770" s="11">
        <v>44578.020833333336</v>
      </c>
      <c r="B770" s="10">
        <v>301.68099999999998</v>
      </c>
      <c r="C770">
        <f t="shared" ref="C770:C833" si="48">WEEKDAY(A770,2)</f>
        <v>1</v>
      </c>
      <c r="D770">
        <f t="shared" ref="D770:D833" si="49">DAY(A770)</f>
        <v>17</v>
      </c>
      <c r="E770">
        <f t="shared" ref="E770:E833" si="50">HOUR(A770)</f>
        <v>0</v>
      </c>
      <c r="F770">
        <f t="shared" si="47"/>
        <v>1</v>
      </c>
      <c r="G770">
        <f>VLOOKUP(E770,Sheet1!$A$2:$B$25,2,FALSE)</f>
        <v>0</v>
      </c>
    </row>
    <row r="771" spans="1:7" x14ac:dyDescent="0.25">
      <c r="A771" s="11">
        <v>44578.041666666664</v>
      </c>
      <c r="B771" s="10">
        <v>295.79599999999999</v>
      </c>
      <c r="C771">
        <f t="shared" si="48"/>
        <v>1</v>
      </c>
      <c r="D771">
        <f t="shared" si="49"/>
        <v>17</v>
      </c>
      <c r="E771">
        <f t="shared" si="50"/>
        <v>1</v>
      </c>
      <c r="F771">
        <f t="shared" ref="F771:F834" si="51">IF(C771&gt;=6,0,1)</f>
        <v>1</v>
      </c>
      <c r="G771">
        <f>VLOOKUP(E771,Sheet1!$A$2:$B$25,2,FALSE)</f>
        <v>0</v>
      </c>
    </row>
    <row r="772" spans="1:7" x14ac:dyDescent="0.25">
      <c r="A772" s="11">
        <v>44578.0625</v>
      </c>
      <c r="B772" s="10">
        <v>295.19600000000003</v>
      </c>
      <c r="C772">
        <f t="shared" si="48"/>
        <v>1</v>
      </c>
      <c r="D772">
        <f t="shared" si="49"/>
        <v>17</v>
      </c>
      <c r="E772">
        <f t="shared" si="50"/>
        <v>1</v>
      </c>
      <c r="F772">
        <f t="shared" si="51"/>
        <v>1</v>
      </c>
      <c r="G772">
        <f>VLOOKUP(E772,Sheet1!$A$2:$B$25,2,FALSE)</f>
        <v>0</v>
      </c>
    </row>
    <row r="773" spans="1:7" x14ac:dyDescent="0.25">
      <c r="A773" s="11">
        <v>44578.083333333336</v>
      </c>
      <c r="B773" s="10">
        <v>300.14</v>
      </c>
      <c r="C773">
        <f t="shared" si="48"/>
        <v>1</v>
      </c>
      <c r="D773">
        <f t="shared" si="49"/>
        <v>17</v>
      </c>
      <c r="E773">
        <f t="shared" si="50"/>
        <v>2</v>
      </c>
      <c r="F773">
        <f t="shared" si="51"/>
        <v>1</v>
      </c>
      <c r="G773">
        <f>VLOOKUP(E773,Sheet1!$A$2:$B$25,2,FALSE)</f>
        <v>0</v>
      </c>
    </row>
    <row r="774" spans="1:7" x14ac:dyDescent="0.25">
      <c r="A774" s="11">
        <v>44578.104166666664</v>
      </c>
      <c r="B774" s="10">
        <v>300.14499999999998</v>
      </c>
      <c r="C774">
        <f t="shared" si="48"/>
        <v>1</v>
      </c>
      <c r="D774">
        <f t="shared" si="49"/>
        <v>17</v>
      </c>
      <c r="E774">
        <f t="shared" si="50"/>
        <v>2</v>
      </c>
      <c r="F774">
        <f t="shared" si="51"/>
        <v>1</v>
      </c>
      <c r="G774">
        <f>VLOOKUP(E774,Sheet1!$A$2:$B$25,2,FALSE)</f>
        <v>0</v>
      </c>
    </row>
    <row r="775" spans="1:7" x14ac:dyDescent="0.25">
      <c r="A775" s="11">
        <v>44578.125</v>
      </c>
      <c r="B775" s="10">
        <v>302.42</v>
      </c>
      <c r="C775">
        <f t="shared" si="48"/>
        <v>1</v>
      </c>
      <c r="D775">
        <f t="shared" si="49"/>
        <v>17</v>
      </c>
      <c r="E775">
        <f t="shared" si="50"/>
        <v>3</v>
      </c>
      <c r="F775">
        <f t="shared" si="51"/>
        <v>1</v>
      </c>
      <c r="G775">
        <f>VLOOKUP(E775,Sheet1!$A$2:$B$25,2,FALSE)</f>
        <v>0</v>
      </c>
    </row>
    <row r="776" spans="1:7" x14ac:dyDescent="0.25">
      <c r="A776" s="11">
        <v>44578.145833333336</v>
      </c>
      <c r="B776" s="10">
        <v>300.02</v>
      </c>
      <c r="C776">
        <f t="shared" si="48"/>
        <v>1</v>
      </c>
      <c r="D776">
        <f t="shared" si="49"/>
        <v>17</v>
      </c>
      <c r="E776">
        <f t="shared" si="50"/>
        <v>3</v>
      </c>
      <c r="F776">
        <f t="shared" si="51"/>
        <v>1</v>
      </c>
      <c r="G776">
        <f>VLOOKUP(E776,Sheet1!$A$2:$B$25,2,FALSE)</f>
        <v>0</v>
      </c>
    </row>
    <row r="777" spans="1:7" x14ac:dyDescent="0.25">
      <c r="A777" s="11">
        <v>44578.166666666664</v>
      </c>
      <c r="B777" s="10">
        <v>344.3</v>
      </c>
      <c r="C777">
        <f t="shared" si="48"/>
        <v>1</v>
      </c>
      <c r="D777">
        <f t="shared" si="49"/>
        <v>17</v>
      </c>
      <c r="E777">
        <f t="shared" si="50"/>
        <v>4</v>
      </c>
      <c r="F777">
        <f t="shared" si="51"/>
        <v>1</v>
      </c>
      <c r="G777">
        <f>VLOOKUP(E777,Sheet1!$A$2:$B$25,2,FALSE)</f>
        <v>1</v>
      </c>
    </row>
    <row r="778" spans="1:7" x14ac:dyDescent="0.25">
      <c r="A778" s="11">
        <v>44578.1875</v>
      </c>
      <c r="B778" s="10">
        <v>1079.54</v>
      </c>
      <c r="C778">
        <f t="shared" si="48"/>
        <v>1</v>
      </c>
      <c r="D778">
        <f t="shared" si="49"/>
        <v>17</v>
      </c>
      <c r="E778">
        <f t="shared" si="50"/>
        <v>4</v>
      </c>
      <c r="F778">
        <f t="shared" si="51"/>
        <v>1</v>
      </c>
      <c r="G778">
        <f>VLOOKUP(E778,Sheet1!$A$2:$B$25,2,FALSE)</f>
        <v>1</v>
      </c>
    </row>
    <row r="779" spans="1:7" x14ac:dyDescent="0.25">
      <c r="A779" s="11">
        <v>44578.208333333336</v>
      </c>
      <c r="B779" s="10">
        <v>817.19600000000003</v>
      </c>
      <c r="C779">
        <f t="shared" si="48"/>
        <v>1</v>
      </c>
      <c r="D779">
        <f t="shared" si="49"/>
        <v>17</v>
      </c>
      <c r="E779">
        <f t="shared" si="50"/>
        <v>5</v>
      </c>
      <c r="F779">
        <f t="shared" si="51"/>
        <v>1</v>
      </c>
      <c r="G779">
        <f>VLOOKUP(E779,Sheet1!$A$2:$B$25,2,FALSE)</f>
        <v>1</v>
      </c>
    </row>
    <row r="780" spans="1:7" x14ac:dyDescent="0.25">
      <c r="A780" s="11">
        <v>44578.229166666664</v>
      </c>
      <c r="B780" s="10">
        <v>797.75599999999997</v>
      </c>
      <c r="C780">
        <f t="shared" si="48"/>
        <v>1</v>
      </c>
      <c r="D780">
        <f t="shared" si="49"/>
        <v>17</v>
      </c>
      <c r="E780">
        <f t="shared" si="50"/>
        <v>5</v>
      </c>
      <c r="F780">
        <f t="shared" si="51"/>
        <v>1</v>
      </c>
      <c r="G780">
        <f>VLOOKUP(E780,Sheet1!$A$2:$B$25,2,FALSE)</f>
        <v>1</v>
      </c>
    </row>
    <row r="781" spans="1:7" x14ac:dyDescent="0.25">
      <c r="A781" s="11">
        <v>44578.25</v>
      </c>
      <c r="B781" s="10">
        <v>785.90499999999997</v>
      </c>
      <c r="C781">
        <f t="shared" si="48"/>
        <v>1</v>
      </c>
      <c r="D781">
        <f t="shared" si="49"/>
        <v>17</v>
      </c>
      <c r="E781">
        <f t="shared" si="50"/>
        <v>6</v>
      </c>
      <c r="F781">
        <f t="shared" si="51"/>
        <v>1</v>
      </c>
      <c r="G781">
        <f>VLOOKUP(E781,Sheet1!$A$2:$B$25,2,FALSE)</f>
        <v>1</v>
      </c>
    </row>
    <row r="782" spans="1:7" x14ac:dyDescent="0.25">
      <c r="A782" s="11">
        <v>44578.270833333336</v>
      </c>
      <c r="B782" s="10">
        <v>933.14</v>
      </c>
      <c r="C782">
        <f t="shared" si="48"/>
        <v>1</v>
      </c>
      <c r="D782">
        <f t="shared" si="49"/>
        <v>17</v>
      </c>
      <c r="E782">
        <f t="shared" si="50"/>
        <v>6</v>
      </c>
      <c r="F782">
        <f t="shared" si="51"/>
        <v>1</v>
      </c>
      <c r="G782">
        <f>VLOOKUP(E782,Sheet1!$A$2:$B$25,2,FALSE)</f>
        <v>1</v>
      </c>
    </row>
    <row r="783" spans="1:7" x14ac:dyDescent="0.25">
      <c r="A783" s="11">
        <v>44578.291666666664</v>
      </c>
      <c r="B783" s="10">
        <v>951.71600000000001</v>
      </c>
      <c r="C783">
        <f t="shared" si="48"/>
        <v>1</v>
      </c>
      <c r="D783">
        <f t="shared" si="49"/>
        <v>17</v>
      </c>
      <c r="E783">
        <f t="shared" si="50"/>
        <v>7</v>
      </c>
      <c r="F783">
        <f t="shared" si="51"/>
        <v>1</v>
      </c>
      <c r="G783">
        <f>VLOOKUP(E783,Sheet1!$A$2:$B$25,2,FALSE)</f>
        <v>1</v>
      </c>
    </row>
    <row r="784" spans="1:7" x14ac:dyDescent="0.25">
      <c r="A784" s="11">
        <v>44578.3125</v>
      </c>
      <c r="B784" s="10">
        <v>969.38</v>
      </c>
      <c r="C784">
        <f t="shared" si="48"/>
        <v>1</v>
      </c>
      <c r="D784">
        <f t="shared" si="49"/>
        <v>17</v>
      </c>
      <c r="E784">
        <f t="shared" si="50"/>
        <v>7</v>
      </c>
      <c r="F784">
        <f t="shared" si="51"/>
        <v>1</v>
      </c>
      <c r="G784">
        <f>VLOOKUP(E784,Sheet1!$A$2:$B$25,2,FALSE)</f>
        <v>1</v>
      </c>
    </row>
    <row r="785" spans="1:7" x14ac:dyDescent="0.25">
      <c r="A785" s="11">
        <v>44578.333333333336</v>
      </c>
      <c r="B785" s="10">
        <v>956.28099999999995</v>
      </c>
      <c r="C785">
        <f t="shared" si="48"/>
        <v>1</v>
      </c>
      <c r="D785">
        <f t="shared" si="49"/>
        <v>17</v>
      </c>
      <c r="E785">
        <f t="shared" si="50"/>
        <v>8</v>
      </c>
      <c r="F785">
        <f t="shared" si="51"/>
        <v>1</v>
      </c>
      <c r="G785">
        <f>VLOOKUP(E785,Sheet1!$A$2:$B$25,2,FALSE)</f>
        <v>1</v>
      </c>
    </row>
    <row r="786" spans="1:7" x14ac:dyDescent="0.25">
      <c r="A786" s="11">
        <v>44578.354166666664</v>
      </c>
      <c r="B786" s="10">
        <v>938.27599999999995</v>
      </c>
      <c r="C786">
        <f t="shared" si="48"/>
        <v>1</v>
      </c>
      <c r="D786">
        <f t="shared" si="49"/>
        <v>17</v>
      </c>
      <c r="E786">
        <f t="shared" si="50"/>
        <v>8</v>
      </c>
      <c r="F786">
        <f t="shared" si="51"/>
        <v>1</v>
      </c>
      <c r="G786">
        <f>VLOOKUP(E786,Sheet1!$A$2:$B$25,2,FALSE)</f>
        <v>1</v>
      </c>
    </row>
    <row r="787" spans="1:7" x14ac:dyDescent="0.25">
      <c r="A787" s="11">
        <v>44578.375</v>
      </c>
      <c r="B787" s="10">
        <v>943.55600000000004</v>
      </c>
      <c r="C787">
        <f t="shared" si="48"/>
        <v>1</v>
      </c>
      <c r="D787">
        <f t="shared" si="49"/>
        <v>17</v>
      </c>
      <c r="E787">
        <f t="shared" si="50"/>
        <v>9</v>
      </c>
      <c r="F787">
        <f t="shared" si="51"/>
        <v>1</v>
      </c>
      <c r="G787">
        <f>VLOOKUP(E787,Sheet1!$A$2:$B$25,2,FALSE)</f>
        <v>1</v>
      </c>
    </row>
    <row r="788" spans="1:7" x14ac:dyDescent="0.25">
      <c r="A788" s="11">
        <v>44578.395833333336</v>
      </c>
      <c r="B788" s="10">
        <v>986.30499999999995</v>
      </c>
      <c r="C788">
        <f t="shared" si="48"/>
        <v>1</v>
      </c>
      <c r="D788">
        <f t="shared" si="49"/>
        <v>17</v>
      </c>
      <c r="E788">
        <f t="shared" si="50"/>
        <v>9</v>
      </c>
      <c r="F788">
        <f t="shared" si="51"/>
        <v>1</v>
      </c>
      <c r="G788">
        <f>VLOOKUP(E788,Sheet1!$A$2:$B$25,2,FALSE)</f>
        <v>1</v>
      </c>
    </row>
    <row r="789" spans="1:7" x14ac:dyDescent="0.25">
      <c r="A789" s="11">
        <v>44578.416666666664</v>
      </c>
      <c r="B789" s="10">
        <v>993.86</v>
      </c>
      <c r="C789">
        <f t="shared" si="48"/>
        <v>1</v>
      </c>
      <c r="D789">
        <f t="shared" si="49"/>
        <v>17</v>
      </c>
      <c r="E789">
        <f t="shared" si="50"/>
        <v>10</v>
      </c>
      <c r="F789">
        <f t="shared" si="51"/>
        <v>1</v>
      </c>
      <c r="G789">
        <f>VLOOKUP(E789,Sheet1!$A$2:$B$25,2,FALSE)</f>
        <v>1</v>
      </c>
    </row>
    <row r="790" spans="1:7" x14ac:dyDescent="0.25">
      <c r="A790" s="11">
        <v>44578.4375</v>
      </c>
      <c r="B790" s="10">
        <v>953.66</v>
      </c>
      <c r="C790">
        <f t="shared" si="48"/>
        <v>1</v>
      </c>
      <c r="D790">
        <f t="shared" si="49"/>
        <v>17</v>
      </c>
      <c r="E790">
        <f t="shared" si="50"/>
        <v>10</v>
      </c>
      <c r="F790">
        <f t="shared" si="51"/>
        <v>1</v>
      </c>
      <c r="G790">
        <f>VLOOKUP(E790,Sheet1!$A$2:$B$25,2,FALSE)</f>
        <v>1</v>
      </c>
    </row>
    <row r="791" spans="1:7" x14ac:dyDescent="0.25">
      <c r="A791" s="11">
        <v>44578.458333333336</v>
      </c>
      <c r="B791" s="10">
        <v>948.86</v>
      </c>
      <c r="C791">
        <f t="shared" si="48"/>
        <v>1</v>
      </c>
      <c r="D791">
        <f t="shared" si="49"/>
        <v>17</v>
      </c>
      <c r="E791">
        <f t="shared" si="50"/>
        <v>11</v>
      </c>
      <c r="F791">
        <f t="shared" si="51"/>
        <v>1</v>
      </c>
      <c r="G791">
        <f>VLOOKUP(E791,Sheet1!$A$2:$B$25,2,FALSE)</f>
        <v>1</v>
      </c>
    </row>
    <row r="792" spans="1:7" x14ac:dyDescent="0.25">
      <c r="A792" s="11">
        <v>44578.479166666664</v>
      </c>
      <c r="B792" s="10">
        <v>977.15599999999995</v>
      </c>
      <c r="C792">
        <f t="shared" si="48"/>
        <v>1</v>
      </c>
      <c r="D792">
        <f t="shared" si="49"/>
        <v>17</v>
      </c>
      <c r="E792">
        <f t="shared" si="50"/>
        <v>11</v>
      </c>
      <c r="F792">
        <f t="shared" si="51"/>
        <v>1</v>
      </c>
      <c r="G792">
        <f>VLOOKUP(E792,Sheet1!$A$2:$B$25,2,FALSE)</f>
        <v>1</v>
      </c>
    </row>
    <row r="793" spans="1:7" x14ac:dyDescent="0.25">
      <c r="A793" s="11">
        <v>44578.5</v>
      </c>
      <c r="B793" s="10">
        <v>957.505</v>
      </c>
      <c r="C793">
        <f t="shared" si="48"/>
        <v>1</v>
      </c>
      <c r="D793">
        <f t="shared" si="49"/>
        <v>17</v>
      </c>
      <c r="E793">
        <f t="shared" si="50"/>
        <v>12</v>
      </c>
      <c r="F793">
        <f t="shared" si="51"/>
        <v>1</v>
      </c>
      <c r="G793">
        <f>VLOOKUP(E793,Sheet1!$A$2:$B$25,2,FALSE)</f>
        <v>1</v>
      </c>
    </row>
    <row r="794" spans="1:7" x14ac:dyDescent="0.25">
      <c r="A794" s="11">
        <v>44578.520833333336</v>
      </c>
      <c r="B794" s="10">
        <v>977.51599999999996</v>
      </c>
      <c r="C794">
        <f t="shared" si="48"/>
        <v>1</v>
      </c>
      <c r="D794">
        <f t="shared" si="49"/>
        <v>17</v>
      </c>
      <c r="E794">
        <f t="shared" si="50"/>
        <v>12</v>
      </c>
      <c r="F794">
        <f t="shared" si="51"/>
        <v>1</v>
      </c>
      <c r="G794">
        <f>VLOOKUP(E794,Sheet1!$A$2:$B$25,2,FALSE)</f>
        <v>1</v>
      </c>
    </row>
    <row r="795" spans="1:7" x14ac:dyDescent="0.25">
      <c r="A795" s="11">
        <v>44578.541666666664</v>
      </c>
      <c r="B795" s="10">
        <v>954.11599999999999</v>
      </c>
      <c r="C795">
        <f t="shared" si="48"/>
        <v>1</v>
      </c>
      <c r="D795">
        <f t="shared" si="49"/>
        <v>17</v>
      </c>
      <c r="E795">
        <f t="shared" si="50"/>
        <v>13</v>
      </c>
      <c r="F795">
        <f t="shared" si="51"/>
        <v>1</v>
      </c>
      <c r="G795">
        <f>VLOOKUP(E795,Sheet1!$A$2:$B$25,2,FALSE)</f>
        <v>1</v>
      </c>
    </row>
    <row r="796" spans="1:7" x14ac:dyDescent="0.25">
      <c r="A796" s="11">
        <v>44578.5625</v>
      </c>
      <c r="B796" s="10">
        <v>972.721</v>
      </c>
      <c r="C796">
        <f t="shared" si="48"/>
        <v>1</v>
      </c>
      <c r="D796">
        <f t="shared" si="49"/>
        <v>17</v>
      </c>
      <c r="E796">
        <f t="shared" si="50"/>
        <v>13</v>
      </c>
      <c r="F796">
        <f t="shared" si="51"/>
        <v>1</v>
      </c>
      <c r="G796">
        <f>VLOOKUP(E796,Sheet1!$A$2:$B$25,2,FALSE)</f>
        <v>1</v>
      </c>
    </row>
    <row r="797" spans="1:7" x14ac:dyDescent="0.25">
      <c r="A797" s="11">
        <v>44578.583333333336</v>
      </c>
      <c r="B797" s="10">
        <v>927.5</v>
      </c>
      <c r="C797">
        <f t="shared" si="48"/>
        <v>1</v>
      </c>
      <c r="D797">
        <f t="shared" si="49"/>
        <v>17</v>
      </c>
      <c r="E797">
        <f t="shared" si="50"/>
        <v>14</v>
      </c>
      <c r="F797">
        <f t="shared" si="51"/>
        <v>1</v>
      </c>
      <c r="G797">
        <f>VLOOKUP(E797,Sheet1!$A$2:$B$25,2,FALSE)</f>
        <v>1</v>
      </c>
    </row>
    <row r="798" spans="1:7" x14ac:dyDescent="0.25">
      <c r="A798" s="11">
        <v>44578.604166666664</v>
      </c>
      <c r="B798" s="10">
        <v>687.38</v>
      </c>
      <c r="C798">
        <f t="shared" si="48"/>
        <v>1</v>
      </c>
      <c r="D798">
        <f t="shared" si="49"/>
        <v>17</v>
      </c>
      <c r="E798">
        <f t="shared" si="50"/>
        <v>14</v>
      </c>
      <c r="F798">
        <f t="shared" si="51"/>
        <v>1</v>
      </c>
      <c r="G798">
        <f>VLOOKUP(E798,Sheet1!$A$2:$B$25,2,FALSE)</f>
        <v>1</v>
      </c>
    </row>
    <row r="799" spans="1:7" x14ac:dyDescent="0.25">
      <c r="A799" s="11">
        <v>44578.625</v>
      </c>
      <c r="B799" s="10">
        <v>679.46500000000003</v>
      </c>
      <c r="C799">
        <f t="shared" si="48"/>
        <v>1</v>
      </c>
      <c r="D799">
        <f t="shared" si="49"/>
        <v>17</v>
      </c>
      <c r="E799">
        <f t="shared" si="50"/>
        <v>15</v>
      </c>
      <c r="F799">
        <f t="shared" si="51"/>
        <v>1</v>
      </c>
      <c r="G799">
        <f>VLOOKUP(E799,Sheet1!$A$2:$B$25,2,FALSE)</f>
        <v>1</v>
      </c>
    </row>
    <row r="800" spans="1:7" x14ac:dyDescent="0.25">
      <c r="A800" s="11">
        <v>44578.645833333336</v>
      </c>
      <c r="B800" s="10">
        <v>666.62</v>
      </c>
      <c r="C800">
        <f t="shared" si="48"/>
        <v>1</v>
      </c>
      <c r="D800">
        <f t="shared" si="49"/>
        <v>17</v>
      </c>
      <c r="E800">
        <f t="shared" si="50"/>
        <v>15</v>
      </c>
      <c r="F800">
        <f t="shared" si="51"/>
        <v>1</v>
      </c>
      <c r="G800">
        <f>VLOOKUP(E800,Sheet1!$A$2:$B$25,2,FALSE)</f>
        <v>1</v>
      </c>
    </row>
    <row r="801" spans="1:7" x14ac:dyDescent="0.25">
      <c r="A801" s="11">
        <v>44578.666666666664</v>
      </c>
      <c r="B801" s="10">
        <v>552.476</v>
      </c>
      <c r="C801">
        <f t="shared" si="48"/>
        <v>1</v>
      </c>
      <c r="D801">
        <f t="shared" si="49"/>
        <v>17</v>
      </c>
      <c r="E801">
        <f t="shared" si="50"/>
        <v>16</v>
      </c>
      <c r="F801">
        <f t="shared" si="51"/>
        <v>1</v>
      </c>
      <c r="G801">
        <f>VLOOKUP(E801,Sheet1!$A$2:$B$25,2,FALSE)</f>
        <v>0</v>
      </c>
    </row>
    <row r="802" spans="1:7" x14ac:dyDescent="0.25">
      <c r="A802" s="11">
        <v>44578.6875</v>
      </c>
      <c r="B802" s="10">
        <v>475.67599999999999</v>
      </c>
      <c r="C802">
        <f t="shared" si="48"/>
        <v>1</v>
      </c>
      <c r="D802">
        <f t="shared" si="49"/>
        <v>17</v>
      </c>
      <c r="E802">
        <f t="shared" si="50"/>
        <v>16</v>
      </c>
      <c r="F802">
        <f t="shared" si="51"/>
        <v>1</v>
      </c>
      <c r="G802">
        <f>VLOOKUP(E802,Sheet1!$A$2:$B$25,2,FALSE)</f>
        <v>0</v>
      </c>
    </row>
    <row r="803" spans="1:7" x14ac:dyDescent="0.25">
      <c r="A803" s="11">
        <v>44578.708333333336</v>
      </c>
      <c r="B803" s="10">
        <v>422.54500000000002</v>
      </c>
      <c r="C803">
        <f t="shared" si="48"/>
        <v>1</v>
      </c>
      <c r="D803">
        <f t="shared" si="49"/>
        <v>17</v>
      </c>
      <c r="E803">
        <f t="shared" si="50"/>
        <v>17</v>
      </c>
      <c r="F803">
        <f t="shared" si="51"/>
        <v>1</v>
      </c>
      <c r="G803">
        <f>VLOOKUP(E803,Sheet1!$A$2:$B$25,2,FALSE)</f>
        <v>0</v>
      </c>
    </row>
    <row r="804" spans="1:7" x14ac:dyDescent="0.25">
      <c r="A804" s="11">
        <v>44578.729166666664</v>
      </c>
      <c r="B804" s="10">
        <v>390.74</v>
      </c>
      <c r="C804">
        <f t="shared" si="48"/>
        <v>1</v>
      </c>
      <c r="D804">
        <f t="shared" si="49"/>
        <v>17</v>
      </c>
      <c r="E804">
        <f t="shared" si="50"/>
        <v>17</v>
      </c>
      <c r="F804">
        <f t="shared" si="51"/>
        <v>1</v>
      </c>
      <c r="G804">
        <f>VLOOKUP(E804,Sheet1!$A$2:$B$25,2,FALSE)</f>
        <v>0</v>
      </c>
    </row>
    <row r="805" spans="1:7" x14ac:dyDescent="0.25">
      <c r="A805" s="11">
        <v>44578.75</v>
      </c>
      <c r="B805" s="10">
        <v>364.1</v>
      </c>
      <c r="C805">
        <f t="shared" si="48"/>
        <v>1</v>
      </c>
      <c r="D805">
        <f t="shared" si="49"/>
        <v>17</v>
      </c>
      <c r="E805">
        <f t="shared" si="50"/>
        <v>18</v>
      </c>
      <c r="F805">
        <f t="shared" si="51"/>
        <v>1</v>
      </c>
      <c r="G805">
        <f>VLOOKUP(E805,Sheet1!$A$2:$B$25,2,FALSE)</f>
        <v>0</v>
      </c>
    </row>
    <row r="806" spans="1:7" x14ac:dyDescent="0.25">
      <c r="A806" s="11">
        <v>44578.770833333336</v>
      </c>
      <c r="B806" s="10">
        <v>371.041</v>
      </c>
      <c r="C806">
        <f t="shared" si="48"/>
        <v>1</v>
      </c>
      <c r="D806">
        <f t="shared" si="49"/>
        <v>17</v>
      </c>
      <c r="E806">
        <f t="shared" si="50"/>
        <v>18</v>
      </c>
      <c r="F806">
        <f t="shared" si="51"/>
        <v>1</v>
      </c>
      <c r="G806">
        <f>VLOOKUP(E806,Sheet1!$A$2:$B$25,2,FALSE)</f>
        <v>0</v>
      </c>
    </row>
    <row r="807" spans="1:7" x14ac:dyDescent="0.25">
      <c r="A807" s="11">
        <v>44578.791666666664</v>
      </c>
      <c r="B807" s="10">
        <v>338.87599999999998</v>
      </c>
      <c r="C807">
        <f t="shared" si="48"/>
        <v>1</v>
      </c>
      <c r="D807">
        <f t="shared" si="49"/>
        <v>17</v>
      </c>
      <c r="E807">
        <f t="shared" si="50"/>
        <v>19</v>
      </c>
      <c r="F807">
        <f t="shared" si="51"/>
        <v>1</v>
      </c>
      <c r="G807">
        <f>VLOOKUP(E807,Sheet1!$A$2:$B$25,2,FALSE)</f>
        <v>0</v>
      </c>
    </row>
    <row r="808" spans="1:7" x14ac:dyDescent="0.25">
      <c r="A808" s="11">
        <v>44578.8125</v>
      </c>
      <c r="B808" s="10">
        <v>326.40100000000001</v>
      </c>
      <c r="C808">
        <f t="shared" si="48"/>
        <v>1</v>
      </c>
      <c r="D808">
        <f t="shared" si="49"/>
        <v>17</v>
      </c>
      <c r="E808">
        <f t="shared" si="50"/>
        <v>19</v>
      </c>
      <c r="F808">
        <f t="shared" si="51"/>
        <v>1</v>
      </c>
      <c r="G808">
        <f>VLOOKUP(E808,Sheet1!$A$2:$B$25,2,FALSE)</f>
        <v>0</v>
      </c>
    </row>
    <row r="809" spans="1:7" x14ac:dyDescent="0.25">
      <c r="A809" s="11">
        <v>44578.833333333336</v>
      </c>
      <c r="B809" s="10">
        <v>336.596</v>
      </c>
      <c r="C809">
        <f t="shared" si="48"/>
        <v>1</v>
      </c>
      <c r="D809">
        <f t="shared" si="49"/>
        <v>17</v>
      </c>
      <c r="E809">
        <f t="shared" si="50"/>
        <v>20</v>
      </c>
      <c r="F809">
        <f t="shared" si="51"/>
        <v>1</v>
      </c>
      <c r="G809">
        <f>VLOOKUP(E809,Sheet1!$A$2:$B$25,2,FALSE)</f>
        <v>0</v>
      </c>
    </row>
    <row r="810" spans="1:7" x14ac:dyDescent="0.25">
      <c r="A810" s="11">
        <v>44578.854166666664</v>
      </c>
      <c r="B810" s="10">
        <v>331.67599999999999</v>
      </c>
      <c r="C810">
        <f t="shared" si="48"/>
        <v>1</v>
      </c>
      <c r="D810">
        <f t="shared" si="49"/>
        <v>17</v>
      </c>
      <c r="E810">
        <f t="shared" si="50"/>
        <v>20</v>
      </c>
      <c r="F810">
        <f t="shared" si="51"/>
        <v>1</v>
      </c>
      <c r="G810">
        <f>VLOOKUP(E810,Sheet1!$A$2:$B$25,2,FALSE)</f>
        <v>0</v>
      </c>
    </row>
    <row r="811" spans="1:7" x14ac:dyDescent="0.25">
      <c r="A811" s="11">
        <v>44578.875</v>
      </c>
      <c r="B811" s="10">
        <v>328.46</v>
      </c>
      <c r="C811">
        <f t="shared" si="48"/>
        <v>1</v>
      </c>
      <c r="D811">
        <f t="shared" si="49"/>
        <v>17</v>
      </c>
      <c r="E811">
        <f t="shared" si="50"/>
        <v>21</v>
      </c>
      <c r="F811">
        <f t="shared" si="51"/>
        <v>1</v>
      </c>
      <c r="G811">
        <f>VLOOKUP(E811,Sheet1!$A$2:$B$25,2,FALSE)</f>
        <v>0</v>
      </c>
    </row>
    <row r="812" spans="1:7" x14ac:dyDescent="0.25">
      <c r="A812" s="11">
        <v>44578.895833333336</v>
      </c>
      <c r="B812" s="10">
        <v>329.06</v>
      </c>
      <c r="C812">
        <f t="shared" si="48"/>
        <v>1</v>
      </c>
      <c r="D812">
        <f t="shared" si="49"/>
        <v>17</v>
      </c>
      <c r="E812">
        <f t="shared" si="50"/>
        <v>21</v>
      </c>
      <c r="F812">
        <f t="shared" si="51"/>
        <v>1</v>
      </c>
      <c r="G812">
        <f>VLOOKUP(E812,Sheet1!$A$2:$B$25,2,FALSE)</f>
        <v>0</v>
      </c>
    </row>
    <row r="813" spans="1:7" x14ac:dyDescent="0.25">
      <c r="A813" s="11">
        <v>44578.916666666664</v>
      </c>
      <c r="B813" s="10">
        <v>334.44099999999997</v>
      </c>
      <c r="C813">
        <f t="shared" si="48"/>
        <v>1</v>
      </c>
      <c r="D813">
        <f t="shared" si="49"/>
        <v>17</v>
      </c>
      <c r="E813">
        <f t="shared" si="50"/>
        <v>22</v>
      </c>
      <c r="F813">
        <f t="shared" si="51"/>
        <v>1</v>
      </c>
      <c r="G813">
        <f>VLOOKUP(E813,Sheet1!$A$2:$B$25,2,FALSE)</f>
        <v>0</v>
      </c>
    </row>
    <row r="814" spans="1:7" x14ac:dyDescent="0.25">
      <c r="A814" s="11">
        <v>44578.9375</v>
      </c>
      <c r="B814" s="10">
        <v>312.74</v>
      </c>
      <c r="C814">
        <f t="shared" si="48"/>
        <v>1</v>
      </c>
      <c r="D814">
        <f t="shared" si="49"/>
        <v>17</v>
      </c>
      <c r="E814">
        <f t="shared" si="50"/>
        <v>22</v>
      </c>
      <c r="F814">
        <f t="shared" si="51"/>
        <v>1</v>
      </c>
      <c r="G814">
        <f>VLOOKUP(E814,Sheet1!$A$2:$B$25,2,FALSE)</f>
        <v>0</v>
      </c>
    </row>
    <row r="815" spans="1:7" x14ac:dyDescent="0.25">
      <c r="A815" s="11">
        <v>44578.958333333336</v>
      </c>
      <c r="B815" s="10">
        <v>310.19600000000003</v>
      </c>
      <c r="C815">
        <f t="shared" si="48"/>
        <v>1</v>
      </c>
      <c r="D815">
        <f t="shared" si="49"/>
        <v>17</v>
      </c>
      <c r="E815">
        <f t="shared" si="50"/>
        <v>23</v>
      </c>
      <c r="F815">
        <f t="shared" si="51"/>
        <v>1</v>
      </c>
      <c r="G815">
        <f>VLOOKUP(E815,Sheet1!$A$2:$B$25,2,FALSE)</f>
        <v>0</v>
      </c>
    </row>
    <row r="816" spans="1:7" x14ac:dyDescent="0.25">
      <c r="A816" s="11">
        <v>44578.979166666664</v>
      </c>
      <c r="B816" s="10">
        <v>304.43599999999998</v>
      </c>
      <c r="C816">
        <f t="shared" si="48"/>
        <v>1</v>
      </c>
      <c r="D816">
        <f t="shared" si="49"/>
        <v>17</v>
      </c>
      <c r="E816">
        <f t="shared" si="50"/>
        <v>23</v>
      </c>
      <c r="F816">
        <f t="shared" si="51"/>
        <v>1</v>
      </c>
      <c r="G816">
        <f>VLOOKUP(E816,Sheet1!$A$2:$B$25,2,FALSE)</f>
        <v>0</v>
      </c>
    </row>
    <row r="817" spans="1:7" x14ac:dyDescent="0.25">
      <c r="A817" s="11">
        <v>44579</v>
      </c>
      <c r="B817" s="10">
        <v>305.90499999999997</v>
      </c>
      <c r="C817">
        <f t="shared" si="48"/>
        <v>2</v>
      </c>
      <c r="D817">
        <f t="shared" si="49"/>
        <v>18</v>
      </c>
      <c r="E817">
        <f t="shared" si="50"/>
        <v>0</v>
      </c>
      <c r="F817">
        <f t="shared" si="51"/>
        <v>1</v>
      </c>
      <c r="G817">
        <f>VLOOKUP(E817,Sheet1!$A$2:$B$25,2,FALSE)</f>
        <v>0</v>
      </c>
    </row>
    <row r="818" spans="1:7" x14ac:dyDescent="0.25">
      <c r="A818" s="11">
        <v>44579.020833333336</v>
      </c>
      <c r="B818" s="10">
        <v>307.82</v>
      </c>
      <c r="C818">
        <f t="shared" si="48"/>
        <v>2</v>
      </c>
      <c r="D818">
        <f t="shared" si="49"/>
        <v>18</v>
      </c>
      <c r="E818">
        <f t="shared" si="50"/>
        <v>0</v>
      </c>
      <c r="F818">
        <f t="shared" si="51"/>
        <v>1</v>
      </c>
      <c r="G818">
        <f>VLOOKUP(E818,Sheet1!$A$2:$B$25,2,FALSE)</f>
        <v>0</v>
      </c>
    </row>
    <row r="819" spans="1:7" x14ac:dyDescent="0.25">
      <c r="A819" s="11">
        <v>44579.041666666664</v>
      </c>
      <c r="B819" s="10">
        <v>304.07600000000002</v>
      </c>
      <c r="C819">
        <f t="shared" si="48"/>
        <v>2</v>
      </c>
      <c r="D819">
        <f t="shared" si="49"/>
        <v>18</v>
      </c>
      <c r="E819">
        <f t="shared" si="50"/>
        <v>1</v>
      </c>
      <c r="F819">
        <f t="shared" si="51"/>
        <v>1</v>
      </c>
      <c r="G819">
        <f>VLOOKUP(E819,Sheet1!$A$2:$B$25,2,FALSE)</f>
        <v>0</v>
      </c>
    </row>
    <row r="820" spans="1:7" x14ac:dyDescent="0.25">
      <c r="A820" s="11">
        <v>44579.0625</v>
      </c>
      <c r="B820" s="10">
        <v>308.15600000000001</v>
      </c>
      <c r="C820">
        <f t="shared" si="48"/>
        <v>2</v>
      </c>
      <c r="D820">
        <f t="shared" si="49"/>
        <v>18</v>
      </c>
      <c r="E820">
        <f t="shared" si="50"/>
        <v>1</v>
      </c>
      <c r="F820">
        <f t="shared" si="51"/>
        <v>1</v>
      </c>
      <c r="G820">
        <f>VLOOKUP(E820,Sheet1!$A$2:$B$25,2,FALSE)</f>
        <v>0</v>
      </c>
    </row>
    <row r="821" spans="1:7" x14ac:dyDescent="0.25">
      <c r="A821" s="11">
        <v>44579.083333333336</v>
      </c>
      <c r="B821" s="10">
        <v>315.14499999999998</v>
      </c>
      <c r="C821">
        <f t="shared" si="48"/>
        <v>2</v>
      </c>
      <c r="D821">
        <f t="shared" si="49"/>
        <v>18</v>
      </c>
      <c r="E821">
        <f t="shared" si="50"/>
        <v>2</v>
      </c>
      <c r="F821">
        <f t="shared" si="51"/>
        <v>1</v>
      </c>
      <c r="G821">
        <f>VLOOKUP(E821,Sheet1!$A$2:$B$25,2,FALSE)</f>
        <v>0</v>
      </c>
    </row>
    <row r="822" spans="1:7" x14ac:dyDescent="0.25">
      <c r="A822" s="11">
        <v>44579.104166666664</v>
      </c>
      <c r="B822" s="10">
        <v>311.51600000000002</v>
      </c>
      <c r="C822">
        <f t="shared" si="48"/>
        <v>2</v>
      </c>
      <c r="D822">
        <f t="shared" si="49"/>
        <v>18</v>
      </c>
      <c r="E822">
        <f t="shared" si="50"/>
        <v>2</v>
      </c>
      <c r="F822">
        <f t="shared" si="51"/>
        <v>1</v>
      </c>
      <c r="G822">
        <f>VLOOKUP(E822,Sheet1!$A$2:$B$25,2,FALSE)</f>
        <v>0</v>
      </c>
    </row>
    <row r="823" spans="1:7" x14ac:dyDescent="0.25">
      <c r="A823" s="11">
        <v>44579.125</v>
      </c>
      <c r="B823" s="10">
        <v>312.35599999999999</v>
      </c>
      <c r="C823">
        <f t="shared" si="48"/>
        <v>2</v>
      </c>
      <c r="D823">
        <f t="shared" si="49"/>
        <v>18</v>
      </c>
      <c r="E823">
        <f t="shared" si="50"/>
        <v>3</v>
      </c>
      <c r="F823">
        <f t="shared" si="51"/>
        <v>1</v>
      </c>
      <c r="G823">
        <f>VLOOKUP(E823,Sheet1!$A$2:$B$25,2,FALSE)</f>
        <v>0</v>
      </c>
    </row>
    <row r="824" spans="1:7" x14ac:dyDescent="0.25">
      <c r="A824" s="11">
        <v>44579.145833333336</v>
      </c>
      <c r="B824" s="10">
        <v>310.10500000000002</v>
      </c>
      <c r="C824">
        <f t="shared" si="48"/>
        <v>2</v>
      </c>
      <c r="D824">
        <f t="shared" si="49"/>
        <v>18</v>
      </c>
      <c r="E824">
        <f t="shared" si="50"/>
        <v>3</v>
      </c>
      <c r="F824">
        <f t="shared" si="51"/>
        <v>1</v>
      </c>
      <c r="G824">
        <f>VLOOKUP(E824,Sheet1!$A$2:$B$25,2,FALSE)</f>
        <v>0</v>
      </c>
    </row>
    <row r="825" spans="1:7" x14ac:dyDescent="0.25">
      <c r="A825" s="11">
        <v>44579.166666666664</v>
      </c>
      <c r="B825" s="10">
        <v>322.7</v>
      </c>
      <c r="C825">
        <f t="shared" si="48"/>
        <v>2</v>
      </c>
      <c r="D825">
        <f t="shared" si="49"/>
        <v>18</v>
      </c>
      <c r="E825">
        <f t="shared" si="50"/>
        <v>4</v>
      </c>
      <c r="F825">
        <f t="shared" si="51"/>
        <v>1</v>
      </c>
      <c r="G825">
        <f>VLOOKUP(E825,Sheet1!$A$2:$B$25,2,FALSE)</f>
        <v>1</v>
      </c>
    </row>
    <row r="826" spans="1:7" x14ac:dyDescent="0.25">
      <c r="A826" s="11">
        <v>44579.1875</v>
      </c>
      <c r="B826" s="10">
        <v>724.58</v>
      </c>
      <c r="C826">
        <f t="shared" si="48"/>
        <v>2</v>
      </c>
      <c r="D826">
        <f t="shared" si="49"/>
        <v>18</v>
      </c>
      <c r="E826">
        <f t="shared" si="50"/>
        <v>4</v>
      </c>
      <c r="F826">
        <f t="shared" si="51"/>
        <v>1</v>
      </c>
      <c r="G826">
        <f>VLOOKUP(E826,Sheet1!$A$2:$B$25,2,FALSE)</f>
        <v>1</v>
      </c>
    </row>
    <row r="827" spans="1:7" x14ac:dyDescent="0.25">
      <c r="A827" s="11">
        <v>44579.208333333336</v>
      </c>
      <c r="B827" s="10">
        <v>661.08100000000002</v>
      </c>
      <c r="C827">
        <f t="shared" si="48"/>
        <v>2</v>
      </c>
      <c r="D827">
        <f t="shared" si="49"/>
        <v>18</v>
      </c>
      <c r="E827">
        <f t="shared" si="50"/>
        <v>5</v>
      </c>
      <c r="F827">
        <f t="shared" si="51"/>
        <v>1</v>
      </c>
      <c r="G827">
        <f>VLOOKUP(E827,Sheet1!$A$2:$B$25,2,FALSE)</f>
        <v>1</v>
      </c>
    </row>
    <row r="828" spans="1:7" x14ac:dyDescent="0.25">
      <c r="A828" s="11">
        <v>44579.229166666664</v>
      </c>
      <c r="B828" s="10">
        <v>674.18</v>
      </c>
      <c r="C828">
        <f t="shared" si="48"/>
        <v>2</v>
      </c>
      <c r="D828">
        <f t="shared" si="49"/>
        <v>18</v>
      </c>
      <c r="E828">
        <f t="shared" si="50"/>
        <v>5</v>
      </c>
      <c r="F828">
        <f t="shared" si="51"/>
        <v>1</v>
      </c>
      <c r="G828">
        <f>VLOOKUP(E828,Sheet1!$A$2:$B$25,2,FALSE)</f>
        <v>1</v>
      </c>
    </row>
    <row r="829" spans="1:7" x14ac:dyDescent="0.25">
      <c r="A829" s="11">
        <v>44579.25</v>
      </c>
      <c r="B829" s="10">
        <v>737.27599999999995</v>
      </c>
      <c r="C829">
        <f t="shared" si="48"/>
        <v>2</v>
      </c>
      <c r="D829">
        <f t="shared" si="49"/>
        <v>18</v>
      </c>
      <c r="E829">
        <f t="shared" si="50"/>
        <v>6</v>
      </c>
      <c r="F829">
        <f t="shared" si="51"/>
        <v>1</v>
      </c>
      <c r="G829">
        <f>VLOOKUP(E829,Sheet1!$A$2:$B$25,2,FALSE)</f>
        <v>1</v>
      </c>
    </row>
    <row r="830" spans="1:7" x14ac:dyDescent="0.25">
      <c r="A830" s="11">
        <v>44579.270833333336</v>
      </c>
      <c r="B830" s="10">
        <v>830.63599999999997</v>
      </c>
      <c r="C830">
        <f t="shared" si="48"/>
        <v>2</v>
      </c>
      <c r="D830">
        <f t="shared" si="49"/>
        <v>18</v>
      </c>
      <c r="E830">
        <f t="shared" si="50"/>
        <v>6</v>
      </c>
      <c r="F830">
        <f t="shared" si="51"/>
        <v>1</v>
      </c>
      <c r="G830">
        <f>VLOOKUP(E830,Sheet1!$A$2:$B$25,2,FALSE)</f>
        <v>1</v>
      </c>
    </row>
    <row r="831" spans="1:7" x14ac:dyDescent="0.25">
      <c r="A831" s="11">
        <v>44579.291666666664</v>
      </c>
      <c r="B831" s="10">
        <v>888.00099999999998</v>
      </c>
      <c r="C831">
        <f t="shared" si="48"/>
        <v>2</v>
      </c>
      <c r="D831">
        <f t="shared" si="49"/>
        <v>18</v>
      </c>
      <c r="E831">
        <f t="shared" si="50"/>
        <v>7</v>
      </c>
      <c r="F831">
        <f t="shared" si="51"/>
        <v>1</v>
      </c>
      <c r="G831">
        <f>VLOOKUP(E831,Sheet1!$A$2:$B$25,2,FALSE)</f>
        <v>1</v>
      </c>
    </row>
    <row r="832" spans="1:7" x14ac:dyDescent="0.25">
      <c r="A832" s="11">
        <v>44579.3125</v>
      </c>
      <c r="B832" s="10">
        <v>860.18</v>
      </c>
      <c r="C832">
        <f t="shared" si="48"/>
        <v>2</v>
      </c>
      <c r="D832">
        <f t="shared" si="49"/>
        <v>18</v>
      </c>
      <c r="E832">
        <f t="shared" si="50"/>
        <v>7</v>
      </c>
      <c r="F832">
        <f t="shared" si="51"/>
        <v>1</v>
      </c>
      <c r="G832">
        <f>VLOOKUP(E832,Sheet1!$A$2:$B$25,2,FALSE)</f>
        <v>1</v>
      </c>
    </row>
    <row r="833" spans="1:7" x14ac:dyDescent="0.25">
      <c r="A833" s="11">
        <v>44579.333333333336</v>
      </c>
      <c r="B833" s="10">
        <v>859.1</v>
      </c>
      <c r="C833">
        <f t="shared" si="48"/>
        <v>2</v>
      </c>
      <c r="D833">
        <f t="shared" si="49"/>
        <v>18</v>
      </c>
      <c r="E833">
        <f t="shared" si="50"/>
        <v>8</v>
      </c>
      <c r="F833">
        <f t="shared" si="51"/>
        <v>1</v>
      </c>
      <c r="G833">
        <f>VLOOKUP(E833,Sheet1!$A$2:$B$25,2,FALSE)</f>
        <v>1</v>
      </c>
    </row>
    <row r="834" spans="1:7" x14ac:dyDescent="0.25">
      <c r="A834" s="11">
        <v>44579.354166666664</v>
      </c>
      <c r="B834" s="10">
        <v>813.86</v>
      </c>
      <c r="C834">
        <f t="shared" ref="C834:C897" si="52">WEEKDAY(A834,2)</f>
        <v>2</v>
      </c>
      <c r="D834">
        <f t="shared" ref="D834:D897" si="53">DAY(A834)</f>
        <v>18</v>
      </c>
      <c r="E834">
        <f t="shared" ref="E834:E897" si="54">HOUR(A834)</f>
        <v>8</v>
      </c>
      <c r="F834">
        <f t="shared" si="51"/>
        <v>1</v>
      </c>
      <c r="G834">
        <f>VLOOKUP(E834,Sheet1!$A$2:$B$25,2,FALSE)</f>
        <v>1</v>
      </c>
    </row>
    <row r="835" spans="1:7" x14ac:dyDescent="0.25">
      <c r="A835" s="11">
        <v>44579.375</v>
      </c>
      <c r="B835" s="10">
        <v>909.26</v>
      </c>
      <c r="C835">
        <f t="shared" si="52"/>
        <v>2</v>
      </c>
      <c r="D835">
        <f t="shared" si="53"/>
        <v>18</v>
      </c>
      <c r="E835">
        <f t="shared" si="54"/>
        <v>9</v>
      </c>
      <c r="F835">
        <f t="shared" ref="F835:F898" si="55">IF(C835&gt;=6,0,1)</f>
        <v>1</v>
      </c>
      <c r="G835">
        <f>VLOOKUP(E835,Sheet1!$A$2:$B$25,2,FALSE)</f>
        <v>1</v>
      </c>
    </row>
    <row r="836" spans="1:7" x14ac:dyDescent="0.25">
      <c r="A836" s="11">
        <v>44579.395833333336</v>
      </c>
      <c r="B836" s="10">
        <v>881.87599999999998</v>
      </c>
      <c r="C836">
        <f t="shared" si="52"/>
        <v>2</v>
      </c>
      <c r="D836">
        <f t="shared" si="53"/>
        <v>18</v>
      </c>
      <c r="E836">
        <f t="shared" si="54"/>
        <v>9</v>
      </c>
      <c r="F836">
        <f t="shared" si="55"/>
        <v>1</v>
      </c>
      <c r="G836">
        <f>VLOOKUP(E836,Sheet1!$A$2:$B$25,2,FALSE)</f>
        <v>1</v>
      </c>
    </row>
    <row r="837" spans="1:7" x14ac:dyDescent="0.25">
      <c r="A837" s="11">
        <v>44579.416666666664</v>
      </c>
      <c r="B837" s="10">
        <v>830.42499999999995</v>
      </c>
      <c r="C837">
        <f t="shared" si="52"/>
        <v>2</v>
      </c>
      <c r="D837">
        <f t="shared" si="53"/>
        <v>18</v>
      </c>
      <c r="E837">
        <f t="shared" si="54"/>
        <v>10</v>
      </c>
      <c r="F837">
        <f t="shared" si="55"/>
        <v>1</v>
      </c>
      <c r="G837">
        <f>VLOOKUP(E837,Sheet1!$A$2:$B$25,2,FALSE)</f>
        <v>1</v>
      </c>
    </row>
    <row r="838" spans="1:7" x14ac:dyDescent="0.25">
      <c r="A838" s="11">
        <v>44579.4375</v>
      </c>
      <c r="B838" s="10">
        <v>804.74</v>
      </c>
      <c r="C838">
        <f t="shared" si="52"/>
        <v>2</v>
      </c>
      <c r="D838">
        <f t="shared" si="53"/>
        <v>18</v>
      </c>
      <c r="E838">
        <f t="shared" si="54"/>
        <v>10</v>
      </c>
      <c r="F838">
        <f t="shared" si="55"/>
        <v>1</v>
      </c>
      <c r="G838">
        <f>VLOOKUP(E838,Sheet1!$A$2:$B$25,2,FALSE)</f>
        <v>1</v>
      </c>
    </row>
    <row r="839" spans="1:7" x14ac:dyDescent="0.25">
      <c r="A839" s="11">
        <v>44579.458333333336</v>
      </c>
      <c r="B839" s="10">
        <v>890.99599999999998</v>
      </c>
      <c r="C839">
        <f t="shared" si="52"/>
        <v>2</v>
      </c>
      <c r="D839">
        <f t="shared" si="53"/>
        <v>18</v>
      </c>
      <c r="E839">
        <f t="shared" si="54"/>
        <v>11</v>
      </c>
      <c r="F839">
        <f t="shared" si="55"/>
        <v>1</v>
      </c>
      <c r="G839">
        <f>VLOOKUP(E839,Sheet1!$A$2:$B$25,2,FALSE)</f>
        <v>1</v>
      </c>
    </row>
    <row r="840" spans="1:7" x14ac:dyDescent="0.25">
      <c r="A840" s="11">
        <v>44579.479166666664</v>
      </c>
      <c r="B840" s="10">
        <v>832.46</v>
      </c>
      <c r="C840">
        <f t="shared" si="52"/>
        <v>2</v>
      </c>
      <c r="D840">
        <f t="shared" si="53"/>
        <v>18</v>
      </c>
      <c r="E840">
        <f t="shared" si="54"/>
        <v>11</v>
      </c>
      <c r="F840">
        <f t="shared" si="55"/>
        <v>1</v>
      </c>
      <c r="G840">
        <f>VLOOKUP(E840,Sheet1!$A$2:$B$25,2,FALSE)</f>
        <v>1</v>
      </c>
    </row>
    <row r="841" spans="1:7" x14ac:dyDescent="0.25">
      <c r="A841" s="11">
        <v>44579.5</v>
      </c>
      <c r="B841" s="10">
        <v>884.06500000000005</v>
      </c>
      <c r="C841">
        <f t="shared" si="52"/>
        <v>2</v>
      </c>
      <c r="D841">
        <f t="shared" si="53"/>
        <v>18</v>
      </c>
      <c r="E841">
        <f t="shared" si="54"/>
        <v>12</v>
      </c>
      <c r="F841">
        <f t="shared" si="55"/>
        <v>1</v>
      </c>
      <c r="G841">
        <f>VLOOKUP(E841,Sheet1!$A$2:$B$25,2,FALSE)</f>
        <v>1</v>
      </c>
    </row>
    <row r="842" spans="1:7" x14ac:dyDescent="0.25">
      <c r="A842" s="11">
        <v>44579.520833333336</v>
      </c>
      <c r="B842" s="10">
        <v>876.23599999999999</v>
      </c>
      <c r="C842">
        <f t="shared" si="52"/>
        <v>2</v>
      </c>
      <c r="D842">
        <f t="shared" si="53"/>
        <v>18</v>
      </c>
      <c r="E842">
        <f t="shared" si="54"/>
        <v>12</v>
      </c>
      <c r="F842">
        <f t="shared" si="55"/>
        <v>1</v>
      </c>
      <c r="G842">
        <f>VLOOKUP(E842,Sheet1!$A$2:$B$25,2,FALSE)</f>
        <v>1</v>
      </c>
    </row>
    <row r="843" spans="1:7" x14ac:dyDescent="0.25">
      <c r="A843" s="11">
        <v>44579.541666666664</v>
      </c>
      <c r="B843" s="10">
        <v>839.15599999999995</v>
      </c>
      <c r="C843">
        <f t="shared" si="52"/>
        <v>2</v>
      </c>
      <c r="D843">
        <f t="shared" si="53"/>
        <v>18</v>
      </c>
      <c r="E843">
        <f t="shared" si="54"/>
        <v>13</v>
      </c>
      <c r="F843">
        <f t="shared" si="55"/>
        <v>1</v>
      </c>
      <c r="G843">
        <f>VLOOKUP(E843,Sheet1!$A$2:$B$25,2,FALSE)</f>
        <v>1</v>
      </c>
    </row>
    <row r="844" spans="1:7" x14ac:dyDescent="0.25">
      <c r="A844" s="11">
        <v>44579.5625</v>
      </c>
      <c r="B844" s="10">
        <v>803.42499999999995</v>
      </c>
      <c r="C844">
        <f t="shared" si="52"/>
        <v>2</v>
      </c>
      <c r="D844">
        <f t="shared" si="53"/>
        <v>18</v>
      </c>
      <c r="E844">
        <f t="shared" si="54"/>
        <v>13</v>
      </c>
      <c r="F844">
        <f t="shared" si="55"/>
        <v>1</v>
      </c>
      <c r="G844">
        <f>VLOOKUP(E844,Sheet1!$A$2:$B$25,2,FALSE)</f>
        <v>1</v>
      </c>
    </row>
    <row r="845" spans="1:7" x14ac:dyDescent="0.25">
      <c r="A845" s="11">
        <v>44579.583333333336</v>
      </c>
      <c r="B845" s="10">
        <v>758.9</v>
      </c>
      <c r="C845">
        <f t="shared" si="52"/>
        <v>2</v>
      </c>
      <c r="D845">
        <f t="shared" si="53"/>
        <v>18</v>
      </c>
      <c r="E845">
        <f t="shared" si="54"/>
        <v>14</v>
      </c>
      <c r="F845">
        <f t="shared" si="55"/>
        <v>1</v>
      </c>
      <c r="G845">
        <f>VLOOKUP(E845,Sheet1!$A$2:$B$25,2,FALSE)</f>
        <v>1</v>
      </c>
    </row>
    <row r="846" spans="1:7" x14ac:dyDescent="0.25">
      <c r="A846" s="11">
        <v>44579.604166666664</v>
      </c>
      <c r="B846" s="10">
        <v>502.916</v>
      </c>
      <c r="C846">
        <f t="shared" si="52"/>
        <v>2</v>
      </c>
      <c r="D846">
        <f t="shared" si="53"/>
        <v>18</v>
      </c>
      <c r="E846">
        <f t="shared" si="54"/>
        <v>14</v>
      </c>
      <c r="F846">
        <f t="shared" si="55"/>
        <v>1</v>
      </c>
      <c r="G846">
        <f>VLOOKUP(E846,Sheet1!$A$2:$B$25,2,FALSE)</f>
        <v>1</v>
      </c>
    </row>
    <row r="847" spans="1:7" x14ac:dyDescent="0.25">
      <c r="A847" s="11">
        <v>44579.625</v>
      </c>
      <c r="B847" s="10">
        <v>460.08100000000002</v>
      </c>
      <c r="C847">
        <f t="shared" si="52"/>
        <v>2</v>
      </c>
      <c r="D847">
        <f t="shared" si="53"/>
        <v>18</v>
      </c>
      <c r="E847">
        <f t="shared" si="54"/>
        <v>15</v>
      </c>
      <c r="F847">
        <f t="shared" si="55"/>
        <v>1</v>
      </c>
      <c r="G847">
        <f>VLOOKUP(E847,Sheet1!$A$2:$B$25,2,FALSE)</f>
        <v>1</v>
      </c>
    </row>
    <row r="848" spans="1:7" x14ac:dyDescent="0.25">
      <c r="A848" s="11">
        <v>44579.645833333336</v>
      </c>
      <c r="B848" s="10">
        <v>441.74</v>
      </c>
      <c r="C848">
        <f t="shared" si="52"/>
        <v>2</v>
      </c>
      <c r="D848">
        <f t="shared" si="53"/>
        <v>18</v>
      </c>
      <c r="E848">
        <f t="shared" si="54"/>
        <v>15</v>
      </c>
      <c r="F848">
        <f t="shared" si="55"/>
        <v>1</v>
      </c>
      <c r="G848">
        <f>VLOOKUP(E848,Sheet1!$A$2:$B$25,2,FALSE)</f>
        <v>1</v>
      </c>
    </row>
    <row r="849" spans="1:7" x14ac:dyDescent="0.25">
      <c r="A849" s="11">
        <v>44579.666666666664</v>
      </c>
      <c r="B849" s="10">
        <v>413.75599999999997</v>
      </c>
      <c r="C849">
        <f t="shared" si="52"/>
        <v>2</v>
      </c>
      <c r="D849">
        <f t="shared" si="53"/>
        <v>18</v>
      </c>
      <c r="E849">
        <f t="shared" si="54"/>
        <v>16</v>
      </c>
      <c r="F849">
        <f t="shared" si="55"/>
        <v>1</v>
      </c>
      <c r="G849">
        <f>VLOOKUP(E849,Sheet1!$A$2:$B$25,2,FALSE)</f>
        <v>0</v>
      </c>
    </row>
    <row r="850" spans="1:7" x14ac:dyDescent="0.25">
      <c r="A850" s="11">
        <v>44579.6875</v>
      </c>
      <c r="B850" s="10">
        <v>369.86500000000001</v>
      </c>
      <c r="C850">
        <f t="shared" si="52"/>
        <v>2</v>
      </c>
      <c r="D850">
        <f t="shared" si="53"/>
        <v>18</v>
      </c>
      <c r="E850">
        <f t="shared" si="54"/>
        <v>16</v>
      </c>
      <c r="F850">
        <f t="shared" si="55"/>
        <v>1</v>
      </c>
      <c r="G850">
        <f>VLOOKUP(E850,Sheet1!$A$2:$B$25,2,FALSE)</f>
        <v>0</v>
      </c>
    </row>
    <row r="851" spans="1:7" x14ac:dyDescent="0.25">
      <c r="A851" s="11">
        <v>44579.708333333336</v>
      </c>
      <c r="B851" s="10">
        <v>358.67599999999999</v>
      </c>
      <c r="C851">
        <f t="shared" si="52"/>
        <v>2</v>
      </c>
      <c r="D851">
        <f t="shared" si="53"/>
        <v>18</v>
      </c>
      <c r="E851">
        <f t="shared" si="54"/>
        <v>17</v>
      </c>
      <c r="F851">
        <f t="shared" si="55"/>
        <v>1</v>
      </c>
      <c r="G851">
        <f>VLOOKUP(E851,Sheet1!$A$2:$B$25,2,FALSE)</f>
        <v>0</v>
      </c>
    </row>
    <row r="852" spans="1:7" x14ac:dyDescent="0.25">
      <c r="A852" s="11">
        <v>44579.729166666664</v>
      </c>
      <c r="B852" s="10">
        <v>366.5</v>
      </c>
      <c r="C852">
        <f t="shared" si="52"/>
        <v>2</v>
      </c>
      <c r="D852">
        <f t="shared" si="53"/>
        <v>18</v>
      </c>
      <c r="E852">
        <f t="shared" si="54"/>
        <v>17</v>
      </c>
      <c r="F852">
        <f t="shared" si="55"/>
        <v>1</v>
      </c>
      <c r="G852">
        <f>VLOOKUP(E852,Sheet1!$A$2:$B$25,2,FALSE)</f>
        <v>0</v>
      </c>
    </row>
    <row r="853" spans="1:7" x14ac:dyDescent="0.25">
      <c r="A853" s="11">
        <v>44579.75</v>
      </c>
      <c r="B853" s="10">
        <v>349.916</v>
      </c>
      <c r="C853">
        <f t="shared" si="52"/>
        <v>2</v>
      </c>
      <c r="D853">
        <f t="shared" si="53"/>
        <v>18</v>
      </c>
      <c r="E853">
        <f t="shared" si="54"/>
        <v>18</v>
      </c>
      <c r="F853">
        <f t="shared" si="55"/>
        <v>1</v>
      </c>
      <c r="G853">
        <f>VLOOKUP(E853,Sheet1!$A$2:$B$25,2,FALSE)</f>
        <v>0</v>
      </c>
    </row>
    <row r="854" spans="1:7" x14ac:dyDescent="0.25">
      <c r="A854" s="11">
        <v>44579.770833333336</v>
      </c>
      <c r="B854" s="10">
        <v>348.98</v>
      </c>
      <c r="C854">
        <f t="shared" si="52"/>
        <v>2</v>
      </c>
      <c r="D854">
        <f t="shared" si="53"/>
        <v>18</v>
      </c>
      <c r="E854">
        <f t="shared" si="54"/>
        <v>18</v>
      </c>
      <c r="F854">
        <f t="shared" si="55"/>
        <v>1</v>
      </c>
      <c r="G854">
        <f>VLOOKUP(E854,Sheet1!$A$2:$B$25,2,FALSE)</f>
        <v>0</v>
      </c>
    </row>
    <row r="855" spans="1:7" x14ac:dyDescent="0.25">
      <c r="A855" s="11">
        <v>44579.791666666664</v>
      </c>
      <c r="B855" s="10">
        <v>352.22500000000002</v>
      </c>
      <c r="C855">
        <f t="shared" si="52"/>
        <v>2</v>
      </c>
      <c r="D855">
        <f t="shared" si="53"/>
        <v>18</v>
      </c>
      <c r="E855">
        <f t="shared" si="54"/>
        <v>19</v>
      </c>
      <c r="F855">
        <f t="shared" si="55"/>
        <v>1</v>
      </c>
      <c r="G855">
        <f>VLOOKUP(E855,Sheet1!$A$2:$B$25,2,FALSE)</f>
        <v>0</v>
      </c>
    </row>
    <row r="856" spans="1:7" x14ac:dyDescent="0.25">
      <c r="A856" s="11">
        <v>44579.8125</v>
      </c>
      <c r="B856" s="10">
        <v>343.43599999999998</v>
      </c>
      <c r="C856">
        <f t="shared" si="52"/>
        <v>2</v>
      </c>
      <c r="D856">
        <f t="shared" si="53"/>
        <v>18</v>
      </c>
      <c r="E856">
        <f t="shared" si="54"/>
        <v>19</v>
      </c>
      <c r="F856">
        <f t="shared" si="55"/>
        <v>1</v>
      </c>
      <c r="G856">
        <f>VLOOKUP(E856,Sheet1!$A$2:$B$25,2,FALSE)</f>
        <v>0</v>
      </c>
    </row>
    <row r="857" spans="1:7" x14ac:dyDescent="0.25">
      <c r="A857" s="11">
        <v>44579.833333333336</v>
      </c>
      <c r="B857" s="10">
        <v>343.31599999999997</v>
      </c>
      <c r="C857">
        <f t="shared" si="52"/>
        <v>2</v>
      </c>
      <c r="D857">
        <f t="shared" si="53"/>
        <v>18</v>
      </c>
      <c r="E857">
        <f t="shared" si="54"/>
        <v>20</v>
      </c>
      <c r="F857">
        <f t="shared" si="55"/>
        <v>1</v>
      </c>
      <c r="G857">
        <f>VLOOKUP(E857,Sheet1!$A$2:$B$25,2,FALSE)</f>
        <v>0</v>
      </c>
    </row>
    <row r="858" spans="1:7" x14ac:dyDescent="0.25">
      <c r="A858" s="11">
        <v>44579.854166666664</v>
      </c>
      <c r="B858" s="10">
        <v>344.76100000000002</v>
      </c>
      <c r="C858">
        <f t="shared" si="52"/>
        <v>2</v>
      </c>
      <c r="D858">
        <f t="shared" si="53"/>
        <v>18</v>
      </c>
      <c r="E858">
        <f t="shared" si="54"/>
        <v>20</v>
      </c>
      <c r="F858">
        <f t="shared" si="55"/>
        <v>1</v>
      </c>
      <c r="G858">
        <f>VLOOKUP(E858,Sheet1!$A$2:$B$25,2,FALSE)</f>
        <v>0</v>
      </c>
    </row>
    <row r="859" spans="1:7" x14ac:dyDescent="0.25">
      <c r="A859" s="11">
        <v>44579.875</v>
      </c>
      <c r="B859" s="10">
        <v>332.18</v>
      </c>
      <c r="C859">
        <f t="shared" si="52"/>
        <v>2</v>
      </c>
      <c r="D859">
        <f t="shared" si="53"/>
        <v>18</v>
      </c>
      <c r="E859">
        <f t="shared" si="54"/>
        <v>21</v>
      </c>
      <c r="F859">
        <f t="shared" si="55"/>
        <v>1</v>
      </c>
      <c r="G859">
        <f>VLOOKUP(E859,Sheet1!$A$2:$B$25,2,FALSE)</f>
        <v>0</v>
      </c>
    </row>
    <row r="860" spans="1:7" x14ac:dyDescent="0.25">
      <c r="A860" s="11">
        <v>44579.895833333336</v>
      </c>
      <c r="B860" s="10">
        <v>334.55599999999998</v>
      </c>
      <c r="C860">
        <f t="shared" si="52"/>
        <v>2</v>
      </c>
      <c r="D860">
        <f t="shared" si="53"/>
        <v>18</v>
      </c>
      <c r="E860">
        <f t="shared" si="54"/>
        <v>21</v>
      </c>
      <c r="F860">
        <f t="shared" si="55"/>
        <v>1</v>
      </c>
      <c r="G860">
        <f>VLOOKUP(E860,Sheet1!$A$2:$B$25,2,FALSE)</f>
        <v>0</v>
      </c>
    </row>
    <row r="861" spans="1:7" x14ac:dyDescent="0.25">
      <c r="A861" s="11">
        <v>44579.916666666664</v>
      </c>
      <c r="B861" s="10">
        <v>332.90499999999997</v>
      </c>
      <c r="C861">
        <f t="shared" si="52"/>
        <v>2</v>
      </c>
      <c r="D861">
        <f t="shared" si="53"/>
        <v>18</v>
      </c>
      <c r="E861">
        <f t="shared" si="54"/>
        <v>22</v>
      </c>
      <c r="F861">
        <f t="shared" si="55"/>
        <v>1</v>
      </c>
      <c r="G861">
        <f>VLOOKUP(E861,Sheet1!$A$2:$B$25,2,FALSE)</f>
        <v>0</v>
      </c>
    </row>
    <row r="862" spans="1:7" x14ac:dyDescent="0.25">
      <c r="A862" s="11">
        <v>44579.9375</v>
      </c>
      <c r="B862" s="10">
        <v>314.77999999999997</v>
      </c>
      <c r="C862">
        <f t="shared" si="52"/>
        <v>2</v>
      </c>
      <c r="D862">
        <f t="shared" si="53"/>
        <v>18</v>
      </c>
      <c r="E862">
        <f t="shared" si="54"/>
        <v>22</v>
      </c>
      <c r="F862">
        <f t="shared" si="55"/>
        <v>1</v>
      </c>
      <c r="G862">
        <f>VLOOKUP(E862,Sheet1!$A$2:$B$25,2,FALSE)</f>
        <v>0</v>
      </c>
    </row>
    <row r="863" spans="1:7" x14ac:dyDescent="0.25">
      <c r="A863" s="11">
        <v>44579.958333333336</v>
      </c>
      <c r="B863" s="10">
        <v>309.86</v>
      </c>
      <c r="C863">
        <f t="shared" si="52"/>
        <v>2</v>
      </c>
      <c r="D863">
        <f t="shared" si="53"/>
        <v>18</v>
      </c>
      <c r="E863">
        <f t="shared" si="54"/>
        <v>23</v>
      </c>
      <c r="F863">
        <f t="shared" si="55"/>
        <v>1</v>
      </c>
      <c r="G863">
        <f>VLOOKUP(E863,Sheet1!$A$2:$B$25,2,FALSE)</f>
        <v>0</v>
      </c>
    </row>
    <row r="864" spans="1:7" x14ac:dyDescent="0.25">
      <c r="A864" s="11">
        <v>44579.979166666664</v>
      </c>
      <c r="B864" s="10">
        <v>313.82</v>
      </c>
      <c r="C864">
        <f t="shared" si="52"/>
        <v>2</v>
      </c>
      <c r="D864">
        <f t="shared" si="53"/>
        <v>18</v>
      </c>
      <c r="E864">
        <f t="shared" si="54"/>
        <v>23</v>
      </c>
      <c r="F864">
        <f t="shared" si="55"/>
        <v>1</v>
      </c>
      <c r="G864">
        <f>VLOOKUP(E864,Sheet1!$A$2:$B$25,2,FALSE)</f>
        <v>0</v>
      </c>
    </row>
    <row r="865" spans="1:7" x14ac:dyDescent="0.25">
      <c r="A865" s="11">
        <v>44580</v>
      </c>
      <c r="B865" s="10">
        <v>310.20100000000002</v>
      </c>
      <c r="C865">
        <f t="shared" si="52"/>
        <v>3</v>
      </c>
      <c r="D865">
        <f t="shared" si="53"/>
        <v>19</v>
      </c>
      <c r="E865">
        <f t="shared" si="54"/>
        <v>0</v>
      </c>
      <c r="F865">
        <f t="shared" si="55"/>
        <v>1</v>
      </c>
      <c r="G865">
        <f>VLOOKUP(E865,Sheet1!$A$2:$B$25,2,FALSE)</f>
        <v>0</v>
      </c>
    </row>
    <row r="866" spans="1:7" x14ac:dyDescent="0.25">
      <c r="A866" s="11">
        <v>44580.020833333336</v>
      </c>
      <c r="B866" s="10">
        <v>312.62</v>
      </c>
      <c r="C866">
        <f t="shared" si="52"/>
        <v>3</v>
      </c>
      <c r="D866">
        <f t="shared" si="53"/>
        <v>19</v>
      </c>
      <c r="E866">
        <f t="shared" si="54"/>
        <v>0</v>
      </c>
      <c r="F866">
        <f t="shared" si="55"/>
        <v>1</v>
      </c>
      <c r="G866">
        <f>VLOOKUP(E866,Sheet1!$A$2:$B$25,2,FALSE)</f>
        <v>0</v>
      </c>
    </row>
    <row r="867" spans="1:7" x14ac:dyDescent="0.25">
      <c r="A867" s="11">
        <v>44580.041666666664</v>
      </c>
      <c r="B867" s="10">
        <v>315.71600000000001</v>
      </c>
      <c r="C867">
        <f t="shared" si="52"/>
        <v>3</v>
      </c>
      <c r="D867">
        <f t="shared" si="53"/>
        <v>19</v>
      </c>
      <c r="E867">
        <f t="shared" si="54"/>
        <v>1</v>
      </c>
      <c r="F867">
        <f t="shared" si="55"/>
        <v>1</v>
      </c>
      <c r="G867">
        <f>VLOOKUP(E867,Sheet1!$A$2:$B$25,2,FALSE)</f>
        <v>0</v>
      </c>
    </row>
    <row r="868" spans="1:7" x14ac:dyDescent="0.25">
      <c r="A868" s="11">
        <v>44580.0625</v>
      </c>
      <c r="B868" s="10">
        <v>309.71600000000001</v>
      </c>
      <c r="C868">
        <f t="shared" si="52"/>
        <v>3</v>
      </c>
      <c r="D868">
        <f t="shared" si="53"/>
        <v>19</v>
      </c>
      <c r="E868">
        <f t="shared" si="54"/>
        <v>1</v>
      </c>
      <c r="F868">
        <f t="shared" si="55"/>
        <v>1</v>
      </c>
      <c r="G868">
        <f>VLOOKUP(E868,Sheet1!$A$2:$B$25,2,FALSE)</f>
        <v>0</v>
      </c>
    </row>
    <row r="869" spans="1:7" x14ac:dyDescent="0.25">
      <c r="A869" s="11">
        <v>44580.083333333336</v>
      </c>
      <c r="B869" s="10">
        <v>308.28100000000001</v>
      </c>
      <c r="C869">
        <f t="shared" si="52"/>
        <v>3</v>
      </c>
      <c r="D869">
        <f t="shared" si="53"/>
        <v>19</v>
      </c>
      <c r="E869">
        <f t="shared" si="54"/>
        <v>2</v>
      </c>
      <c r="F869">
        <f t="shared" si="55"/>
        <v>1</v>
      </c>
      <c r="G869">
        <f>VLOOKUP(E869,Sheet1!$A$2:$B$25,2,FALSE)</f>
        <v>0</v>
      </c>
    </row>
    <row r="870" spans="1:7" x14ac:dyDescent="0.25">
      <c r="A870" s="11">
        <v>44580.104166666664</v>
      </c>
      <c r="B870" s="10">
        <v>312.02</v>
      </c>
      <c r="C870">
        <f t="shared" si="52"/>
        <v>3</v>
      </c>
      <c r="D870">
        <f t="shared" si="53"/>
        <v>19</v>
      </c>
      <c r="E870">
        <f t="shared" si="54"/>
        <v>2</v>
      </c>
      <c r="F870">
        <f t="shared" si="55"/>
        <v>1</v>
      </c>
      <c r="G870">
        <f>VLOOKUP(E870,Sheet1!$A$2:$B$25,2,FALSE)</f>
        <v>0</v>
      </c>
    </row>
    <row r="871" spans="1:7" x14ac:dyDescent="0.25">
      <c r="A871" s="11">
        <v>44580.125</v>
      </c>
      <c r="B871" s="10">
        <v>316.45999999999998</v>
      </c>
      <c r="C871">
        <f t="shared" si="52"/>
        <v>3</v>
      </c>
      <c r="D871">
        <f t="shared" si="53"/>
        <v>19</v>
      </c>
      <c r="E871">
        <f t="shared" si="54"/>
        <v>3</v>
      </c>
      <c r="F871">
        <f t="shared" si="55"/>
        <v>1</v>
      </c>
      <c r="G871">
        <f>VLOOKUP(E871,Sheet1!$A$2:$B$25,2,FALSE)</f>
        <v>0</v>
      </c>
    </row>
    <row r="872" spans="1:7" x14ac:dyDescent="0.25">
      <c r="A872" s="11">
        <v>44580.145833333336</v>
      </c>
      <c r="B872" s="10">
        <v>392.42</v>
      </c>
      <c r="C872">
        <f t="shared" si="52"/>
        <v>3</v>
      </c>
      <c r="D872">
        <f t="shared" si="53"/>
        <v>19</v>
      </c>
      <c r="E872">
        <f t="shared" si="54"/>
        <v>3</v>
      </c>
      <c r="F872">
        <f t="shared" si="55"/>
        <v>1</v>
      </c>
      <c r="G872">
        <f>VLOOKUP(E872,Sheet1!$A$2:$B$25,2,FALSE)</f>
        <v>0</v>
      </c>
    </row>
    <row r="873" spans="1:7" x14ac:dyDescent="0.25">
      <c r="A873" s="11">
        <v>44580.166666666664</v>
      </c>
      <c r="B873" s="10">
        <v>330.601</v>
      </c>
      <c r="C873">
        <f t="shared" si="52"/>
        <v>3</v>
      </c>
      <c r="D873">
        <f t="shared" si="53"/>
        <v>19</v>
      </c>
      <c r="E873">
        <f t="shared" si="54"/>
        <v>4</v>
      </c>
      <c r="F873">
        <f t="shared" si="55"/>
        <v>1</v>
      </c>
      <c r="G873">
        <f>VLOOKUP(E873,Sheet1!$A$2:$B$25,2,FALSE)</f>
        <v>1</v>
      </c>
    </row>
    <row r="874" spans="1:7" x14ac:dyDescent="0.25">
      <c r="A874" s="11">
        <v>44580.1875</v>
      </c>
      <c r="B874" s="10">
        <v>425.036</v>
      </c>
      <c r="C874">
        <f t="shared" si="52"/>
        <v>3</v>
      </c>
      <c r="D874">
        <f t="shared" si="53"/>
        <v>19</v>
      </c>
      <c r="E874">
        <f t="shared" si="54"/>
        <v>4</v>
      </c>
      <c r="F874">
        <f t="shared" si="55"/>
        <v>1</v>
      </c>
      <c r="G874">
        <f>VLOOKUP(E874,Sheet1!$A$2:$B$25,2,FALSE)</f>
        <v>1</v>
      </c>
    </row>
    <row r="875" spans="1:7" x14ac:dyDescent="0.25">
      <c r="A875" s="11">
        <v>44580.208333333336</v>
      </c>
      <c r="B875" s="10">
        <v>743.03599999999994</v>
      </c>
      <c r="C875">
        <f t="shared" si="52"/>
        <v>3</v>
      </c>
      <c r="D875">
        <f t="shared" si="53"/>
        <v>19</v>
      </c>
      <c r="E875">
        <f t="shared" si="54"/>
        <v>5</v>
      </c>
      <c r="F875">
        <f t="shared" si="55"/>
        <v>1</v>
      </c>
      <c r="G875">
        <f>VLOOKUP(E875,Sheet1!$A$2:$B$25,2,FALSE)</f>
        <v>1</v>
      </c>
    </row>
    <row r="876" spans="1:7" x14ac:dyDescent="0.25">
      <c r="A876" s="11">
        <v>44580.229166666664</v>
      </c>
      <c r="B876" s="10">
        <v>653.51599999999996</v>
      </c>
      <c r="C876">
        <f t="shared" si="52"/>
        <v>3</v>
      </c>
      <c r="D876">
        <f t="shared" si="53"/>
        <v>19</v>
      </c>
      <c r="E876">
        <f t="shared" si="54"/>
        <v>5</v>
      </c>
      <c r="F876">
        <f t="shared" si="55"/>
        <v>1</v>
      </c>
      <c r="G876">
        <f>VLOOKUP(E876,Sheet1!$A$2:$B$25,2,FALSE)</f>
        <v>1</v>
      </c>
    </row>
    <row r="877" spans="1:7" x14ac:dyDescent="0.25">
      <c r="A877" s="11">
        <v>44580.25</v>
      </c>
      <c r="B877" s="10">
        <v>731.27599999999995</v>
      </c>
      <c r="C877">
        <f t="shared" si="52"/>
        <v>3</v>
      </c>
      <c r="D877">
        <f t="shared" si="53"/>
        <v>19</v>
      </c>
      <c r="E877">
        <f t="shared" si="54"/>
        <v>6</v>
      </c>
      <c r="F877">
        <f t="shared" si="55"/>
        <v>1</v>
      </c>
      <c r="G877">
        <f>VLOOKUP(E877,Sheet1!$A$2:$B$25,2,FALSE)</f>
        <v>1</v>
      </c>
    </row>
    <row r="878" spans="1:7" x14ac:dyDescent="0.25">
      <c r="A878" s="11">
        <v>44580.270833333336</v>
      </c>
      <c r="B878" s="10">
        <v>852.95600000000002</v>
      </c>
      <c r="C878">
        <f t="shared" si="52"/>
        <v>3</v>
      </c>
      <c r="D878">
        <f t="shared" si="53"/>
        <v>19</v>
      </c>
      <c r="E878">
        <f t="shared" si="54"/>
        <v>6</v>
      </c>
      <c r="F878">
        <f t="shared" si="55"/>
        <v>1</v>
      </c>
      <c r="G878">
        <f>VLOOKUP(E878,Sheet1!$A$2:$B$25,2,FALSE)</f>
        <v>1</v>
      </c>
    </row>
    <row r="879" spans="1:7" x14ac:dyDescent="0.25">
      <c r="A879" s="11">
        <v>44580.291666666664</v>
      </c>
      <c r="B879" s="10">
        <v>880.10500000000002</v>
      </c>
      <c r="C879">
        <f t="shared" si="52"/>
        <v>3</v>
      </c>
      <c r="D879">
        <f t="shared" si="53"/>
        <v>19</v>
      </c>
      <c r="E879">
        <f t="shared" si="54"/>
        <v>7</v>
      </c>
      <c r="F879">
        <f t="shared" si="55"/>
        <v>1</v>
      </c>
      <c r="G879">
        <f>VLOOKUP(E879,Sheet1!$A$2:$B$25,2,FALSE)</f>
        <v>1</v>
      </c>
    </row>
    <row r="880" spans="1:7" x14ac:dyDescent="0.25">
      <c r="A880" s="11">
        <v>44580.3125</v>
      </c>
      <c r="B880" s="10">
        <v>864.35599999999999</v>
      </c>
      <c r="C880">
        <f t="shared" si="52"/>
        <v>3</v>
      </c>
      <c r="D880">
        <f t="shared" si="53"/>
        <v>19</v>
      </c>
      <c r="E880">
        <f t="shared" si="54"/>
        <v>7</v>
      </c>
      <c r="F880">
        <f t="shared" si="55"/>
        <v>1</v>
      </c>
      <c r="G880">
        <f>VLOOKUP(E880,Sheet1!$A$2:$B$25,2,FALSE)</f>
        <v>1</v>
      </c>
    </row>
    <row r="881" spans="1:7" x14ac:dyDescent="0.25">
      <c r="A881" s="11">
        <v>44580.333333333336</v>
      </c>
      <c r="B881" s="10">
        <v>857.03599999999994</v>
      </c>
      <c r="C881">
        <f t="shared" si="52"/>
        <v>3</v>
      </c>
      <c r="D881">
        <f t="shared" si="53"/>
        <v>19</v>
      </c>
      <c r="E881">
        <f t="shared" si="54"/>
        <v>8</v>
      </c>
      <c r="F881">
        <f t="shared" si="55"/>
        <v>1</v>
      </c>
      <c r="G881">
        <f>VLOOKUP(E881,Sheet1!$A$2:$B$25,2,FALSE)</f>
        <v>1</v>
      </c>
    </row>
    <row r="882" spans="1:7" x14ac:dyDescent="0.25">
      <c r="A882" s="11">
        <v>44580.354166666664</v>
      </c>
      <c r="B882" s="10">
        <v>805.10500000000002</v>
      </c>
      <c r="C882">
        <f t="shared" si="52"/>
        <v>3</v>
      </c>
      <c r="D882">
        <f t="shared" si="53"/>
        <v>19</v>
      </c>
      <c r="E882">
        <f t="shared" si="54"/>
        <v>8</v>
      </c>
      <c r="F882">
        <f t="shared" si="55"/>
        <v>1</v>
      </c>
      <c r="G882">
        <f>VLOOKUP(E882,Sheet1!$A$2:$B$25,2,FALSE)</f>
        <v>1</v>
      </c>
    </row>
    <row r="883" spans="1:7" x14ac:dyDescent="0.25">
      <c r="A883" s="11">
        <v>44580.375</v>
      </c>
      <c r="B883" s="10">
        <v>802.67600000000004</v>
      </c>
      <c r="C883">
        <f t="shared" si="52"/>
        <v>3</v>
      </c>
      <c r="D883">
        <f t="shared" si="53"/>
        <v>19</v>
      </c>
      <c r="E883">
        <f t="shared" si="54"/>
        <v>9</v>
      </c>
      <c r="F883">
        <f t="shared" si="55"/>
        <v>1</v>
      </c>
      <c r="G883">
        <f>VLOOKUP(E883,Sheet1!$A$2:$B$25,2,FALSE)</f>
        <v>1</v>
      </c>
    </row>
    <row r="884" spans="1:7" x14ac:dyDescent="0.25">
      <c r="A884" s="11">
        <v>44580.395833333336</v>
      </c>
      <c r="B884" s="10">
        <v>796.34</v>
      </c>
      <c r="C884">
        <f t="shared" si="52"/>
        <v>3</v>
      </c>
      <c r="D884">
        <f t="shared" si="53"/>
        <v>19</v>
      </c>
      <c r="E884">
        <f t="shared" si="54"/>
        <v>9</v>
      </c>
      <c r="F884">
        <f t="shared" si="55"/>
        <v>1</v>
      </c>
      <c r="G884">
        <f>VLOOKUP(E884,Sheet1!$A$2:$B$25,2,FALSE)</f>
        <v>1</v>
      </c>
    </row>
    <row r="885" spans="1:7" x14ac:dyDescent="0.25">
      <c r="A885" s="11">
        <v>44580.416666666664</v>
      </c>
      <c r="B885" s="10">
        <v>847.44100000000003</v>
      </c>
      <c r="C885">
        <f t="shared" si="52"/>
        <v>3</v>
      </c>
      <c r="D885">
        <f t="shared" si="53"/>
        <v>19</v>
      </c>
      <c r="E885">
        <f t="shared" si="54"/>
        <v>10</v>
      </c>
      <c r="F885">
        <f t="shared" si="55"/>
        <v>1</v>
      </c>
      <c r="G885">
        <f>VLOOKUP(E885,Sheet1!$A$2:$B$25,2,FALSE)</f>
        <v>1</v>
      </c>
    </row>
    <row r="886" spans="1:7" x14ac:dyDescent="0.25">
      <c r="A886" s="11">
        <v>44580.4375</v>
      </c>
      <c r="B886" s="10">
        <v>821.75599999999997</v>
      </c>
      <c r="C886">
        <f t="shared" si="52"/>
        <v>3</v>
      </c>
      <c r="D886">
        <f t="shared" si="53"/>
        <v>19</v>
      </c>
      <c r="E886">
        <f t="shared" si="54"/>
        <v>10</v>
      </c>
      <c r="F886">
        <f t="shared" si="55"/>
        <v>1</v>
      </c>
      <c r="G886">
        <f>VLOOKUP(E886,Sheet1!$A$2:$B$25,2,FALSE)</f>
        <v>1</v>
      </c>
    </row>
    <row r="887" spans="1:7" x14ac:dyDescent="0.25">
      <c r="A887" s="11">
        <v>44580.458333333336</v>
      </c>
      <c r="B887" s="10">
        <v>883.67600000000004</v>
      </c>
      <c r="C887">
        <f t="shared" si="52"/>
        <v>3</v>
      </c>
      <c r="D887">
        <f t="shared" si="53"/>
        <v>19</v>
      </c>
      <c r="E887">
        <f t="shared" si="54"/>
        <v>11</v>
      </c>
      <c r="F887">
        <f t="shared" si="55"/>
        <v>1</v>
      </c>
      <c r="G887">
        <f>VLOOKUP(E887,Sheet1!$A$2:$B$25,2,FALSE)</f>
        <v>1</v>
      </c>
    </row>
    <row r="888" spans="1:7" x14ac:dyDescent="0.25">
      <c r="A888" s="11">
        <v>44580.479166666664</v>
      </c>
      <c r="B888" s="10">
        <v>879.86</v>
      </c>
      <c r="C888">
        <f t="shared" si="52"/>
        <v>3</v>
      </c>
      <c r="D888">
        <f t="shared" si="53"/>
        <v>19</v>
      </c>
      <c r="E888">
        <f t="shared" si="54"/>
        <v>11</v>
      </c>
      <c r="F888">
        <f t="shared" si="55"/>
        <v>1</v>
      </c>
      <c r="G888">
        <f>VLOOKUP(E888,Sheet1!$A$2:$B$25,2,FALSE)</f>
        <v>1</v>
      </c>
    </row>
    <row r="889" spans="1:7" x14ac:dyDescent="0.25">
      <c r="A889" s="11">
        <v>44580.5</v>
      </c>
      <c r="B889" s="10">
        <v>845.52099999999996</v>
      </c>
      <c r="C889">
        <f t="shared" si="52"/>
        <v>3</v>
      </c>
      <c r="D889">
        <f t="shared" si="53"/>
        <v>19</v>
      </c>
      <c r="E889">
        <f t="shared" si="54"/>
        <v>12</v>
      </c>
      <c r="F889">
        <f t="shared" si="55"/>
        <v>1</v>
      </c>
      <c r="G889">
        <f>VLOOKUP(E889,Sheet1!$A$2:$B$25,2,FALSE)</f>
        <v>1</v>
      </c>
    </row>
    <row r="890" spans="1:7" x14ac:dyDescent="0.25">
      <c r="A890" s="11">
        <v>44580.520833333336</v>
      </c>
      <c r="B890" s="10">
        <v>826.07600000000002</v>
      </c>
      <c r="C890">
        <f t="shared" si="52"/>
        <v>3</v>
      </c>
      <c r="D890">
        <f t="shared" si="53"/>
        <v>19</v>
      </c>
      <c r="E890">
        <f t="shared" si="54"/>
        <v>12</v>
      </c>
      <c r="F890">
        <f t="shared" si="55"/>
        <v>1</v>
      </c>
      <c r="G890">
        <f>VLOOKUP(E890,Sheet1!$A$2:$B$25,2,FALSE)</f>
        <v>1</v>
      </c>
    </row>
    <row r="891" spans="1:7" x14ac:dyDescent="0.25">
      <c r="A891" s="11">
        <v>44580.541666666664</v>
      </c>
      <c r="B891" s="10">
        <v>840.86</v>
      </c>
      <c r="C891">
        <f t="shared" si="52"/>
        <v>3</v>
      </c>
      <c r="D891">
        <f t="shared" si="53"/>
        <v>19</v>
      </c>
      <c r="E891">
        <f t="shared" si="54"/>
        <v>13</v>
      </c>
      <c r="F891">
        <f t="shared" si="55"/>
        <v>1</v>
      </c>
      <c r="G891">
        <f>VLOOKUP(E891,Sheet1!$A$2:$B$25,2,FALSE)</f>
        <v>1</v>
      </c>
    </row>
    <row r="892" spans="1:7" x14ac:dyDescent="0.25">
      <c r="A892" s="11">
        <v>44580.5625</v>
      </c>
      <c r="B892" s="10">
        <v>801.02</v>
      </c>
      <c r="C892">
        <f t="shared" si="52"/>
        <v>3</v>
      </c>
      <c r="D892">
        <f t="shared" si="53"/>
        <v>19</v>
      </c>
      <c r="E892">
        <f t="shared" si="54"/>
        <v>13</v>
      </c>
      <c r="F892">
        <f t="shared" si="55"/>
        <v>1</v>
      </c>
      <c r="G892">
        <f>VLOOKUP(E892,Sheet1!$A$2:$B$25,2,FALSE)</f>
        <v>1</v>
      </c>
    </row>
    <row r="893" spans="1:7" x14ac:dyDescent="0.25">
      <c r="A893" s="11">
        <v>44580.583333333336</v>
      </c>
      <c r="B893" s="10">
        <v>709.32100000000003</v>
      </c>
      <c r="C893">
        <f t="shared" si="52"/>
        <v>3</v>
      </c>
      <c r="D893">
        <f t="shared" si="53"/>
        <v>19</v>
      </c>
      <c r="E893">
        <f t="shared" si="54"/>
        <v>14</v>
      </c>
      <c r="F893">
        <f t="shared" si="55"/>
        <v>1</v>
      </c>
      <c r="G893">
        <f>VLOOKUP(E893,Sheet1!$A$2:$B$25,2,FALSE)</f>
        <v>1</v>
      </c>
    </row>
    <row r="894" spans="1:7" x14ac:dyDescent="0.25">
      <c r="A894" s="11">
        <v>44580.604166666664</v>
      </c>
      <c r="B894" s="10">
        <v>434.54</v>
      </c>
      <c r="C894">
        <f t="shared" si="52"/>
        <v>3</v>
      </c>
      <c r="D894">
        <f t="shared" si="53"/>
        <v>19</v>
      </c>
      <c r="E894">
        <f t="shared" si="54"/>
        <v>14</v>
      </c>
      <c r="F894">
        <f t="shared" si="55"/>
        <v>1</v>
      </c>
      <c r="G894">
        <f>VLOOKUP(E894,Sheet1!$A$2:$B$25,2,FALSE)</f>
        <v>1</v>
      </c>
    </row>
    <row r="895" spans="1:7" x14ac:dyDescent="0.25">
      <c r="A895" s="11">
        <v>44580.625</v>
      </c>
      <c r="B895" s="10">
        <v>409.67599999999999</v>
      </c>
      <c r="C895">
        <f t="shared" si="52"/>
        <v>3</v>
      </c>
      <c r="D895">
        <f t="shared" si="53"/>
        <v>19</v>
      </c>
      <c r="E895">
        <f t="shared" si="54"/>
        <v>15</v>
      </c>
      <c r="F895">
        <f t="shared" si="55"/>
        <v>1</v>
      </c>
      <c r="G895">
        <f>VLOOKUP(E895,Sheet1!$A$2:$B$25,2,FALSE)</f>
        <v>1</v>
      </c>
    </row>
    <row r="896" spans="1:7" x14ac:dyDescent="0.25">
      <c r="A896" s="11">
        <v>44580.645833333336</v>
      </c>
      <c r="B896" s="10">
        <v>407.185</v>
      </c>
      <c r="C896">
        <f t="shared" si="52"/>
        <v>3</v>
      </c>
      <c r="D896">
        <f t="shared" si="53"/>
        <v>19</v>
      </c>
      <c r="E896">
        <f t="shared" si="54"/>
        <v>15</v>
      </c>
      <c r="F896">
        <f t="shared" si="55"/>
        <v>1</v>
      </c>
      <c r="G896">
        <f>VLOOKUP(E896,Sheet1!$A$2:$B$25,2,FALSE)</f>
        <v>1</v>
      </c>
    </row>
    <row r="897" spans="1:7" x14ac:dyDescent="0.25">
      <c r="A897" s="11">
        <v>44580.666666666664</v>
      </c>
      <c r="B897" s="10">
        <v>383.63600000000002</v>
      </c>
      <c r="C897">
        <f t="shared" si="52"/>
        <v>3</v>
      </c>
      <c r="D897">
        <f t="shared" si="53"/>
        <v>19</v>
      </c>
      <c r="E897">
        <f t="shared" si="54"/>
        <v>16</v>
      </c>
      <c r="F897">
        <f t="shared" si="55"/>
        <v>1</v>
      </c>
      <c r="G897">
        <f>VLOOKUP(E897,Sheet1!$A$2:$B$25,2,FALSE)</f>
        <v>0</v>
      </c>
    </row>
    <row r="898" spans="1:7" x14ac:dyDescent="0.25">
      <c r="A898" s="11">
        <v>44580.6875</v>
      </c>
      <c r="B898" s="10">
        <v>378.86</v>
      </c>
      <c r="C898">
        <f t="shared" ref="C898:C961" si="56">WEEKDAY(A898,2)</f>
        <v>3</v>
      </c>
      <c r="D898">
        <f t="shared" ref="D898:D961" si="57">DAY(A898)</f>
        <v>19</v>
      </c>
      <c r="E898">
        <f t="shared" ref="E898:E961" si="58">HOUR(A898)</f>
        <v>16</v>
      </c>
      <c r="F898">
        <f t="shared" si="55"/>
        <v>1</v>
      </c>
      <c r="G898">
        <f>VLOOKUP(E898,Sheet1!$A$2:$B$25,2,FALSE)</f>
        <v>0</v>
      </c>
    </row>
    <row r="899" spans="1:7" x14ac:dyDescent="0.25">
      <c r="A899" s="11">
        <v>44580.708333333336</v>
      </c>
      <c r="B899" s="10">
        <v>377.66500000000002</v>
      </c>
      <c r="C899">
        <f t="shared" si="56"/>
        <v>3</v>
      </c>
      <c r="D899">
        <f t="shared" si="57"/>
        <v>19</v>
      </c>
      <c r="E899">
        <f t="shared" si="58"/>
        <v>17</v>
      </c>
      <c r="F899">
        <f t="shared" ref="F899:F962" si="59">IF(C899&gt;=6,0,1)</f>
        <v>1</v>
      </c>
      <c r="G899">
        <f>VLOOKUP(E899,Sheet1!$A$2:$B$25,2,FALSE)</f>
        <v>0</v>
      </c>
    </row>
    <row r="900" spans="1:7" x14ac:dyDescent="0.25">
      <c r="A900" s="11">
        <v>44580.729166666664</v>
      </c>
      <c r="B900" s="10">
        <v>377.39600000000002</v>
      </c>
      <c r="C900">
        <f t="shared" si="56"/>
        <v>3</v>
      </c>
      <c r="D900">
        <f t="shared" si="57"/>
        <v>19</v>
      </c>
      <c r="E900">
        <f t="shared" si="58"/>
        <v>17</v>
      </c>
      <c r="F900">
        <f t="shared" si="59"/>
        <v>1</v>
      </c>
      <c r="G900">
        <f>VLOOKUP(E900,Sheet1!$A$2:$B$25,2,FALSE)</f>
        <v>0</v>
      </c>
    </row>
    <row r="901" spans="1:7" x14ac:dyDescent="0.25">
      <c r="A901" s="11">
        <v>44580.75</v>
      </c>
      <c r="B901" s="10">
        <v>380.51600000000002</v>
      </c>
      <c r="C901">
        <f t="shared" si="56"/>
        <v>3</v>
      </c>
      <c r="D901">
        <f t="shared" si="57"/>
        <v>19</v>
      </c>
      <c r="E901">
        <f t="shared" si="58"/>
        <v>18</v>
      </c>
      <c r="F901">
        <f t="shared" si="59"/>
        <v>1</v>
      </c>
      <c r="G901">
        <f>VLOOKUP(E901,Sheet1!$A$2:$B$25,2,FALSE)</f>
        <v>0</v>
      </c>
    </row>
    <row r="902" spans="1:7" x14ac:dyDescent="0.25">
      <c r="A902" s="11">
        <v>44580.770833333336</v>
      </c>
      <c r="B902" s="10">
        <v>371.99599999999998</v>
      </c>
      <c r="C902">
        <f t="shared" si="56"/>
        <v>3</v>
      </c>
      <c r="D902">
        <f t="shared" si="57"/>
        <v>19</v>
      </c>
      <c r="E902">
        <f t="shared" si="58"/>
        <v>18</v>
      </c>
      <c r="F902">
        <f t="shared" si="59"/>
        <v>1</v>
      </c>
      <c r="G902">
        <f>VLOOKUP(E902,Sheet1!$A$2:$B$25,2,FALSE)</f>
        <v>0</v>
      </c>
    </row>
    <row r="903" spans="1:7" x14ac:dyDescent="0.25">
      <c r="A903" s="11">
        <v>44580.791666666664</v>
      </c>
      <c r="B903" s="10">
        <v>374.66</v>
      </c>
      <c r="C903">
        <f t="shared" si="56"/>
        <v>3</v>
      </c>
      <c r="D903">
        <f t="shared" si="57"/>
        <v>19</v>
      </c>
      <c r="E903">
        <f t="shared" si="58"/>
        <v>19</v>
      </c>
      <c r="F903">
        <f t="shared" si="59"/>
        <v>1</v>
      </c>
      <c r="G903">
        <f>VLOOKUP(E903,Sheet1!$A$2:$B$25,2,FALSE)</f>
        <v>0</v>
      </c>
    </row>
    <row r="904" spans="1:7" x14ac:dyDescent="0.25">
      <c r="A904" s="11">
        <v>44580.8125</v>
      </c>
      <c r="B904" s="10">
        <v>351.84100000000001</v>
      </c>
      <c r="C904">
        <f t="shared" si="56"/>
        <v>3</v>
      </c>
      <c r="D904">
        <f t="shared" si="57"/>
        <v>19</v>
      </c>
      <c r="E904">
        <f t="shared" si="58"/>
        <v>19</v>
      </c>
      <c r="F904">
        <f t="shared" si="59"/>
        <v>1</v>
      </c>
      <c r="G904">
        <f>VLOOKUP(E904,Sheet1!$A$2:$B$25,2,FALSE)</f>
        <v>0</v>
      </c>
    </row>
    <row r="905" spans="1:7" x14ac:dyDescent="0.25">
      <c r="A905" s="11">
        <v>44580.833333333336</v>
      </c>
      <c r="B905" s="10">
        <v>352.82</v>
      </c>
      <c r="C905">
        <f t="shared" si="56"/>
        <v>3</v>
      </c>
      <c r="D905">
        <f t="shared" si="57"/>
        <v>19</v>
      </c>
      <c r="E905">
        <f t="shared" si="58"/>
        <v>20</v>
      </c>
      <c r="F905">
        <f t="shared" si="59"/>
        <v>1</v>
      </c>
      <c r="G905">
        <f>VLOOKUP(E905,Sheet1!$A$2:$B$25,2,FALSE)</f>
        <v>0</v>
      </c>
    </row>
    <row r="906" spans="1:7" x14ac:dyDescent="0.25">
      <c r="A906" s="11">
        <v>44580.854166666664</v>
      </c>
      <c r="B906" s="10">
        <v>349.34</v>
      </c>
      <c r="C906">
        <f t="shared" si="56"/>
        <v>3</v>
      </c>
      <c r="D906">
        <f t="shared" si="57"/>
        <v>19</v>
      </c>
      <c r="E906">
        <f t="shared" si="58"/>
        <v>20</v>
      </c>
      <c r="F906">
        <f t="shared" si="59"/>
        <v>1</v>
      </c>
      <c r="G906">
        <f>VLOOKUP(E906,Sheet1!$A$2:$B$25,2,FALSE)</f>
        <v>0</v>
      </c>
    </row>
    <row r="907" spans="1:7" x14ac:dyDescent="0.25">
      <c r="A907" s="11">
        <v>44580.875</v>
      </c>
      <c r="B907" s="10">
        <v>337.43599999999998</v>
      </c>
      <c r="C907">
        <f t="shared" si="56"/>
        <v>3</v>
      </c>
      <c r="D907">
        <f t="shared" si="57"/>
        <v>19</v>
      </c>
      <c r="E907">
        <f t="shared" si="58"/>
        <v>21</v>
      </c>
      <c r="F907">
        <f t="shared" si="59"/>
        <v>1</v>
      </c>
      <c r="G907">
        <f>VLOOKUP(E907,Sheet1!$A$2:$B$25,2,FALSE)</f>
        <v>0</v>
      </c>
    </row>
    <row r="908" spans="1:7" x14ac:dyDescent="0.25">
      <c r="A908" s="11">
        <v>44580.895833333336</v>
      </c>
      <c r="B908" s="10">
        <v>329.54</v>
      </c>
      <c r="C908">
        <f t="shared" si="56"/>
        <v>3</v>
      </c>
      <c r="D908">
        <f t="shared" si="57"/>
        <v>19</v>
      </c>
      <c r="E908">
        <f t="shared" si="58"/>
        <v>21</v>
      </c>
      <c r="F908">
        <f t="shared" si="59"/>
        <v>1</v>
      </c>
      <c r="G908">
        <f>VLOOKUP(E908,Sheet1!$A$2:$B$25,2,FALSE)</f>
        <v>0</v>
      </c>
    </row>
    <row r="909" spans="1:7" x14ac:dyDescent="0.25">
      <c r="A909" s="11">
        <v>44580.916666666664</v>
      </c>
      <c r="B909" s="10">
        <v>329.06</v>
      </c>
      <c r="C909">
        <f t="shared" si="56"/>
        <v>3</v>
      </c>
      <c r="D909">
        <f t="shared" si="57"/>
        <v>19</v>
      </c>
      <c r="E909">
        <f t="shared" si="58"/>
        <v>22</v>
      </c>
      <c r="F909">
        <f t="shared" si="59"/>
        <v>1</v>
      </c>
      <c r="G909">
        <f>VLOOKUP(E909,Sheet1!$A$2:$B$25,2,FALSE)</f>
        <v>0</v>
      </c>
    </row>
    <row r="910" spans="1:7" x14ac:dyDescent="0.25">
      <c r="A910" s="11">
        <v>44580.9375</v>
      </c>
      <c r="B910" s="10">
        <v>328.70499999999998</v>
      </c>
      <c r="C910">
        <f t="shared" si="56"/>
        <v>3</v>
      </c>
      <c r="D910">
        <f t="shared" si="57"/>
        <v>19</v>
      </c>
      <c r="E910">
        <f t="shared" si="58"/>
        <v>22</v>
      </c>
      <c r="F910">
        <f t="shared" si="59"/>
        <v>1</v>
      </c>
      <c r="G910">
        <f>VLOOKUP(E910,Sheet1!$A$2:$B$25,2,FALSE)</f>
        <v>0</v>
      </c>
    </row>
    <row r="911" spans="1:7" x14ac:dyDescent="0.25">
      <c r="A911" s="11">
        <v>44580.958333333336</v>
      </c>
      <c r="B911" s="10">
        <v>330.11599999999999</v>
      </c>
      <c r="C911">
        <f t="shared" si="56"/>
        <v>3</v>
      </c>
      <c r="D911">
        <f t="shared" si="57"/>
        <v>19</v>
      </c>
      <c r="E911">
        <f t="shared" si="58"/>
        <v>23</v>
      </c>
      <c r="F911">
        <f t="shared" si="59"/>
        <v>1</v>
      </c>
      <c r="G911">
        <f>VLOOKUP(E911,Sheet1!$A$2:$B$25,2,FALSE)</f>
        <v>0</v>
      </c>
    </row>
    <row r="912" spans="1:7" x14ac:dyDescent="0.25">
      <c r="A912" s="11">
        <v>44580.979166666664</v>
      </c>
      <c r="B912" s="10">
        <v>330.74</v>
      </c>
      <c r="C912">
        <f t="shared" si="56"/>
        <v>3</v>
      </c>
      <c r="D912">
        <f t="shared" si="57"/>
        <v>19</v>
      </c>
      <c r="E912">
        <f t="shared" si="58"/>
        <v>23</v>
      </c>
      <c r="F912">
        <f t="shared" si="59"/>
        <v>1</v>
      </c>
      <c r="G912">
        <f>VLOOKUP(E912,Sheet1!$A$2:$B$25,2,FALSE)</f>
        <v>0</v>
      </c>
    </row>
    <row r="913" spans="1:7" x14ac:dyDescent="0.25">
      <c r="A913" s="11">
        <v>44581</v>
      </c>
      <c r="B913" s="10">
        <v>328.07600000000002</v>
      </c>
      <c r="C913">
        <f t="shared" si="56"/>
        <v>4</v>
      </c>
      <c r="D913">
        <f t="shared" si="57"/>
        <v>20</v>
      </c>
      <c r="E913">
        <f t="shared" si="58"/>
        <v>0</v>
      </c>
      <c r="F913">
        <f t="shared" si="59"/>
        <v>1</v>
      </c>
      <c r="G913">
        <f>VLOOKUP(E913,Sheet1!$A$2:$B$25,2,FALSE)</f>
        <v>0</v>
      </c>
    </row>
    <row r="914" spans="1:7" x14ac:dyDescent="0.25">
      <c r="A914" s="11">
        <v>44581.020833333336</v>
      </c>
      <c r="B914" s="10">
        <v>328.19600000000003</v>
      </c>
      <c r="C914">
        <f t="shared" si="56"/>
        <v>4</v>
      </c>
      <c r="D914">
        <f t="shared" si="57"/>
        <v>20</v>
      </c>
      <c r="E914">
        <f t="shared" si="58"/>
        <v>0</v>
      </c>
      <c r="F914">
        <f t="shared" si="59"/>
        <v>1</v>
      </c>
      <c r="G914">
        <f>VLOOKUP(E914,Sheet1!$A$2:$B$25,2,FALSE)</f>
        <v>0</v>
      </c>
    </row>
    <row r="915" spans="1:7" x14ac:dyDescent="0.25">
      <c r="A915" s="11">
        <v>44581.041666666664</v>
      </c>
      <c r="B915" s="10">
        <v>329.40100000000001</v>
      </c>
      <c r="C915">
        <f t="shared" si="56"/>
        <v>4</v>
      </c>
      <c r="D915">
        <f t="shared" si="57"/>
        <v>20</v>
      </c>
      <c r="E915">
        <f t="shared" si="58"/>
        <v>1</v>
      </c>
      <c r="F915">
        <f t="shared" si="59"/>
        <v>1</v>
      </c>
      <c r="G915">
        <f>VLOOKUP(E915,Sheet1!$A$2:$B$25,2,FALSE)</f>
        <v>0</v>
      </c>
    </row>
    <row r="916" spans="1:7" x14ac:dyDescent="0.25">
      <c r="A916" s="11">
        <v>44581.0625</v>
      </c>
      <c r="B916" s="10">
        <v>327.98</v>
      </c>
      <c r="C916">
        <f t="shared" si="56"/>
        <v>4</v>
      </c>
      <c r="D916">
        <f t="shared" si="57"/>
        <v>20</v>
      </c>
      <c r="E916">
        <f t="shared" si="58"/>
        <v>1</v>
      </c>
      <c r="F916">
        <f t="shared" si="59"/>
        <v>1</v>
      </c>
      <c r="G916">
        <f>VLOOKUP(E916,Sheet1!$A$2:$B$25,2,FALSE)</f>
        <v>0</v>
      </c>
    </row>
    <row r="917" spans="1:7" x14ac:dyDescent="0.25">
      <c r="A917" s="11">
        <v>44581.083333333336</v>
      </c>
      <c r="B917" s="10">
        <v>333.35599999999999</v>
      </c>
      <c r="C917">
        <f t="shared" si="56"/>
        <v>4</v>
      </c>
      <c r="D917">
        <f t="shared" si="57"/>
        <v>20</v>
      </c>
      <c r="E917">
        <f t="shared" si="58"/>
        <v>2</v>
      </c>
      <c r="F917">
        <f t="shared" si="59"/>
        <v>1</v>
      </c>
      <c r="G917">
        <f>VLOOKUP(E917,Sheet1!$A$2:$B$25,2,FALSE)</f>
        <v>0</v>
      </c>
    </row>
    <row r="918" spans="1:7" x14ac:dyDescent="0.25">
      <c r="A918" s="11">
        <v>44581.104166666664</v>
      </c>
      <c r="B918" s="10">
        <v>334.916</v>
      </c>
      <c r="C918">
        <f t="shared" si="56"/>
        <v>4</v>
      </c>
      <c r="D918">
        <f t="shared" si="57"/>
        <v>20</v>
      </c>
      <c r="E918">
        <f t="shared" si="58"/>
        <v>2</v>
      </c>
      <c r="F918">
        <f t="shared" si="59"/>
        <v>1</v>
      </c>
      <c r="G918">
        <f>VLOOKUP(E918,Sheet1!$A$2:$B$25,2,FALSE)</f>
        <v>0</v>
      </c>
    </row>
    <row r="919" spans="1:7" x14ac:dyDescent="0.25">
      <c r="A919" s="11">
        <v>44581.125</v>
      </c>
      <c r="B919" s="10">
        <v>358.10500000000002</v>
      </c>
      <c r="C919">
        <f t="shared" si="56"/>
        <v>4</v>
      </c>
      <c r="D919">
        <f t="shared" si="57"/>
        <v>20</v>
      </c>
      <c r="E919">
        <f t="shared" si="58"/>
        <v>3</v>
      </c>
      <c r="F919">
        <f t="shared" si="59"/>
        <v>1</v>
      </c>
      <c r="G919">
        <f>VLOOKUP(E919,Sheet1!$A$2:$B$25,2,FALSE)</f>
        <v>0</v>
      </c>
    </row>
    <row r="920" spans="1:7" x14ac:dyDescent="0.25">
      <c r="A920" s="11">
        <v>44581.145833333336</v>
      </c>
      <c r="B920" s="10">
        <v>462.71600000000001</v>
      </c>
      <c r="C920">
        <f t="shared" si="56"/>
        <v>4</v>
      </c>
      <c r="D920">
        <f t="shared" si="57"/>
        <v>20</v>
      </c>
      <c r="E920">
        <f t="shared" si="58"/>
        <v>3</v>
      </c>
      <c r="F920">
        <f t="shared" si="59"/>
        <v>1</v>
      </c>
      <c r="G920">
        <f>VLOOKUP(E920,Sheet1!$A$2:$B$25,2,FALSE)</f>
        <v>0</v>
      </c>
    </row>
    <row r="921" spans="1:7" x14ac:dyDescent="0.25">
      <c r="A921" s="11">
        <v>44581.166666666664</v>
      </c>
      <c r="B921" s="10">
        <v>438.98</v>
      </c>
      <c r="C921">
        <f t="shared" si="56"/>
        <v>4</v>
      </c>
      <c r="D921">
        <f t="shared" si="57"/>
        <v>20</v>
      </c>
      <c r="E921">
        <f t="shared" si="58"/>
        <v>4</v>
      </c>
      <c r="F921">
        <f t="shared" si="59"/>
        <v>1</v>
      </c>
      <c r="G921">
        <f>VLOOKUP(E921,Sheet1!$A$2:$B$25,2,FALSE)</f>
        <v>1</v>
      </c>
    </row>
    <row r="922" spans="1:7" x14ac:dyDescent="0.25">
      <c r="A922" s="11">
        <v>44581.1875</v>
      </c>
      <c r="B922" s="10">
        <v>827.76099999999997</v>
      </c>
      <c r="C922">
        <f t="shared" si="56"/>
        <v>4</v>
      </c>
      <c r="D922">
        <f t="shared" si="57"/>
        <v>20</v>
      </c>
      <c r="E922">
        <f t="shared" si="58"/>
        <v>4</v>
      </c>
      <c r="F922">
        <f t="shared" si="59"/>
        <v>1</v>
      </c>
      <c r="G922">
        <f>VLOOKUP(E922,Sheet1!$A$2:$B$25,2,FALSE)</f>
        <v>1</v>
      </c>
    </row>
    <row r="923" spans="1:7" x14ac:dyDescent="0.25">
      <c r="A923" s="11">
        <v>44581.208333333336</v>
      </c>
      <c r="B923" s="10">
        <v>636.02</v>
      </c>
      <c r="C923">
        <f t="shared" si="56"/>
        <v>4</v>
      </c>
      <c r="D923">
        <f t="shared" si="57"/>
        <v>20</v>
      </c>
      <c r="E923">
        <f t="shared" si="58"/>
        <v>5</v>
      </c>
      <c r="F923">
        <f t="shared" si="59"/>
        <v>1</v>
      </c>
      <c r="G923">
        <f>VLOOKUP(E923,Sheet1!$A$2:$B$25,2,FALSE)</f>
        <v>1</v>
      </c>
    </row>
    <row r="924" spans="1:7" x14ac:dyDescent="0.25">
      <c r="A924" s="11">
        <v>44581.229166666664</v>
      </c>
      <c r="B924" s="10">
        <v>637.19600000000003</v>
      </c>
      <c r="C924">
        <f t="shared" si="56"/>
        <v>4</v>
      </c>
      <c r="D924">
        <f t="shared" si="57"/>
        <v>20</v>
      </c>
      <c r="E924">
        <f t="shared" si="58"/>
        <v>5</v>
      </c>
      <c r="F924">
        <f t="shared" si="59"/>
        <v>1</v>
      </c>
      <c r="G924">
        <f>VLOOKUP(E924,Sheet1!$A$2:$B$25,2,FALSE)</f>
        <v>1</v>
      </c>
    </row>
    <row r="925" spans="1:7" x14ac:dyDescent="0.25">
      <c r="A925" s="11">
        <v>44581.25</v>
      </c>
      <c r="B925" s="10">
        <v>762.02499999999998</v>
      </c>
      <c r="C925">
        <f t="shared" si="56"/>
        <v>4</v>
      </c>
      <c r="D925">
        <f t="shared" si="57"/>
        <v>20</v>
      </c>
      <c r="E925">
        <f t="shared" si="58"/>
        <v>6</v>
      </c>
      <c r="F925">
        <f t="shared" si="59"/>
        <v>1</v>
      </c>
      <c r="G925">
        <f>VLOOKUP(E925,Sheet1!$A$2:$B$25,2,FALSE)</f>
        <v>1</v>
      </c>
    </row>
    <row r="926" spans="1:7" x14ac:dyDescent="0.25">
      <c r="A926" s="11">
        <v>44581.270833333336</v>
      </c>
      <c r="B926" s="10">
        <v>849.11599999999999</v>
      </c>
      <c r="C926">
        <f t="shared" si="56"/>
        <v>4</v>
      </c>
      <c r="D926">
        <f t="shared" si="57"/>
        <v>20</v>
      </c>
      <c r="E926">
        <f t="shared" si="58"/>
        <v>6</v>
      </c>
      <c r="F926">
        <f t="shared" si="59"/>
        <v>1</v>
      </c>
      <c r="G926">
        <f>VLOOKUP(E926,Sheet1!$A$2:$B$25,2,FALSE)</f>
        <v>1</v>
      </c>
    </row>
    <row r="927" spans="1:7" x14ac:dyDescent="0.25">
      <c r="A927" s="11">
        <v>44581.291666666664</v>
      </c>
      <c r="B927" s="10">
        <v>870.35599999999999</v>
      </c>
      <c r="C927">
        <f t="shared" si="56"/>
        <v>4</v>
      </c>
      <c r="D927">
        <f t="shared" si="57"/>
        <v>20</v>
      </c>
      <c r="E927">
        <f t="shared" si="58"/>
        <v>7</v>
      </c>
      <c r="F927">
        <f t="shared" si="59"/>
        <v>1</v>
      </c>
      <c r="G927">
        <f>VLOOKUP(E927,Sheet1!$A$2:$B$25,2,FALSE)</f>
        <v>1</v>
      </c>
    </row>
    <row r="928" spans="1:7" x14ac:dyDescent="0.25">
      <c r="A928" s="11">
        <v>44581.3125</v>
      </c>
      <c r="B928" s="10">
        <v>932.18499999999995</v>
      </c>
      <c r="C928">
        <f t="shared" si="56"/>
        <v>4</v>
      </c>
      <c r="D928">
        <f t="shared" si="57"/>
        <v>20</v>
      </c>
      <c r="E928">
        <f t="shared" si="58"/>
        <v>7</v>
      </c>
      <c r="F928">
        <f t="shared" si="59"/>
        <v>1</v>
      </c>
      <c r="G928">
        <f>VLOOKUP(E928,Sheet1!$A$2:$B$25,2,FALSE)</f>
        <v>1</v>
      </c>
    </row>
    <row r="929" spans="1:7" x14ac:dyDescent="0.25">
      <c r="A929" s="11">
        <v>44581.333333333336</v>
      </c>
      <c r="B929" s="10">
        <v>934.19600000000003</v>
      </c>
      <c r="C929">
        <f t="shared" si="56"/>
        <v>4</v>
      </c>
      <c r="D929">
        <f t="shared" si="57"/>
        <v>20</v>
      </c>
      <c r="E929">
        <f t="shared" si="58"/>
        <v>8</v>
      </c>
      <c r="F929">
        <f t="shared" si="59"/>
        <v>1</v>
      </c>
      <c r="G929">
        <f>VLOOKUP(E929,Sheet1!$A$2:$B$25,2,FALSE)</f>
        <v>1</v>
      </c>
    </row>
    <row r="930" spans="1:7" x14ac:dyDescent="0.25">
      <c r="A930" s="11">
        <v>44581.354166666664</v>
      </c>
      <c r="B930" s="10">
        <v>950.18</v>
      </c>
      <c r="C930">
        <f t="shared" si="56"/>
        <v>4</v>
      </c>
      <c r="D930">
        <f t="shared" si="57"/>
        <v>20</v>
      </c>
      <c r="E930">
        <f t="shared" si="58"/>
        <v>8</v>
      </c>
      <c r="F930">
        <f t="shared" si="59"/>
        <v>1</v>
      </c>
      <c r="G930">
        <f>VLOOKUP(E930,Sheet1!$A$2:$B$25,2,FALSE)</f>
        <v>1</v>
      </c>
    </row>
    <row r="931" spans="1:7" x14ac:dyDescent="0.25">
      <c r="A931" s="11">
        <v>44581.375</v>
      </c>
      <c r="B931" s="10">
        <v>975.26499999999999</v>
      </c>
      <c r="C931">
        <f t="shared" si="56"/>
        <v>4</v>
      </c>
      <c r="D931">
        <f t="shared" si="57"/>
        <v>20</v>
      </c>
      <c r="E931">
        <f t="shared" si="58"/>
        <v>9</v>
      </c>
      <c r="F931">
        <f t="shared" si="59"/>
        <v>1</v>
      </c>
      <c r="G931">
        <f>VLOOKUP(E931,Sheet1!$A$2:$B$25,2,FALSE)</f>
        <v>1</v>
      </c>
    </row>
    <row r="932" spans="1:7" x14ac:dyDescent="0.25">
      <c r="A932" s="11">
        <v>44581.395833333336</v>
      </c>
      <c r="B932" s="10">
        <v>969.11599999999999</v>
      </c>
      <c r="C932">
        <f t="shared" si="56"/>
        <v>4</v>
      </c>
      <c r="D932">
        <f t="shared" si="57"/>
        <v>20</v>
      </c>
      <c r="E932">
        <f t="shared" si="58"/>
        <v>9</v>
      </c>
      <c r="F932">
        <f t="shared" si="59"/>
        <v>1</v>
      </c>
      <c r="G932">
        <f>VLOOKUP(E932,Sheet1!$A$2:$B$25,2,FALSE)</f>
        <v>1</v>
      </c>
    </row>
    <row r="933" spans="1:7" x14ac:dyDescent="0.25">
      <c r="A933" s="11">
        <v>44581.416666666664</v>
      </c>
      <c r="B933" s="10">
        <v>969.26</v>
      </c>
      <c r="C933">
        <f t="shared" si="56"/>
        <v>4</v>
      </c>
      <c r="D933">
        <f t="shared" si="57"/>
        <v>20</v>
      </c>
      <c r="E933">
        <f t="shared" si="58"/>
        <v>10</v>
      </c>
      <c r="F933">
        <f t="shared" si="59"/>
        <v>1</v>
      </c>
      <c r="G933">
        <f>VLOOKUP(E933,Sheet1!$A$2:$B$25,2,FALSE)</f>
        <v>1</v>
      </c>
    </row>
    <row r="934" spans="1:7" x14ac:dyDescent="0.25">
      <c r="A934" s="11">
        <v>44581.4375</v>
      </c>
      <c r="B934" s="10">
        <v>926.39599999999996</v>
      </c>
      <c r="C934">
        <f t="shared" si="56"/>
        <v>4</v>
      </c>
      <c r="D934">
        <f t="shared" si="57"/>
        <v>20</v>
      </c>
      <c r="E934">
        <f t="shared" si="58"/>
        <v>10</v>
      </c>
      <c r="F934">
        <f t="shared" si="59"/>
        <v>1</v>
      </c>
      <c r="G934">
        <f>VLOOKUP(E934,Sheet1!$A$2:$B$25,2,FALSE)</f>
        <v>1</v>
      </c>
    </row>
    <row r="935" spans="1:7" x14ac:dyDescent="0.25">
      <c r="A935" s="11">
        <v>44581.458333333336</v>
      </c>
      <c r="B935" s="10">
        <v>959.66</v>
      </c>
      <c r="C935">
        <f t="shared" si="56"/>
        <v>4</v>
      </c>
      <c r="D935">
        <f t="shared" si="57"/>
        <v>20</v>
      </c>
      <c r="E935">
        <f t="shared" si="58"/>
        <v>11</v>
      </c>
      <c r="F935">
        <f t="shared" si="59"/>
        <v>1</v>
      </c>
      <c r="G935">
        <f>VLOOKUP(E935,Sheet1!$A$2:$B$25,2,FALSE)</f>
        <v>1</v>
      </c>
    </row>
    <row r="936" spans="1:7" x14ac:dyDescent="0.25">
      <c r="A936" s="11">
        <v>44581.479166666664</v>
      </c>
      <c r="B936" s="10">
        <v>869.06</v>
      </c>
      <c r="C936">
        <f t="shared" si="56"/>
        <v>4</v>
      </c>
      <c r="D936">
        <f t="shared" si="57"/>
        <v>20</v>
      </c>
      <c r="E936">
        <f t="shared" si="58"/>
        <v>11</v>
      </c>
      <c r="F936">
        <f t="shared" si="59"/>
        <v>1</v>
      </c>
      <c r="G936">
        <f>VLOOKUP(E936,Sheet1!$A$2:$B$25,2,FALSE)</f>
        <v>1</v>
      </c>
    </row>
    <row r="937" spans="1:7" x14ac:dyDescent="0.25">
      <c r="A937" s="11">
        <v>44581.5</v>
      </c>
      <c r="B937" s="10">
        <v>909.00099999999998</v>
      </c>
      <c r="C937">
        <f t="shared" si="56"/>
        <v>4</v>
      </c>
      <c r="D937">
        <f t="shared" si="57"/>
        <v>20</v>
      </c>
      <c r="E937">
        <f t="shared" si="58"/>
        <v>12</v>
      </c>
      <c r="F937">
        <f t="shared" si="59"/>
        <v>1</v>
      </c>
      <c r="G937">
        <f>VLOOKUP(E937,Sheet1!$A$2:$B$25,2,FALSE)</f>
        <v>1</v>
      </c>
    </row>
    <row r="938" spans="1:7" x14ac:dyDescent="0.25">
      <c r="A938" s="11">
        <v>44581.520833333336</v>
      </c>
      <c r="B938" s="10">
        <v>852.35599999999999</v>
      </c>
      <c r="C938">
        <f t="shared" si="56"/>
        <v>4</v>
      </c>
      <c r="D938">
        <f t="shared" si="57"/>
        <v>20</v>
      </c>
      <c r="E938">
        <f t="shared" si="58"/>
        <v>12</v>
      </c>
      <c r="F938">
        <f t="shared" si="59"/>
        <v>1</v>
      </c>
      <c r="G938">
        <f>VLOOKUP(E938,Sheet1!$A$2:$B$25,2,FALSE)</f>
        <v>1</v>
      </c>
    </row>
    <row r="939" spans="1:7" x14ac:dyDescent="0.25">
      <c r="A939" s="11">
        <v>44581.541666666664</v>
      </c>
      <c r="B939" s="10">
        <v>861.11599999999999</v>
      </c>
      <c r="C939">
        <f t="shared" si="56"/>
        <v>4</v>
      </c>
      <c r="D939">
        <f t="shared" si="57"/>
        <v>20</v>
      </c>
      <c r="E939">
        <f t="shared" si="58"/>
        <v>13</v>
      </c>
      <c r="F939">
        <f t="shared" si="59"/>
        <v>1</v>
      </c>
      <c r="G939">
        <f>VLOOKUP(E939,Sheet1!$A$2:$B$25,2,FALSE)</f>
        <v>1</v>
      </c>
    </row>
    <row r="940" spans="1:7" x14ac:dyDescent="0.25">
      <c r="A940" s="11">
        <v>44581.5625</v>
      </c>
      <c r="B940" s="10">
        <v>832.46500000000003</v>
      </c>
      <c r="C940">
        <f t="shared" si="56"/>
        <v>4</v>
      </c>
      <c r="D940">
        <f t="shared" si="57"/>
        <v>20</v>
      </c>
      <c r="E940">
        <f t="shared" si="58"/>
        <v>13</v>
      </c>
      <c r="F940">
        <f t="shared" si="59"/>
        <v>1</v>
      </c>
      <c r="G940">
        <f>VLOOKUP(E940,Sheet1!$A$2:$B$25,2,FALSE)</f>
        <v>1</v>
      </c>
    </row>
    <row r="941" spans="1:7" x14ac:dyDescent="0.25">
      <c r="A941" s="11">
        <v>44581.583333333336</v>
      </c>
      <c r="B941" s="10">
        <v>678.476</v>
      </c>
      <c r="C941">
        <f t="shared" si="56"/>
        <v>4</v>
      </c>
      <c r="D941">
        <f t="shared" si="57"/>
        <v>20</v>
      </c>
      <c r="E941">
        <f t="shared" si="58"/>
        <v>14</v>
      </c>
      <c r="F941">
        <f t="shared" si="59"/>
        <v>1</v>
      </c>
      <c r="G941">
        <f>VLOOKUP(E941,Sheet1!$A$2:$B$25,2,FALSE)</f>
        <v>1</v>
      </c>
    </row>
    <row r="942" spans="1:7" x14ac:dyDescent="0.25">
      <c r="A942" s="11">
        <v>44581.604166666664</v>
      </c>
      <c r="B942" s="10">
        <v>440.63600000000002</v>
      </c>
      <c r="C942">
        <f t="shared" si="56"/>
        <v>4</v>
      </c>
      <c r="D942">
        <f t="shared" si="57"/>
        <v>20</v>
      </c>
      <c r="E942">
        <f t="shared" si="58"/>
        <v>14</v>
      </c>
      <c r="F942">
        <f t="shared" si="59"/>
        <v>1</v>
      </c>
      <c r="G942">
        <f>VLOOKUP(E942,Sheet1!$A$2:$B$25,2,FALSE)</f>
        <v>1</v>
      </c>
    </row>
    <row r="943" spans="1:7" x14ac:dyDescent="0.25">
      <c r="A943" s="11">
        <v>44581.625</v>
      </c>
      <c r="B943" s="10">
        <v>406.94499999999999</v>
      </c>
      <c r="C943">
        <f t="shared" si="56"/>
        <v>4</v>
      </c>
      <c r="D943">
        <f t="shared" si="57"/>
        <v>20</v>
      </c>
      <c r="E943">
        <f t="shared" si="58"/>
        <v>15</v>
      </c>
      <c r="F943">
        <f t="shared" si="59"/>
        <v>1</v>
      </c>
      <c r="G943">
        <f>VLOOKUP(E943,Sheet1!$A$2:$B$25,2,FALSE)</f>
        <v>1</v>
      </c>
    </row>
    <row r="944" spans="1:7" x14ac:dyDescent="0.25">
      <c r="A944" s="11">
        <v>44581.645833333336</v>
      </c>
      <c r="B944" s="10">
        <v>403.1</v>
      </c>
      <c r="C944">
        <f t="shared" si="56"/>
        <v>4</v>
      </c>
      <c r="D944">
        <f t="shared" si="57"/>
        <v>20</v>
      </c>
      <c r="E944">
        <f t="shared" si="58"/>
        <v>15</v>
      </c>
      <c r="F944">
        <f t="shared" si="59"/>
        <v>1</v>
      </c>
      <c r="G944">
        <f>VLOOKUP(E944,Sheet1!$A$2:$B$25,2,FALSE)</f>
        <v>1</v>
      </c>
    </row>
    <row r="945" spans="1:7" x14ac:dyDescent="0.25">
      <c r="A945" s="11">
        <v>44581.666666666664</v>
      </c>
      <c r="B945" s="10">
        <v>386.15600000000001</v>
      </c>
      <c r="C945">
        <f t="shared" si="56"/>
        <v>4</v>
      </c>
      <c r="D945">
        <f t="shared" si="57"/>
        <v>20</v>
      </c>
      <c r="E945">
        <f t="shared" si="58"/>
        <v>16</v>
      </c>
      <c r="F945">
        <f t="shared" si="59"/>
        <v>1</v>
      </c>
      <c r="G945">
        <f>VLOOKUP(E945,Sheet1!$A$2:$B$25,2,FALSE)</f>
        <v>0</v>
      </c>
    </row>
    <row r="946" spans="1:7" x14ac:dyDescent="0.25">
      <c r="A946" s="11">
        <v>44581.6875</v>
      </c>
      <c r="B946" s="10">
        <v>379.08100000000002</v>
      </c>
      <c r="C946">
        <f t="shared" si="56"/>
        <v>4</v>
      </c>
      <c r="D946">
        <f t="shared" si="57"/>
        <v>20</v>
      </c>
      <c r="E946">
        <f t="shared" si="58"/>
        <v>16</v>
      </c>
      <c r="F946">
        <f t="shared" si="59"/>
        <v>1</v>
      </c>
      <c r="G946">
        <f>VLOOKUP(E946,Sheet1!$A$2:$B$25,2,FALSE)</f>
        <v>0</v>
      </c>
    </row>
    <row r="947" spans="1:7" x14ac:dyDescent="0.25">
      <c r="A947" s="11">
        <v>44581.708333333336</v>
      </c>
      <c r="B947" s="10">
        <v>371.42</v>
      </c>
      <c r="C947">
        <f t="shared" si="56"/>
        <v>4</v>
      </c>
      <c r="D947">
        <f t="shared" si="57"/>
        <v>20</v>
      </c>
      <c r="E947">
        <f t="shared" si="58"/>
        <v>17</v>
      </c>
      <c r="F947">
        <f t="shared" si="59"/>
        <v>1</v>
      </c>
      <c r="G947">
        <f>VLOOKUP(E947,Sheet1!$A$2:$B$25,2,FALSE)</f>
        <v>0</v>
      </c>
    </row>
    <row r="948" spans="1:7" x14ac:dyDescent="0.25">
      <c r="A948" s="11">
        <v>44581.729166666664</v>
      </c>
      <c r="B948" s="10">
        <v>380.75599999999997</v>
      </c>
      <c r="C948">
        <f t="shared" si="56"/>
        <v>4</v>
      </c>
      <c r="D948">
        <f t="shared" si="57"/>
        <v>20</v>
      </c>
      <c r="E948">
        <f t="shared" si="58"/>
        <v>17</v>
      </c>
      <c r="F948">
        <f t="shared" si="59"/>
        <v>1</v>
      </c>
      <c r="G948">
        <f>VLOOKUP(E948,Sheet1!$A$2:$B$25,2,FALSE)</f>
        <v>0</v>
      </c>
    </row>
    <row r="949" spans="1:7" x14ac:dyDescent="0.25">
      <c r="A949" s="11">
        <v>44581.75</v>
      </c>
      <c r="B949" s="10">
        <v>383.28100000000001</v>
      </c>
      <c r="C949">
        <f t="shared" si="56"/>
        <v>4</v>
      </c>
      <c r="D949">
        <f t="shared" si="57"/>
        <v>20</v>
      </c>
      <c r="E949">
        <f t="shared" si="58"/>
        <v>18</v>
      </c>
      <c r="F949">
        <f t="shared" si="59"/>
        <v>1</v>
      </c>
      <c r="G949">
        <f>VLOOKUP(E949,Sheet1!$A$2:$B$25,2,FALSE)</f>
        <v>0</v>
      </c>
    </row>
    <row r="950" spans="1:7" x14ac:dyDescent="0.25">
      <c r="A950" s="11">
        <v>44581.770833333336</v>
      </c>
      <c r="B950" s="10">
        <v>381.11599999999999</v>
      </c>
      <c r="C950">
        <f t="shared" si="56"/>
        <v>4</v>
      </c>
      <c r="D950">
        <f t="shared" si="57"/>
        <v>20</v>
      </c>
      <c r="E950">
        <f t="shared" si="58"/>
        <v>18</v>
      </c>
      <c r="F950">
        <f t="shared" si="59"/>
        <v>1</v>
      </c>
      <c r="G950">
        <f>VLOOKUP(E950,Sheet1!$A$2:$B$25,2,FALSE)</f>
        <v>0</v>
      </c>
    </row>
    <row r="951" spans="1:7" x14ac:dyDescent="0.25">
      <c r="A951" s="11">
        <v>44581.791666666664</v>
      </c>
      <c r="B951" s="10">
        <v>371.3</v>
      </c>
      <c r="C951">
        <f t="shared" si="56"/>
        <v>4</v>
      </c>
      <c r="D951">
        <f t="shared" si="57"/>
        <v>20</v>
      </c>
      <c r="E951">
        <f t="shared" si="58"/>
        <v>19</v>
      </c>
      <c r="F951">
        <f t="shared" si="59"/>
        <v>1</v>
      </c>
      <c r="G951">
        <f>VLOOKUP(E951,Sheet1!$A$2:$B$25,2,FALSE)</f>
        <v>0</v>
      </c>
    </row>
    <row r="952" spans="1:7" x14ac:dyDescent="0.25">
      <c r="A952" s="11">
        <v>44581.8125</v>
      </c>
      <c r="B952" s="10">
        <v>371.15600000000001</v>
      </c>
      <c r="C952">
        <f t="shared" si="56"/>
        <v>4</v>
      </c>
      <c r="D952">
        <f t="shared" si="57"/>
        <v>20</v>
      </c>
      <c r="E952">
        <f t="shared" si="58"/>
        <v>19</v>
      </c>
      <c r="F952">
        <f t="shared" si="59"/>
        <v>1</v>
      </c>
      <c r="G952">
        <f>VLOOKUP(E952,Sheet1!$A$2:$B$25,2,FALSE)</f>
        <v>0</v>
      </c>
    </row>
    <row r="953" spans="1:7" x14ac:dyDescent="0.25">
      <c r="A953" s="11">
        <v>44581.833333333336</v>
      </c>
      <c r="B953" s="10">
        <v>372.596</v>
      </c>
      <c r="C953">
        <f t="shared" si="56"/>
        <v>4</v>
      </c>
      <c r="D953">
        <f t="shared" si="57"/>
        <v>20</v>
      </c>
      <c r="E953">
        <f t="shared" si="58"/>
        <v>20</v>
      </c>
      <c r="F953">
        <f t="shared" si="59"/>
        <v>1</v>
      </c>
      <c r="G953">
        <f>VLOOKUP(E953,Sheet1!$A$2:$B$25,2,FALSE)</f>
        <v>0</v>
      </c>
    </row>
    <row r="954" spans="1:7" x14ac:dyDescent="0.25">
      <c r="A954" s="11">
        <v>44581.854166666664</v>
      </c>
      <c r="B954" s="10">
        <v>370.46</v>
      </c>
      <c r="C954">
        <f t="shared" si="56"/>
        <v>4</v>
      </c>
      <c r="D954">
        <f t="shared" si="57"/>
        <v>20</v>
      </c>
      <c r="E954">
        <f t="shared" si="58"/>
        <v>20</v>
      </c>
      <c r="F954">
        <f t="shared" si="59"/>
        <v>1</v>
      </c>
      <c r="G954">
        <f>VLOOKUP(E954,Sheet1!$A$2:$B$25,2,FALSE)</f>
        <v>0</v>
      </c>
    </row>
    <row r="955" spans="1:7" x14ac:dyDescent="0.25">
      <c r="A955" s="11">
        <v>44581.875</v>
      </c>
      <c r="B955" s="10">
        <v>344.52100000000002</v>
      </c>
      <c r="C955">
        <f t="shared" si="56"/>
        <v>4</v>
      </c>
      <c r="D955">
        <f t="shared" si="57"/>
        <v>20</v>
      </c>
      <c r="E955">
        <f t="shared" si="58"/>
        <v>21</v>
      </c>
      <c r="F955">
        <f t="shared" si="59"/>
        <v>1</v>
      </c>
      <c r="G955">
        <f>VLOOKUP(E955,Sheet1!$A$2:$B$25,2,FALSE)</f>
        <v>0</v>
      </c>
    </row>
    <row r="956" spans="1:7" x14ac:dyDescent="0.25">
      <c r="A956" s="11">
        <v>44581.895833333336</v>
      </c>
      <c r="B956" s="10">
        <v>359.3</v>
      </c>
      <c r="C956">
        <f t="shared" si="56"/>
        <v>4</v>
      </c>
      <c r="D956">
        <f t="shared" si="57"/>
        <v>20</v>
      </c>
      <c r="E956">
        <f t="shared" si="58"/>
        <v>21</v>
      </c>
      <c r="F956">
        <f t="shared" si="59"/>
        <v>1</v>
      </c>
      <c r="G956">
        <f>VLOOKUP(E956,Sheet1!$A$2:$B$25,2,FALSE)</f>
        <v>0</v>
      </c>
    </row>
    <row r="957" spans="1:7" x14ac:dyDescent="0.25">
      <c r="A957" s="11">
        <v>44581.916666666664</v>
      </c>
      <c r="B957" s="10">
        <v>349.19600000000003</v>
      </c>
      <c r="C957">
        <f t="shared" si="56"/>
        <v>4</v>
      </c>
      <c r="D957">
        <f t="shared" si="57"/>
        <v>20</v>
      </c>
      <c r="E957">
        <f t="shared" si="58"/>
        <v>22</v>
      </c>
      <c r="F957">
        <f t="shared" si="59"/>
        <v>1</v>
      </c>
      <c r="G957">
        <f>VLOOKUP(E957,Sheet1!$A$2:$B$25,2,FALSE)</f>
        <v>0</v>
      </c>
    </row>
    <row r="958" spans="1:7" x14ac:dyDescent="0.25">
      <c r="A958" s="11">
        <v>44581.9375</v>
      </c>
      <c r="B958" s="10">
        <v>349.10500000000002</v>
      </c>
      <c r="C958">
        <f t="shared" si="56"/>
        <v>4</v>
      </c>
      <c r="D958">
        <f t="shared" si="57"/>
        <v>20</v>
      </c>
      <c r="E958">
        <f t="shared" si="58"/>
        <v>22</v>
      </c>
      <c r="F958">
        <f t="shared" si="59"/>
        <v>1</v>
      </c>
      <c r="G958">
        <f>VLOOKUP(E958,Sheet1!$A$2:$B$25,2,FALSE)</f>
        <v>0</v>
      </c>
    </row>
    <row r="959" spans="1:7" x14ac:dyDescent="0.25">
      <c r="A959" s="11">
        <v>44581.958333333336</v>
      </c>
      <c r="B959" s="10">
        <v>346.67599999999999</v>
      </c>
      <c r="C959">
        <f t="shared" si="56"/>
        <v>4</v>
      </c>
      <c r="D959">
        <f t="shared" si="57"/>
        <v>20</v>
      </c>
      <c r="E959">
        <f t="shared" si="58"/>
        <v>23</v>
      </c>
      <c r="F959">
        <f t="shared" si="59"/>
        <v>1</v>
      </c>
      <c r="G959">
        <f>VLOOKUP(E959,Sheet1!$A$2:$B$25,2,FALSE)</f>
        <v>0</v>
      </c>
    </row>
    <row r="960" spans="1:7" x14ac:dyDescent="0.25">
      <c r="A960" s="11">
        <v>44581.979166666664</v>
      </c>
      <c r="B960" s="10">
        <v>347.78500000000003</v>
      </c>
      <c r="C960">
        <f t="shared" si="56"/>
        <v>4</v>
      </c>
      <c r="D960">
        <f t="shared" si="57"/>
        <v>20</v>
      </c>
      <c r="E960">
        <f t="shared" si="58"/>
        <v>23</v>
      </c>
      <c r="F960">
        <f t="shared" si="59"/>
        <v>1</v>
      </c>
      <c r="G960">
        <f>VLOOKUP(E960,Sheet1!$A$2:$B$25,2,FALSE)</f>
        <v>0</v>
      </c>
    </row>
    <row r="961" spans="1:7" x14ac:dyDescent="0.25">
      <c r="A961" s="11">
        <v>44582</v>
      </c>
      <c r="B961" s="10">
        <v>345.23599999999999</v>
      </c>
      <c r="C961">
        <f t="shared" si="56"/>
        <v>5</v>
      </c>
      <c r="D961">
        <f t="shared" si="57"/>
        <v>21</v>
      </c>
      <c r="E961">
        <f t="shared" si="58"/>
        <v>0</v>
      </c>
      <c r="F961">
        <f t="shared" si="59"/>
        <v>1</v>
      </c>
      <c r="G961">
        <f>VLOOKUP(E961,Sheet1!$A$2:$B$25,2,FALSE)</f>
        <v>0</v>
      </c>
    </row>
    <row r="962" spans="1:7" x14ac:dyDescent="0.25">
      <c r="A962" s="11">
        <v>44582.020833333336</v>
      </c>
      <c r="B962" s="10">
        <v>349.43599999999998</v>
      </c>
      <c r="C962">
        <f t="shared" ref="C962:C1025" si="60">WEEKDAY(A962,2)</f>
        <v>5</v>
      </c>
      <c r="D962">
        <f t="shared" ref="D962:D1025" si="61">DAY(A962)</f>
        <v>21</v>
      </c>
      <c r="E962">
        <f t="shared" ref="E962:E1025" si="62">HOUR(A962)</f>
        <v>0</v>
      </c>
      <c r="F962">
        <f t="shared" si="59"/>
        <v>1</v>
      </c>
      <c r="G962">
        <f>VLOOKUP(E962,Sheet1!$A$2:$B$25,2,FALSE)</f>
        <v>0</v>
      </c>
    </row>
    <row r="963" spans="1:7" x14ac:dyDescent="0.25">
      <c r="A963" s="11">
        <v>44582.041666666664</v>
      </c>
      <c r="B963" s="10">
        <v>347.88099999999997</v>
      </c>
      <c r="C963">
        <f t="shared" si="60"/>
        <v>5</v>
      </c>
      <c r="D963">
        <f t="shared" si="61"/>
        <v>21</v>
      </c>
      <c r="E963">
        <f t="shared" si="62"/>
        <v>1</v>
      </c>
      <c r="F963">
        <f t="shared" ref="F963:F1026" si="63">IF(C963&gt;=6,0,1)</f>
        <v>1</v>
      </c>
      <c r="G963">
        <f>VLOOKUP(E963,Sheet1!$A$2:$B$25,2,FALSE)</f>
        <v>0</v>
      </c>
    </row>
    <row r="964" spans="1:7" x14ac:dyDescent="0.25">
      <c r="A964" s="11">
        <v>44582.0625</v>
      </c>
      <c r="B964" s="10">
        <v>348.26</v>
      </c>
      <c r="C964">
        <f t="shared" si="60"/>
        <v>5</v>
      </c>
      <c r="D964">
        <f t="shared" si="61"/>
        <v>21</v>
      </c>
      <c r="E964">
        <f t="shared" si="62"/>
        <v>1</v>
      </c>
      <c r="F964">
        <f t="shared" si="63"/>
        <v>1</v>
      </c>
      <c r="G964">
        <f>VLOOKUP(E964,Sheet1!$A$2:$B$25,2,FALSE)</f>
        <v>0</v>
      </c>
    </row>
    <row r="965" spans="1:7" x14ac:dyDescent="0.25">
      <c r="A965" s="11">
        <v>44582.083333333336</v>
      </c>
      <c r="B965" s="10">
        <v>350.185</v>
      </c>
      <c r="C965">
        <f t="shared" si="60"/>
        <v>5</v>
      </c>
      <c r="D965">
        <f t="shared" si="61"/>
        <v>21</v>
      </c>
      <c r="E965">
        <f t="shared" si="62"/>
        <v>2</v>
      </c>
      <c r="F965">
        <f t="shared" si="63"/>
        <v>1</v>
      </c>
      <c r="G965">
        <f>VLOOKUP(E965,Sheet1!$A$2:$B$25,2,FALSE)</f>
        <v>0</v>
      </c>
    </row>
    <row r="966" spans="1:7" x14ac:dyDescent="0.25">
      <c r="A966" s="11">
        <v>44582.104166666664</v>
      </c>
      <c r="B966" s="10">
        <v>349.7</v>
      </c>
      <c r="C966">
        <f t="shared" si="60"/>
        <v>5</v>
      </c>
      <c r="D966">
        <f t="shared" si="61"/>
        <v>21</v>
      </c>
      <c r="E966">
        <f t="shared" si="62"/>
        <v>2</v>
      </c>
      <c r="F966">
        <f t="shared" si="63"/>
        <v>1</v>
      </c>
      <c r="G966">
        <f>VLOOKUP(E966,Sheet1!$A$2:$B$25,2,FALSE)</f>
        <v>0</v>
      </c>
    </row>
    <row r="967" spans="1:7" x14ac:dyDescent="0.25">
      <c r="A967" s="11">
        <v>44582.125</v>
      </c>
      <c r="B967" s="10">
        <v>349.22500000000002</v>
      </c>
      <c r="C967">
        <f t="shared" si="60"/>
        <v>5</v>
      </c>
      <c r="D967">
        <f t="shared" si="61"/>
        <v>21</v>
      </c>
      <c r="E967">
        <f t="shared" si="62"/>
        <v>3</v>
      </c>
      <c r="F967">
        <f t="shared" si="63"/>
        <v>1</v>
      </c>
      <c r="G967">
        <f>VLOOKUP(E967,Sheet1!$A$2:$B$25,2,FALSE)</f>
        <v>0</v>
      </c>
    </row>
    <row r="968" spans="1:7" x14ac:dyDescent="0.25">
      <c r="A968" s="11">
        <v>44582.145833333336</v>
      </c>
      <c r="B968" s="10">
        <v>349.67599999999999</v>
      </c>
      <c r="C968">
        <f t="shared" si="60"/>
        <v>5</v>
      </c>
      <c r="D968">
        <f t="shared" si="61"/>
        <v>21</v>
      </c>
      <c r="E968">
        <f t="shared" si="62"/>
        <v>3</v>
      </c>
      <c r="F968">
        <f t="shared" si="63"/>
        <v>1</v>
      </c>
      <c r="G968">
        <f>VLOOKUP(E968,Sheet1!$A$2:$B$25,2,FALSE)</f>
        <v>0</v>
      </c>
    </row>
    <row r="969" spans="1:7" x14ac:dyDescent="0.25">
      <c r="A969" s="11">
        <v>44582.166666666664</v>
      </c>
      <c r="B969" s="10">
        <v>358.58499999999998</v>
      </c>
      <c r="C969">
        <f t="shared" si="60"/>
        <v>5</v>
      </c>
      <c r="D969">
        <f t="shared" si="61"/>
        <v>21</v>
      </c>
      <c r="E969">
        <f t="shared" si="62"/>
        <v>4</v>
      </c>
      <c r="F969">
        <f t="shared" si="63"/>
        <v>1</v>
      </c>
      <c r="G969">
        <f>VLOOKUP(E969,Sheet1!$A$2:$B$25,2,FALSE)</f>
        <v>1</v>
      </c>
    </row>
    <row r="970" spans="1:7" x14ac:dyDescent="0.25">
      <c r="A970" s="11">
        <v>44582.1875</v>
      </c>
      <c r="B970" s="10">
        <v>657.14</v>
      </c>
      <c r="C970">
        <f t="shared" si="60"/>
        <v>5</v>
      </c>
      <c r="D970">
        <f t="shared" si="61"/>
        <v>21</v>
      </c>
      <c r="E970">
        <f t="shared" si="62"/>
        <v>4</v>
      </c>
      <c r="F970">
        <f t="shared" si="63"/>
        <v>1</v>
      </c>
      <c r="G970">
        <f>VLOOKUP(E970,Sheet1!$A$2:$B$25,2,FALSE)</f>
        <v>1</v>
      </c>
    </row>
    <row r="971" spans="1:7" x14ac:dyDescent="0.25">
      <c r="A971" s="11">
        <v>44582.208333333336</v>
      </c>
      <c r="B971" s="10">
        <v>628.68100000000004</v>
      </c>
      <c r="C971">
        <f t="shared" si="60"/>
        <v>5</v>
      </c>
      <c r="D971">
        <f t="shared" si="61"/>
        <v>21</v>
      </c>
      <c r="E971">
        <f t="shared" si="62"/>
        <v>5</v>
      </c>
      <c r="F971">
        <f t="shared" si="63"/>
        <v>1</v>
      </c>
      <c r="G971">
        <f>VLOOKUP(E971,Sheet1!$A$2:$B$25,2,FALSE)</f>
        <v>1</v>
      </c>
    </row>
    <row r="972" spans="1:7" x14ac:dyDescent="0.25">
      <c r="A972" s="11">
        <v>44582.229166666664</v>
      </c>
      <c r="B972" s="10">
        <v>598.70000000000005</v>
      </c>
      <c r="C972">
        <f t="shared" si="60"/>
        <v>5</v>
      </c>
      <c r="D972">
        <f t="shared" si="61"/>
        <v>21</v>
      </c>
      <c r="E972">
        <f t="shared" si="62"/>
        <v>5</v>
      </c>
      <c r="F972">
        <f t="shared" si="63"/>
        <v>1</v>
      </c>
      <c r="G972">
        <f>VLOOKUP(E972,Sheet1!$A$2:$B$25,2,FALSE)</f>
        <v>1</v>
      </c>
    </row>
    <row r="973" spans="1:7" x14ac:dyDescent="0.25">
      <c r="A973" s="11">
        <v>44582.25</v>
      </c>
      <c r="B973" s="10">
        <v>717.84100000000001</v>
      </c>
      <c r="C973">
        <f t="shared" si="60"/>
        <v>5</v>
      </c>
      <c r="D973">
        <f t="shared" si="61"/>
        <v>21</v>
      </c>
      <c r="E973">
        <f t="shared" si="62"/>
        <v>6</v>
      </c>
      <c r="F973">
        <f t="shared" si="63"/>
        <v>1</v>
      </c>
      <c r="G973">
        <f>VLOOKUP(E973,Sheet1!$A$2:$B$25,2,FALSE)</f>
        <v>1</v>
      </c>
    </row>
    <row r="974" spans="1:7" x14ac:dyDescent="0.25">
      <c r="A974" s="11">
        <v>44582.270833333336</v>
      </c>
      <c r="B974" s="10">
        <v>823.19600000000003</v>
      </c>
      <c r="C974">
        <f t="shared" si="60"/>
        <v>5</v>
      </c>
      <c r="D974">
        <f t="shared" si="61"/>
        <v>21</v>
      </c>
      <c r="E974">
        <f t="shared" si="62"/>
        <v>6</v>
      </c>
      <c r="F974">
        <f t="shared" si="63"/>
        <v>1</v>
      </c>
      <c r="G974">
        <f>VLOOKUP(E974,Sheet1!$A$2:$B$25,2,FALSE)</f>
        <v>1</v>
      </c>
    </row>
    <row r="975" spans="1:7" x14ac:dyDescent="0.25">
      <c r="A975" s="11">
        <v>44582.291666666664</v>
      </c>
      <c r="B975" s="10">
        <v>822.74</v>
      </c>
      <c r="C975">
        <f t="shared" si="60"/>
        <v>5</v>
      </c>
      <c r="D975">
        <f t="shared" si="61"/>
        <v>21</v>
      </c>
      <c r="E975">
        <f t="shared" si="62"/>
        <v>7</v>
      </c>
      <c r="F975">
        <f t="shared" si="63"/>
        <v>1</v>
      </c>
      <c r="G975">
        <f>VLOOKUP(E975,Sheet1!$A$2:$B$25,2,FALSE)</f>
        <v>1</v>
      </c>
    </row>
    <row r="976" spans="1:7" x14ac:dyDescent="0.25">
      <c r="A976" s="11">
        <v>44582.3125</v>
      </c>
      <c r="B976" s="10">
        <v>846.24099999999999</v>
      </c>
      <c r="C976">
        <f t="shared" si="60"/>
        <v>5</v>
      </c>
      <c r="D976">
        <f t="shared" si="61"/>
        <v>21</v>
      </c>
      <c r="E976">
        <f t="shared" si="62"/>
        <v>7</v>
      </c>
      <c r="F976">
        <f t="shared" si="63"/>
        <v>1</v>
      </c>
      <c r="G976">
        <f>VLOOKUP(E976,Sheet1!$A$2:$B$25,2,FALSE)</f>
        <v>1</v>
      </c>
    </row>
    <row r="977" spans="1:7" x14ac:dyDescent="0.25">
      <c r="A977" s="11">
        <v>44582.333333333336</v>
      </c>
      <c r="B977" s="10">
        <v>800.87599999999998</v>
      </c>
      <c r="C977">
        <f t="shared" si="60"/>
        <v>5</v>
      </c>
      <c r="D977">
        <f t="shared" si="61"/>
        <v>21</v>
      </c>
      <c r="E977">
        <f t="shared" si="62"/>
        <v>8</v>
      </c>
      <c r="F977">
        <f t="shared" si="63"/>
        <v>1</v>
      </c>
      <c r="G977">
        <f>VLOOKUP(E977,Sheet1!$A$2:$B$25,2,FALSE)</f>
        <v>1</v>
      </c>
    </row>
    <row r="978" spans="1:7" x14ac:dyDescent="0.25">
      <c r="A978" s="11">
        <v>44582.354166666664</v>
      </c>
      <c r="B978" s="10">
        <v>806.18499999999995</v>
      </c>
      <c r="C978">
        <f t="shared" si="60"/>
        <v>5</v>
      </c>
      <c r="D978">
        <f t="shared" si="61"/>
        <v>21</v>
      </c>
      <c r="E978">
        <f t="shared" si="62"/>
        <v>8</v>
      </c>
      <c r="F978">
        <f t="shared" si="63"/>
        <v>1</v>
      </c>
      <c r="G978">
        <f>VLOOKUP(E978,Sheet1!$A$2:$B$25,2,FALSE)</f>
        <v>1</v>
      </c>
    </row>
    <row r="979" spans="1:7" x14ac:dyDescent="0.25">
      <c r="A979" s="11">
        <v>44582.375</v>
      </c>
      <c r="B979" s="10">
        <v>804.71600000000001</v>
      </c>
      <c r="C979">
        <f t="shared" si="60"/>
        <v>5</v>
      </c>
      <c r="D979">
        <f t="shared" si="61"/>
        <v>21</v>
      </c>
      <c r="E979">
        <f t="shared" si="62"/>
        <v>9</v>
      </c>
      <c r="F979">
        <f t="shared" si="63"/>
        <v>1</v>
      </c>
      <c r="G979">
        <f>VLOOKUP(E979,Sheet1!$A$2:$B$25,2,FALSE)</f>
        <v>1</v>
      </c>
    </row>
    <row r="980" spans="1:7" x14ac:dyDescent="0.25">
      <c r="A980" s="11">
        <v>44582.395833333336</v>
      </c>
      <c r="B980" s="10">
        <v>884.39599999999996</v>
      </c>
      <c r="C980">
        <f t="shared" si="60"/>
        <v>5</v>
      </c>
      <c r="D980">
        <f t="shared" si="61"/>
        <v>21</v>
      </c>
      <c r="E980">
        <f t="shared" si="62"/>
        <v>9</v>
      </c>
      <c r="F980">
        <f t="shared" si="63"/>
        <v>1</v>
      </c>
      <c r="G980">
        <f>VLOOKUP(E980,Sheet1!$A$2:$B$25,2,FALSE)</f>
        <v>1</v>
      </c>
    </row>
    <row r="981" spans="1:7" x14ac:dyDescent="0.25">
      <c r="A981" s="11">
        <v>44582.416666666664</v>
      </c>
      <c r="B981" s="10">
        <v>902.87599999999998</v>
      </c>
      <c r="C981">
        <f t="shared" si="60"/>
        <v>5</v>
      </c>
      <c r="D981">
        <f t="shared" si="61"/>
        <v>21</v>
      </c>
      <c r="E981">
        <f t="shared" si="62"/>
        <v>10</v>
      </c>
      <c r="F981">
        <f t="shared" si="63"/>
        <v>1</v>
      </c>
      <c r="G981">
        <f>VLOOKUP(E981,Sheet1!$A$2:$B$25,2,FALSE)</f>
        <v>1</v>
      </c>
    </row>
    <row r="982" spans="1:7" x14ac:dyDescent="0.25">
      <c r="A982" s="11">
        <v>44582.4375</v>
      </c>
      <c r="B982" s="10">
        <v>813.62</v>
      </c>
      <c r="C982">
        <f t="shared" si="60"/>
        <v>5</v>
      </c>
      <c r="D982">
        <f t="shared" si="61"/>
        <v>21</v>
      </c>
      <c r="E982">
        <f t="shared" si="62"/>
        <v>10</v>
      </c>
      <c r="F982">
        <f t="shared" si="63"/>
        <v>1</v>
      </c>
      <c r="G982">
        <f>VLOOKUP(E982,Sheet1!$A$2:$B$25,2,FALSE)</f>
        <v>1</v>
      </c>
    </row>
    <row r="983" spans="1:7" x14ac:dyDescent="0.25">
      <c r="A983" s="11">
        <v>44582.458333333336</v>
      </c>
      <c r="B983" s="10">
        <v>893.42499999999995</v>
      </c>
      <c r="C983">
        <f t="shared" si="60"/>
        <v>5</v>
      </c>
      <c r="D983">
        <f t="shared" si="61"/>
        <v>21</v>
      </c>
      <c r="E983">
        <f t="shared" si="62"/>
        <v>11</v>
      </c>
      <c r="F983">
        <f t="shared" si="63"/>
        <v>1</v>
      </c>
      <c r="G983">
        <f>VLOOKUP(E983,Sheet1!$A$2:$B$25,2,FALSE)</f>
        <v>1</v>
      </c>
    </row>
    <row r="984" spans="1:7" x14ac:dyDescent="0.25">
      <c r="A984" s="11">
        <v>44582.479166666664</v>
      </c>
      <c r="B984" s="10">
        <v>870.596</v>
      </c>
      <c r="C984">
        <f t="shared" si="60"/>
        <v>5</v>
      </c>
      <c r="D984">
        <f t="shared" si="61"/>
        <v>21</v>
      </c>
      <c r="E984">
        <f t="shared" si="62"/>
        <v>11</v>
      </c>
      <c r="F984">
        <f t="shared" si="63"/>
        <v>1</v>
      </c>
      <c r="G984">
        <f>VLOOKUP(E984,Sheet1!$A$2:$B$25,2,FALSE)</f>
        <v>1</v>
      </c>
    </row>
    <row r="985" spans="1:7" x14ac:dyDescent="0.25">
      <c r="A985" s="11">
        <v>44582.5</v>
      </c>
      <c r="B985" s="10">
        <v>824.42</v>
      </c>
      <c r="C985">
        <f t="shared" si="60"/>
        <v>5</v>
      </c>
      <c r="D985">
        <f t="shared" si="61"/>
        <v>21</v>
      </c>
      <c r="E985">
        <f t="shared" si="62"/>
        <v>12</v>
      </c>
      <c r="F985">
        <f t="shared" si="63"/>
        <v>1</v>
      </c>
      <c r="G985">
        <f>VLOOKUP(E985,Sheet1!$A$2:$B$25,2,FALSE)</f>
        <v>1</v>
      </c>
    </row>
    <row r="986" spans="1:7" x14ac:dyDescent="0.25">
      <c r="A986" s="11">
        <v>44582.520833333336</v>
      </c>
      <c r="B986" s="10">
        <v>659.42</v>
      </c>
      <c r="C986">
        <f t="shared" si="60"/>
        <v>5</v>
      </c>
      <c r="D986">
        <f t="shared" si="61"/>
        <v>21</v>
      </c>
      <c r="E986">
        <f t="shared" si="62"/>
        <v>12</v>
      </c>
      <c r="F986">
        <f t="shared" si="63"/>
        <v>1</v>
      </c>
      <c r="G986">
        <f>VLOOKUP(E986,Sheet1!$A$2:$B$25,2,FALSE)</f>
        <v>1</v>
      </c>
    </row>
    <row r="987" spans="1:7" x14ac:dyDescent="0.25">
      <c r="A987" s="11">
        <v>44582.541666666664</v>
      </c>
      <c r="B987" s="10">
        <v>672.24099999999999</v>
      </c>
      <c r="C987">
        <f t="shared" si="60"/>
        <v>5</v>
      </c>
      <c r="D987">
        <f t="shared" si="61"/>
        <v>21</v>
      </c>
      <c r="E987">
        <f t="shared" si="62"/>
        <v>13</v>
      </c>
      <c r="F987">
        <f t="shared" si="63"/>
        <v>1</v>
      </c>
      <c r="G987">
        <f>VLOOKUP(E987,Sheet1!$A$2:$B$25,2,FALSE)</f>
        <v>1</v>
      </c>
    </row>
    <row r="988" spans="1:7" x14ac:dyDescent="0.25">
      <c r="A988" s="11">
        <v>44582.5625</v>
      </c>
      <c r="B988" s="10">
        <v>757.58</v>
      </c>
      <c r="C988">
        <f t="shared" si="60"/>
        <v>5</v>
      </c>
      <c r="D988">
        <f t="shared" si="61"/>
        <v>21</v>
      </c>
      <c r="E988">
        <f t="shared" si="62"/>
        <v>13</v>
      </c>
      <c r="F988">
        <f t="shared" si="63"/>
        <v>1</v>
      </c>
      <c r="G988">
        <f>VLOOKUP(E988,Sheet1!$A$2:$B$25,2,FALSE)</f>
        <v>1</v>
      </c>
    </row>
    <row r="989" spans="1:7" x14ac:dyDescent="0.25">
      <c r="A989" s="11">
        <v>44582.583333333336</v>
      </c>
      <c r="B989" s="10">
        <v>593.27599999999995</v>
      </c>
      <c r="C989">
        <f t="shared" si="60"/>
        <v>5</v>
      </c>
      <c r="D989">
        <f t="shared" si="61"/>
        <v>21</v>
      </c>
      <c r="E989">
        <f t="shared" si="62"/>
        <v>14</v>
      </c>
      <c r="F989">
        <f t="shared" si="63"/>
        <v>1</v>
      </c>
      <c r="G989">
        <f>VLOOKUP(E989,Sheet1!$A$2:$B$25,2,FALSE)</f>
        <v>1</v>
      </c>
    </row>
    <row r="990" spans="1:7" x14ac:dyDescent="0.25">
      <c r="A990" s="11">
        <v>44582.604166666664</v>
      </c>
      <c r="B990" s="10">
        <v>377.28100000000001</v>
      </c>
      <c r="C990">
        <f t="shared" si="60"/>
        <v>5</v>
      </c>
      <c r="D990">
        <f t="shared" si="61"/>
        <v>21</v>
      </c>
      <c r="E990">
        <f t="shared" si="62"/>
        <v>14</v>
      </c>
      <c r="F990">
        <f t="shared" si="63"/>
        <v>1</v>
      </c>
      <c r="G990">
        <f>VLOOKUP(E990,Sheet1!$A$2:$B$25,2,FALSE)</f>
        <v>1</v>
      </c>
    </row>
    <row r="991" spans="1:7" x14ac:dyDescent="0.25">
      <c r="A991" s="11">
        <v>44582.625</v>
      </c>
      <c r="B991" s="10">
        <v>361.19600000000003</v>
      </c>
      <c r="C991">
        <f t="shared" si="60"/>
        <v>5</v>
      </c>
      <c r="D991">
        <f t="shared" si="61"/>
        <v>21</v>
      </c>
      <c r="E991">
        <f t="shared" si="62"/>
        <v>15</v>
      </c>
      <c r="F991">
        <f t="shared" si="63"/>
        <v>1</v>
      </c>
      <c r="G991">
        <f>VLOOKUP(E991,Sheet1!$A$2:$B$25,2,FALSE)</f>
        <v>1</v>
      </c>
    </row>
    <row r="992" spans="1:7" x14ac:dyDescent="0.25">
      <c r="A992" s="11">
        <v>44582.645833333336</v>
      </c>
      <c r="B992" s="10">
        <v>364.7</v>
      </c>
      <c r="C992">
        <f t="shared" si="60"/>
        <v>5</v>
      </c>
      <c r="D992">
        <f t="shared" si="61"/>
        <v>21</v>
      </c>
      <c r="E992">
        <f t="shared" si="62"/>
        <v>15</v>
      </c>
      <c r="F992">
        <f t="shared" si="63"/>
        <v>1</v>
      </c>
      <c r="G992">
        <f>VLOOKUP(E992,Sheet1!$A$2:$B$25,2,FALSE)</f>
        <v>1</v>
      </c>
    </row>
    <row r="993" spans="1:7" x14ac:dyDescent="0.25">
      <c r="A993" s="11">
        <v>44582.666666666664</v>
      </c>
      <c r="B993" s="10">
        <v>358.7</v>
      </c>
      <c r="C993">
        <f t="shared" si="60"/>
        <v>5</v>
      </c>
      <c r="D993">
        <f t="shared" si="61"/>
        <v>21</v>
      </c>
      <c r="E993">
        <f t="shared" si="62"/>
        <v>16</v>
      </c>
      <c r="F993">
        <f t="shared" si="63"/>
        <v>1</v>
      </c>
      <c r="G993">
        <f>VLOOKUP(E993,Sheet1!$A$2:$B$25,2,FALSE)</f>
        <v>0</v>
      </c>
    </row>
    <row r="994" spans="1:7" x14ac:dyDescent="0.25">
      <c r="A994" s="11">
        <v>44582.6875</v>
      </c>
      <c r="B994" s="10">
        <v>344.40100000000001</v>
      </c>
      <c r="C994">
        <f t="shared" si="60"/>
        <v>5</v>
      </c>
      <c r="D994">
        <f t="shared" si="61"/>
        <v>21</v>
      </c>
      <c r="E994">
        <f t="shared" si="62"/>
        <v>16</v>
      </c>
      <c r="F994">
        <f t="shared" si="63"/>
        <v>1</v>
      </c>
      <c r="G994">
        <f>VLOOKUP(E994,Sheet1!$A$2:$B$25,2,FALSE)</f>
        <v>0</v>
      </c>
    </row>
    <row r="995" spans="1:7" x14ac:dyDescent="0.25">
      <c r="A995" s="11">
        <v>44582.708333333336</v>
      </c>
      <c r="B995" s="10">
        <v>354.02</v>
      </c>
      <c r="C995">
        <f t="shared" si="60"/>
        <v>5</v>
      </c>
      <c r="D995">
        <f t="shared" si="61"/>
        <v>21</v>
      </c>
      <c r="E995">
        <f t="shared" si="62"/>
        <v>17</v>
      </c>
      <c r="F995">
        <f t="shared" si="63"/>
        <v>1</v>
      </c>
      <c r="G995">
        <f>VLOOKUP(E995,Sheet1!$A$2:$B$25,2,FALSE)</f>
        <v>0</v>
      </c>
    </row>
    <row r="996" spans="1:7" x14ac:dyDescent="0.25">
      <c r="A996" s="11">
        <v>44582.729166666664</v>
      </c>
      <c r="B996" s="10">
        <v>357.23599999999999</v>
      </c>
      <c r="C996">
        <f t="shared" si="60"/>
        <v>5</v>
      </c>
      <c r="D996">
        <f t="shared" si="61"/>
        <v>21</v>
      </c>
      <c r="E996">
        <f t="shared" si="62"/>
        <v>17</v>
      </c>
      <c r="F996">
        <f t="shared" si="63"/>
        <v>1</v>
      </c>
      <c r="G996">
        <f>VLOOKUP(E996,Sheet1!$A$2:$B$25,2,FALSE)</f>
        <v>0</v>
      </c>
    </row>
    <row r="997" spans="1:7" x14ac:dyDescent="0.25">
      <c r="A997" s="11">
        <v>44582.75</v>
      </c>
      <c r="B997" s="10">
        <v>357.14</v>
      </c>
      <c r="C997">
        <f t="shared" si="60"/>
        <v>5</v>
      </c>
      <c r="D997">
        <f t="shared" si="61"/>
        <v>21</v>
      </c>
      <c r="E997">
        <f t="shared" si="62"/>
        <v>18</v>
      </c>
      <c r="F997">
        <f t="shared" si="63"/>
        <v>1</v>
      </c>
      <c r="G997">
        <f>VLOOKUP(E997,Sheet1!$A$2:$B$25,2,FALSE)</f>
        <v>0</v>
      </c>
    </row>
    <row r="998" spans="1:7" x14ac:dyDescent="0.25">
      <c r="A998" s="11">
        <v>44582.770833333336</v>
      </c>
      <c r="B998" s="10">
        <v>354.62</v>
      </c>
      <c r="C998">
        <f t="shared" si="60"/>
        <v>5</v>
      </c>
      <c r="D998">
        <f t="shared" si="61"/>
        <v>21</v>
      </c>
      <c r="E998">
        <f t="shared" si="62"/>
        <v>18</v>
      </c>
      <c r="F998">
        <f t="shared" si="63"/>
        <v>1</v>
      </c>
      <c r="G998">
        <f>VLOOKUP(E998,Sheet1!$A$2:$B$25,2,FALSE)</f>
        <v>0</v>
      </c>
    </row>
    <row r="999" spans="1:7" x14ac:dyDescent="0.25">
      <c r="A999" s="11">
        <v>44582.791666666664</v>
      </c>
      <c r="B999" s="10">
        <v>359.28100000000001</v>
      </c>
      <c r="C999">
        <f t="shared" si="60"/>
        <v>5</v>
      </c>
      <c r="D999">
        <f t="shared" si="61"/>
        <v>21</v>
      </c>
      <c r="E999">
        <f t="shared" si="62"/>
        <v>19</v>
      </c>
      <c r="F999">
        <f t="shared" si="63"/>
        <v>1</v>
      </c>
      <c r="G999">
        <f>VLOOKUP(E999,Sheet1!$A$2:$B$25,2,FALSE)</f>
        <v>0</v>
      </c>
    </row>
    <row r="1000" spans="1:7" x14ac:dyDescent="0.25">
      <c r="A1000" s="11">
        <v>44582.8125</v>
      </c>
      <c r="B1000" s="10">
        <v>347.51600000000002</v>
      </c>
      <c r="C1000">
        <f t="shared" si="60"/>
        <v>5</v>
      </c>
      <c r="D1000">
        <f t="shared" si="61"/>
        <v>21</v>
      </c>
      <c r="E1000">
        <f t="shared" si="62"/>
        <v>19</v>
      </c>
      <c r="F1000">
        <f t="shared" si="63"/>
        <v>1</v>
      </c>
      <c r="G1000">
        <f>VLOOKUP(E1000,Sheet1!$A$2:$B$25,2,FALSE)</f>
        <v>0</v>
      </c>
    </row>
    <row r="1001" spans="1:7" x14ac:dyDescent="0.25">
      <c r="A1001" s="11">
        <v>44582.833333333336</v>
      </c>
      <c r="B1001" s="10">
        <v>338.78</v>
      </c>
      <c r="C1001">
        <f t="shared" si="60"/>
        <v>5</v>
      </c>
      <c r="D1001">
        <f t="shared" si="61"/>
        <v>21</v>
      </c>
      <c r="E1001">
        <f t="shared" si="62"/>
        <v>20</v>
      </c>
      <c r="F1001">
        <f t="shared" si="63"/>
        <v>1</v>
      </c>
      <c r="G1001">
        <f>VLOOKUP(E1001,Sheet1!$A$2:$B$25,2,FALSE)</f>
        <v>0</v>
      </c>
    </row>
    <row r="1002" spans="1:7" x14ac:dyDescent="0.25">
      <c r="A1002" s="11">
        <v>44582.854166666664</v>
      </c>
      <c r="B1002" s="10">
        <v>338.54500000000002</v>
      </c>
      <c r="C1002">
        <f t="shared" si="60"/>
        <v>5</v>
      </c>
      <c r="D1002">
        <f t="shared" si="61"/>
        <v>21</v>
      </c>
      <c r="E1002">
        <f t="shared" si="62"/>
        <v>20</v>
      </c>
      <c r="F1002">
        <f t="shared" si="63"/>
        <v>1</v>
      </c>
      <c r="G1002">
        <f>VLOOKUP(E1002,Sheet1!$A$2:$B$25,2,FALSE)</f>
        <v>0</v>
      </c>
    </row>
    <row r="1003" spans="1:7" x14ac:dyDescent="0.25">
      <c r="A1003" s="11">
        <v>44582.875</v>
      </c>
      <c r="B1003" s="10">
        <v>339.23599999999999</v>
      </c>
      <c r="C1003">
        <f t="shared" si="60"/>
        <v>5</v>
      </c>
      <c r="D1003">
        <f t="shared" si="61"/>
        <v>21</v>
      </c>
      <c r="E1003">
        <f t="shared" si="62"/>
        <v>21</v>
      </c>
      <c r="F1003">
        <f t="shared" si="63"/>
        <v>1</v>
      </c>
      <c r="G1003">
        <f>VLOOKUP(E1003,Sheet1!$A$2:$B$25,2,FALSE)</f>
        <v>0</v>
      </c>
    </row>
    <row r="1004" spans="1:7" x14ac:dyDescent="0.25">
      <c r="A1004" s="11">
        <v>44582.895833333336</v>
      </c>
      <c r="B1004" s="10">
        <v>340.80099999999999</v>
      </c>
      <c r="C1004">
        <f t="shared" si="60"/>
        <v>5</v>
      </c>
      <c r="D1004">
        <f t="shared" si="61"/>
        <v>21</v>
      </c>
      <c r="E1004">
        <f t="shared" si="62"/>
        <v>21</v>
      </c>
      <c r="F1004">
        <f t="shared" si="63"/>
        <v>1</v>
      </c>
      <c r="G1004">
        <f>VLOOKUP(E1004,Sheet1!$A$2:$B$25,2,FALSE)</f>
        <v>0</v>
      </c>
    </row>
    <row r="1005" spans="1:7" x14ac:dyDescent="0.25">
      <c r="A1005" s="11">
        <v>44582.916666666664</v>
      </c>
      <c r="B1005" s="10">
        <v>333.74</v>
      </c>
      <c r="C1005">
        <f t="shared" si="60"/>
        <v>5</v>
      </c>
      <c r="D1005">
        <f t="shared" si="61"/>
        <v>21</v>
      </c>
      <c r="E1005">
        <f t="shared" si="62"/>
        <v>22</v>
      </c>
      <c r="F1005">
        <f t="shared" si="63"/>
        <v>1</v>
      </c>
      <c r="G1005">
        <f>VLOOKUP(E1005,Sheet1!$A$2:$B$25,2,FALSE)</f>
        <v>0</v>
      </c>
    </row>
    <row r="1006" spans="1:7" x14ac:dyDescent="0.25">
      <c r="A1006" s="11">
        <v>44582.9375</v>
      </c>
      <c r="B1006" s="10">
        <v>320.27600000000001</v>
      </c>
      <c r="C1006">
        <f t="shared" si="60"/>
        <v>5</v>
      </c>
      <c r="D1006">
        <f t="shared" si="61"/>
        <v>21</v>
      </c>
      <c r="E1006">
        <f t="shared" si="62"/>
        <v>22</v>
      </c>
      <c r="F1006">
        <f t="shared" si="63"/>
        <v>1</v>
      </c>
      <c r="G1006">
        <f>VLOOKUP(E1006,Sheet1!$A$2:$B$25,2,FALSE)</f>
        <v>0</v>
      </c>
    </row>
    <row r="1007" spans="1:7" x14ac:dyDescent="0.25">
      <c r="A1007" s="11">
        <v>44582.958333333336</v>
      </c>
      <c r="B1007" s="10">
        <v>319.10500000000002</v>
      </c>
      <c r="C1007">
        <f t="shared" si="60"/>
        <v>5</v>
      </c>
      <c r="D1007">
        <f t="shared" si="61"/>
        <v>21</v>
      </c>
      <c r="E1007">
        <f t="shared" si="62"/>
        <v>23</v>
      </c>
      <c r="F1007">
        <f t="shared" si="63"/>
        <v>1</v>
      </c>
      <c r="G1007">
        <f>VLOOKUP(E1007,Sheet1!$A$2:$B$25,2,FALSE)</f>
        <v>0</v>
      </c>
    </row>
    <row r="1008" spans="1:7" x14ac:dyDescent="0.25">
      <c r="A1008" s="11">
        <v>44582.979166666664</v>
      </c>
      <c r="B1008" s="10">
        <v>319.82</v>
      </c>
      <c r="C1008">
        <f t="shared" si="60"/>
        <v>5</v>
      </c>
      <c r="D1008">
        <f t="shared" si="61"/>
        <v>21</v>
      </c>
      <c r="E1008">
        <f t="shared" si="62"/>
        <v>23</v>
      </c>
      <c r="F1008">
        <f t="shared" si="63"/>
        <v>1</v>
      </c>
      <c r="G1008">
        <f>VLOOKUP(E1008,Sheet1!$A$2:$B$25,2,FALSE)</f>
        <v>0</v>
      </c>
    </row>
    <row r="1009" spans="1:7" x14ac:dyDescent="0.25">
      <c r="A1009" s="11">
        <v>44583</v>
      </c>
      <c r="B1009" s="10">
        <v>322.10000000000002</v>
      </c>
      <c r="C1009">
        <f t="shared" si="60"/>
        <v>6</v>
      </c>
      <c r="D1009">
        <f t="shared" si="61"/>
        <v>22</v>
      </c>
      <c r="E1009">
        <f t="shared" si="62"/>
        <v>0</v>
      </c>
      <c r="F1009">
        <f t="shared" si="63"/>
        <v>0</v>
      </c>
      <c r="G1009">
        <f>VLOOKUP(E1009,Sheet1!$A$2:$B$25,2,FALSE)</f>
        <v>0</v>
      </c>
    </row>
    <row r="1010" spans="1:7" x14ac:dyDescent="0.25">
      <c r="A1010" s="11">
        <v>44583.020833333336</v>
      </c>
      <c r="B1010" s="10">
        <v>322.10500000000002</v>
      </c>
      <c r="C1010">
        <f t="shared" si="60"/>
        <v>6</v>
      </c>
      <c r="D1010">
        <f t="shared" si="61"/>
        <v>22</v>
      </c>
      <c r="E1010">
        <f t="shared" si="62"/>
        <v>0</v>
      </c>
      <c r="F1010">
        <f t="shared" si="63"/>
        <v>0</v>
      </c>
      <c r="G1010">
        <f>VLOOKUP(E1010,Sheet1!$A$2:$B$25,2,FALSE)</f>
        <v>0</v>
      </c>
    </row>
    <row r="1011" spans="1:7" x14ac:dyDescent="0.25">
      <c r="A1011" s="11">
        <v>44583.041666666664</v>
      </c>
      <c r="B1011" s="10">
        <v>326.54000000000002</v>
      </c>
      <c r="C1011">
        <f t="shared" si="60"/>
        <v>6</v>
      </c>
      <c r="D1011">
        <f t="shared" si="61"/>
        <v>22</v>
      </c>
      <c r="E1011">
        <f t="shared" si="62"/>
        <v>1</v>
      </c>
      <c r="F1011">
        <f t="shared" si="63"/>
        <v>0</v>
      </c>
      <c r="G1011">
        <f>VLOOKUP(E1011,Sheet1!$A$2:$B$25,2,FALSE)</f>
        <v>0</v>
      </c>
    </row>
    <row r="1012" spans="1:7" x14ac:dyDescent="0.25">
      <c r="A1012" s="11">
        <v>44583.0625</v>
      </c>
      <c r="B1012" s="10">
        <v>336.98</v>
      </c>
      <c r="C1012">
        <f t="shared" si="60"/>
        <v>6</v>
      </c>
      <c r="D1012">
        <f t="shared" si="61"/>
        <v>22</v>
      </c>
      <c r="E1012">
        <f t="shared" si="62"/>
        <v>1</v>
      </c>
      <c r="F1012">
        <f t="shared" si="63"/>
        <v>0</v>
      </c>
      <c r="G1012">
        <f>VLOOKUP(E1012,Sheet1!$A$2:$B$25,2,FALSE)</f>
        <v>0</v>
      </c>
    </row>
    <row r="1013" spans="1:7" x14ac:dyDescent="0.25">
      <c r="A1013" s="11">
        <v>44583.083333333336</v>
      </c>
      <c r="B1013" s="10">
        <v>321.721</v>
      </c>
      <c r="C1013">
        <f t="shared" si="60"/>
        <v>6</v>
      </c>
      <c r="D1013">
        <f t="shared" si="61"/>
        <v>22</v>
      </c>
      <c r="E1013">
        <f t="shared" si="62"/>
        <v>2</v>
      </c>
      <c r="F1013">
        <f t="shared" si="63"/>
        <v>0</v>
      </c>
      <c r="G1013">
        <f>VLOOKUP(E1013,Sheet1!$A$2:$B$25,2,FALSE)</f>
        <v>0</v>
      </c>
    </row>
    <row r="1014" spans="1:7" x14ac:dyDescent="0.25">
      <c r="A1014" s="11">
        <v>44583.104166666664</v>
      </c>
      <c r="B1014" s="10">
        <v>324.83600000000001</v>
      </c>
      <c r="C1014">
        <f t="shared" si="60"/>
        <v>6</v>
      </c>
      <c r="D1014">
        <f t="shared" si="61"/>
        <v>22</v>
      </c>
      <c r="E1014">
        <f t="shared" si="62"/>
        <v>2</v>
      </c>
      <c r="F1014">
        <f t="shared" si="63"/>
        <v>0</v>
      </c>
      <c r="G1014">
        <f>VLOOKUP(E1014,Sheet1!$A$2:$B$25,2,FALSE)</f>
        <v>0</v>
      </c>
    </row>
    <row r="1015" spans="1:7" x14ac:dyDescent="0.25">
      <c r="A1015" s="11">
        <v>44583.125</v>
      </c>
      <c r="B1015" s="10">
        <v>321.596</v>
      </c>
      <c r="C1015">
        <f t="shared" si="60"/>
        <v>6</v>
      </c>
      <c r="D1015">
        <f t="shared" si="61"/>
        <v>22</v>
      </c>
      <c r="E1015">
        <f t="shared" si="62"/>
        <v>3</v>
      </c>
      <c r="F1015">
        <f t="shared" si="63"/>
        <v>0</v>
      </c>
      <c r="G1015">
        <f>VLOOKUP(E1015,Sheet1!$A$2:$B$25,2,FALSE)</f>
        <v>0</v>
      </c>
    </row>
    <row r="1016" spans="1:7" x14ac:dyDescent="0.25">
      <c r="A1016" s="11">
        <v>44583.145833333336</v>
      </c>
      <c r="B1016" s="10">
        <v>325.7</v>
      </c>
      <c r="C1016">
        <f t="shared" si="60"/>
        <v>6</v>
      </c>
      <c r="D1016">
        <f t="shared" si="61"/>
        <v>22</v>
      </c>
      <c r="E1016">
        <f t="shared" si="62"/>
        <v>3</v>
      </c>
      <c r="F1016">
        <f t="shared" si="63"/>
        <v>0</v>
      </c>
      <c r="G1016">
        <f>VLOOKUP(E1016,Sheet1!$A$2:$B$25,2,FALSE)</f>
        <v>0</v>
      </c>
    </row>
    <row r="1017" spans="1:7" x14ac:dyDescent="0.25">
      <c r="A1017" s="11">
        <v>44583.166666666664</v>
      </c>
      <c r="B1017" s="10">
        <v>329.27600000000001</v>
      </c>
      <c r="C1017">
        <f t="shared" si="60"/>
        <v>6</v>
      </c>
      <c r="D1017">
        <f t="shared" si="61"/>
        <v>22</v>
      </c>
      <c r="E1017">
        <f t="shared" si="62"/>
        <v>4</v>
      </c>
      <c r="F1017">
        <f t="shared" si="63"/>
        <v>0</v>
      </c>
      <c r="G1017">
        <f>VLOOKUP(E1017,Sheet1!$A$2:$B$25,2,FALSE)</f>
        <v>1</v>
      </c>
    </row>
    <row r="1018" spans="1:7" x14ac:dyDescent="0.25">
      <c r="A1018" s="11">
        <v>44583.1875</v>
      </c>
      <c r="B1018" s="10">
        <v>335.54</v>
      </c>
      <c r="C1018">
        <f t="shared" si="60"/>
        <v>6</v>
      </c>
      <c r="D1018">
        <f t="shared" si="61"/>
        <v>22</v>
      </c>
      <c r="E1018">
        <f t="shared" si="62"/>
        <v>4</v>
      </c>
      <c r="F1018">
        <f t="shared" si="63"/>
        <v>0</v>
      </c>
      <c r="G1018">
        <f>VLOOKUP(E1018,Sheet1!$A$2:$B$25,2,FALSE)</f>
        <v>1</v>
      </c>
    </row>
    <row r="1019" spans="1:7" x14ac:dyDescent="0.25">
      <c r="A1019" s="11">
        <v>44583.208333333336</v>
      </c>
      <c r="B1019" s="10">
        <v>336.601</v>
      </c>
      <c r="C1019">
        <f t="shared" si="60"/>
        <v>6</v>
      </c>
      <c r="D1019">
        <f t="shared" si="61"/>
        <v>22</v>
      </c>
      <c r="E1019">
        <f t="shared" si="62"/>
        <v>5</v>
      </c>
      <c r="F1019">
        <f t="shared" si="63"/>
        <v>0</v>
      </c>
      <c r="G1019">
        <f>VLOOKUP(E1019,Sheet1!$A$2:$B$25,2,FALSE)</f>
        <v>1</v>
      </c>
    </row>
    <row r="1020" spans="1:7" x14ac:dyDescent="0.25">
      <c r="A1020" s="11">
        <v>44583.229166666664</v>
      </c>
      <c r="B1020" s="10">
        <v>338.51600000000002</v>
      </c>
      <c r="C1020">
        <f t="shared" si="60"/>
        <v>6</v>
      </c>
      <c r="D1020">
        <f t="shared" si="61"/>
        <v>22</v>
      </c>
      <c r="E1020">
        <f t="shared" si="62"/>
        <v>5</v>
      </c>
      <c r="F1020">
        <f t="shared" si="63"/>
        <v>0</v>
      </c>
      <c r="G1020">
        <f>VLOOKUP(E1020,Sheet1!$A$2:$B$25,2,FALSE)</f>
        <v>1</v>
      </c>
    </row>
    <row r="1021" spans="1:7" x14ac:dyDescent="0.25">
      <c r="A1021" s="11">
        <v>44583.25</v>
      </c>
      <c r="B1021" s="10">
        <v>336.95600000000002</v>
      </c>
      <c r="C1021">
        <f t="shared" si="60"/>
        <v>6</v>
      </c>
      <c r="D1021">
        <f t="shared" si="61"/>
        <v>22</v>
      </c>
      <c r="E1021">
        <f t="shared" si="62"/>
        <v>6</v>
      </c>
      <c r="F1021">
        <f t="shared" si="63"/>
        <v>0</v>
      </c>
      <c r="G1021">
        <f>VLOOKUP(E1021,Sheet1!$A$2:$B$25,2,FALSE)</f>
        <v>1</v>
      </c>
    </row>
    <row r="1022" spans="1:7" x14ac:dyDescent="0.25">
      <c r="A1022" s="11">
        <v>44583.270833333336</v>
      </c>
      <c r="B1022" s="10">
        <v>337.67599999999999</v>
      </c>
      <c r="C1022">
        <f t="shared" si="60"/>
        <v>6</v>
      </c>
      <c r="D1022">
        <f t="shared" si="61"/>
        <v>22</v>
      </c>
      <c r="E1022">
        <f t="shared" si="62"/>
        <v>6</v>
      </c>
      <c r="F1022">
        <f t="shared" si="63"/>
        <v>0</v>
      </c>
      <c r="G1022">
        <f>VLOOKUP(E1022,Sheet1!$A$2:$B$25,2,FALSE)</f>
        <v>1</v>
      </c>
    </row>
    <row r="1023" spans="1:7" x14ac:dyDescent="0.25">
      <c r="A1023" s="11">
        <v>44583.291666666664</v>
      </c>
      <c r="B1023" s="10">
        <v>335.42</v>
      </c>
      <c r="C1023">
        <f t="shared" si="60"/>
        <v>6</v>
      </c>
      <c r="D1023">
        <f t="shared" si="61"/>
        <v>22</v>
      </c>
      <c r="E1023">
        <f t="shared" si="62"/>
        <v>7</v>
      </c>
      <c r="F1023">
        <f t="shared" si="63"/>
        <v>0</v>
      </c>
      <c r="G1023">
        <f>VLOOKUP(E1023,Sheet1!$A$2:$B$25,2,FALSE)</f>
        <v>1</v>
      </c>
    </row>
    <row r="1024" spans="1:7" x14ac:dyDescent="0.25">
      <c r="A1024" s="11">
        <v>44583.3125</v>
      </c>
      <c r="B1024" s="10">
        <v>333.02</v>
      </c>
      <c r="C1024">
        <f t="shared" si="60"/>
        <v>6</v>
      </c>
      <c r="D1024">
        <f t="shared" si="61"/>
        <v>22</v>
      </c>
      <c r="E1024">
        <f t="shared" si="62"/>
        <v>7</v>
      </c>
      <c r="F1024">
        <f t="shared" si="63"/>
        <v>0</v>
      </c>
      <c r="G1024">
        <f>VLOOKUP(E1024,Sheet1!$A$2:$B$25,2,FALSE)</f>
        <v>1</v>
      </c>
    </row>
    <row r="1025" spans="1:7" x14ac:dyDescent="0.25">
      <c r="A1025" s="11">
        <v>44583.333333333336</v>
      </c>
      <c r="B1025" s="10">
        <v>321.476</v>
      </c>
      <c r="C1025">
        <f t="shared" si="60"/>
        <v>6</v>
      </c>
      <c r="D1025">
        <f t="shared" si="61"/>
        <v>22</v>
      </c>
      <c r="E1025">
        <f t="shared" si="62"/>
        <v>8</v>
      </c>
      <c r="F1025">
        <f t="shared" si="63"/>
        <v>0</v>
      </c>
      <c r="G1025">
        <f>VLOOKUP(E1025,Sheet1!$A$2:$B$25,2,FALSE)</f>
        <v>1</v>
      </c>
    </row>
    <row r="1026" spans="1:7" x14ac:dyDescent="0.25">
      <c r="A1026" s="11">
        <v>44583.354166666664</v>
      </c>
      <c r="B1026" s="10">
        <v>320.06</v>
      </c>
      <c r="C1026">
        <f t="shared" ref="C1026:C1089" si="64">WEEKDAY(A1026,2)</f>
        <v>6</v>
      </c>
      <c r="D1026">
        <f t="shared" ref="D1026:D1089" si="65">DAY(A1026)</f>
        <v>22</v>
      </c>
      <c r="E1026">
        <f t="shared" ref="E1026:E1089" si="66">HOUR(A1026)</f>
        <v>8</v>
      </c>
      <c r="F1026">
        <f t="shared" si="63"/>
        <v>0</v>
      </c>
      <c r="G1026">
        <f>VLOOKUP(E1026,Sheet1!$A$2:$B$25,2,FALSE)</f>
        <v>1</v>
      </c>
    </row>
    <row r="1027" spans="1:7" x14ac:dyDescent="0.25">
      <c r="A1027" s="11">
        <v>44583.375</v>
      </c>
      <c r="B1027" s="10">
        <v>316.94</v>
      </c>
      <c r="C1027">
        <f t="shared" si="64"/>
        <v>6</v>
      </c>
      <c r="D1027">
        <f t="shared" si="65"/>
        <v>22</v>
      </c>
      <c r="E1027">
        <f t="shared" si="66"/>
        <v>9</v>
      </c>
      <c r="F1027">
        <f t="shared" ref="F1027:F1090" si="67">IF(C1027&gt;=6,0,1)</f>
        <v>0</v>
      </c>
      <c r="G1027">
        <f>VLOOKUP(E1027,Sheet1!$A$2:$B$25,2,FALSE)</f>
        <v>1</v>
      </c>
    </row>
    <row r="1028" spans="1:7" x14ac:dyDescent="0.25">
      <c r="A1028" s="11">
        <v>44583.395833333336</v>
      </c>
      <c r="B1028" s="10">
        <v>320.161</v>
      </c>
      <c r="C1028">
        <f t="shared" si="64"/>
        <v>6</v>
      </c>
      <c r="D1028">
        <f t="shared" si="65"/>
        <v>22</v>
      </c>
      <c r="E1028">
        <f t="shared" si="66"/>
        <v>9</v>
      </c>
      <c r="F1028">
        <f t="shared" si="67"/>
        <v>0</v>
      </c>
      <c r="G1028">
        <f>VLOOKUP(E1028,Sheet1!$A$2:$B$25,2,FALSE)</f>
        <v>1</v>
      </c>
    </row>
    <row r="1029" spans="1:7" x14ac:dyDescent="0.25">
      <c r="A1029" s="11">
        <v>44583.416666666664</v>
      </c>
      <c r="B1029" s="10">
        <v>317.66000000000003</v>
      </c>
      <c r="C1029">
        <f t="shared" si="64"/>
        <v>6</v>
      </c>
      <c r="D1029">
        <f t="shared" si="65"/>
        <v>22</v>
      </c>
      <c r="E1029">
        <f t="shared" si="66"/>
        <v>10</v>
      </c>
      <c r="F1029">
        <f t="shared" si="67"/>
        <v>0</v>
      </c>
      <c r="G1029">
        <f>VLOOKUP(E1029,Sheet1!$A$2:$B$25,2,FALSE)</f>
        <v>1</v>
      </c>
    </row>
    <row r="1030" spans="1:7" x14ac:dyDescent="0.25">
      <c r="A1030" s="11">
        <v>44583.4375</v>
      </c>
      <c r="B1030" s="10">
        <v>315.5</v>
      </c>
      <c r="C1030">
        <f t="shared" si="64"/>
        <v>6</v>
      </c>
      <c r="D1030">
        <f t="shared" si="65"/>
        <v>22</v>
      </c>
      <c r="E1030">
        <f t="shared" si="66"/>
        <v>10</v>
      </c>
      <c r="F1030">
        <f t="shared" si="67"/>
        <v>0</v>
      </c>
      <c r="G1030">
        <f>VLOOKUP(E1030,Sheet1!$A$2:$B$25,2,FALSE)</f>
        <v>1</v>
      </c>
    </row>
    <row r="1031" spans="1:7" x14ac:dyDescent="0.25">
      <c r="A1031" s="11">
        <v>44583.458333333336</v>
      </c>
      <c r="B1031" s="10">
        <v>321.26499999999999</v>
      </c>
      <c r="C1031">
        <f t="shared" si="64"/>
        <v>6</v>
      </c>
      <c r="D1031">
        <f t="shared" si="65"/>
        <v>22</v>
      </c>
      <c r="E1031">
        <f t="shared" si="66"/>
        <v>11</v>
      </c>
      <c r="F1031">
        <f t="shared" si="67"/>
        <v>0</v>
      </c>
      <c r="G1031">
        <f>VLOOKUP(E1031,Sheet1!$A$2:$B$25,2,FALSE)</f>
        <v>1</v>
      </c>
    </row>
    <row r="1032" spans="1:7" x14ac:dyDescent="0.25">
      <c r="A1032" s="11">
        <v>44583.479166666664</v>
      </c>
      <c r="B1032" s="10">
        <v>317.18</v>
      </c>
      <c r="C1032">
        <f t="shared" si="64"/>
        <v>6</v>
      </c>
      <c r="D1032">
        <f t="shared" si="65"/>
        <v>22</v>
      </c>
      <c r="E1032">
        <f t="shared" si="66"/>
        <v>11</v>
      </c>
      <c r="F1032">
        <f t="shared" si="67"/>
        <v>0</v>
      </c>
      <c r="G1032">
        <f>VLOOKUP(E1032,Sheet1!$A$2:$B$25,2,FALSE)</f>
        <v>1</v>
      </c>
    </row>
    <row r="1033" spans="1:7" x14ac:dyDescent="0.25">
      <c r="A1033" s="11">
        <v>44583.5</v>
      </c>
      <c r="B1033" s="10">
        <v>315.476</v>
      </c>
      <c r="C1033">
        <f t="shared" si="64"/>
        <v>6</v>
      </c>
      <c r="D1033">
        <f t="shared" si="65"/>
        <v>22</v>
      </c>
      <c r="E1033">
        <f t="shared" si="66"/>
        <v>12</v>
      </c>
      <c r="F1033">
        <f t="shared" si="67"/>
        <v>0</v>
      </c>
      <c r="G1033">
        <f>VLOOKUP(E1033,Sheet1!$A$2:$B$25,2,FALSE)</f>
        <v>1</v>
      </c>
    </row>
    <row r="1034" spans="1:7" x14ac:dyDescent="0.25">
      <c r="A1034" s="11">
        <v>44583.520833333336</v>
      </c>
      <c r="B1034" s="10">
        <v>316.92099999999999</v>
      </c>
      <c r="C1034">
        <f t="shared" si="64"/>
        <v>6</v>
      </c>
      <c r="D1034">
        <f t="shared" si="65"/>
        <v>22</v>
      </c>
      <c r="E1034">
        <f t="shared" si="66"/>
        <v>12</v>
      </c>
      <c r="F1034">
        <f t="shared" si="67"/>
        <v>0</v>
      </c>
      <c r="G1034">
        <f>VLOOKUP(E1034,Sheet1!$A$2:$B$25,2,FALSE)</f>
        <v>1</v>
      </c>
    </row>
    <row r="1035" spans="1:7" x14ac:dyDescent="0.25">
      <c r="A1035" s="11">
        <v>44583.541666666664</v>
      </c>
      <c r="B1035" s="10">
        <v>316.22000000000003</v>
      </c>
      <c r="C1035">
        <f t="shared" si="64"/>
        <v>6</v>
      </c>
      <c r="D1035">
        <f t="shared" si="65"/>
        <v>22</v>
      </c>
      <c r="E1035">
        <f t="shared" si="66"/>
        <v>13</v>
      </c>
      <c r="F1035">
        <f t="shared" si="67"/>
        <v>0</v>
      </c>
      <c r="G1035">
        <f>VLOOKUP(E1035,Sheet1!$A$2:$B$25,2,FALSE)</f>
        <v>1</v>
      </c>
    </row>
    <row r="1036" spans="1:7" x14ac:dyDescent="0.25">
      <c r="A1036" s="11">
        <v>44583.5625</v>
      </c>
      <c r="B1036" s="10">
        <v>317.42</v>
      </c>
      <c r="C1036">
        <f t="shared" si="64"/>
        <v>6</v>
      </c>
      <c r="D1036">
        <f t="shared" si="65"/>
        <v>22</v>
      </c>
      <c r="E1036">
        <f t="shared" si="66"/>
        <v>13</v>
      </c>
      <c r="F1036">
        <f t="shared" si="67"/>
        <v>0</v>
      </c>
      <c r="G1036">
        <f>VLOOKUP(E1036,Sheet1!$A$2:$B$25,2,FALSE)</f>
        <v>1</v>
      </c>
    </row>
    <row r="1037" spans="1:7" x14ac:dyDescent="0.25">
      <c r="A1037" s="11">
        <v>44583.583333333336</v>
      </c>
      <c r="B1037" s="10">
        <v>316.43599999999998</v>
      </c>
      <c r="C1037">
        <f t="shared" si="64"/>
        <v>6</v>
      </c>
      <c r="D1037">
        <f t="shared" si="65"/>
        <v>22</v>
      </c>
      <c r="E1037">
        <f t="shared" si="66"/>
        <v>14</v>
      </c>
      <c r="F1037">
        <f t="shared" si="67"/>
        <v>0</v>
      </c>
      <c r="G1037">
        <f>VLOOKUP(E1037,Sheet1!$A$2:$B$25,2,FALSE)</f>
        <v>1</v>
      </c>
    </row>
    <row r="1038" spans="1:7" x14ac:dyDescent="0.25">
      <c r="A1038" s="11">
        <v>44583.604166666664</v>
      </c>
      <c r="B1038" s="10">
        <v>315.98500000000001</v>
      </c>
      <c r="C1038">
        <f t="shared" si="64"/>
        <v>6</v>
      </c>
      <c r="D1038">
        <f t="shared" si="65"/>
        <v>22</v>
      </c>
      <c r="E1038">
        <f t="shared" si="66"/>
        <v>14</v>
      </c>
      <c r="F1038">
        <f t="shared" si="67"/>
        <v>0</v>
      </c>
      <c r="G1038">
        <f>VLOOKUP(E1038,Sheet1!$A$2:$B$25,2,FALSE)</f>
        <v>1</v>
      </c>
    </row>
    <row r="1039" spans="1:7" x14ac:dyDescent="0.25">
      <c r="A1039" s="11">
        <v>44583.625</v>
      </c>
      <c r="B1039" s="10">
        <v>316.31599999999997</v>
      </c>
      <c r="C1039">
        <f t="shared" si="64"/>
        <v>6</v>
      </c>
      <c r="D1039">
        <f t="shared" si="65"/>
        <v>22</v>
      </c>
      <c r="E1039">
        <f t="shared" si="66"/>
        <v>15</v>
      </c>
      <c r="F1039">
        <f t="shared" si="67"/>
        <v>0</v>
      </c>
      <c r="G1039">
        <f>VLOOKUP(E1039,Sheet1!$A$2:$B$25,2,FALSE)</f>
        <v>1</v>
      </c>
    </row>
    <row r="1040" spans="1:7" x14ac:dyDescent="0.25">
      <c r="A1040" s="11">
        <v>44583.645833333336</v>
      </c>
      <c r="B1040" s="10">
        <v>314.06</v>
      </c>
      <c r="C1040">
        <f t="shared" si="64"/>
        <v>6</v>
      </c>
      <c r="D1040">
        <f t="shared" si="65"/>
        <v>22</v>
      </c>
      <c r="E1040">
        <f t="shared" si="66"/>
        <v>15</v>
      </c>
      <c r="F1040">
        <f t="shared" si="67"/>
        <v>0</v>
      </c>
      <c r="G1040">
        <f>VLOOKUP(E1040,Sheet1!$A$2:$B$25,2,FALSE)</f>
        <v>1</v>
      </c>
    </row>
    <row r="1041" spans="1:7" x14ac:dyDescent="0.25">
      <c r="A1041" s="11">
        <v>44583.666666666664</v>
      </c>
      <c r="B1041" s="10">
        <v>313.56099999999998</v>
      </c>
      <c r="C1041">
        <f t="shared" si="64"/>
        <v>6</v>
      </c>
      <c r="D1041">
        <f t="shared" si="65"/>
        <v>22</v>
      </c>
      <c r="E1041">
        <f t="shared" si="66"/>
        <v>16</v>
      </c>
      <c r="F1041">
        <f t="shared" si="67"/>
        <v>0</v>
      </c>
      <c r="G1041">
        <f>VLOOKUP(E1041,Sheet1!$A$2:$B$25,2,FALSE)</f>
        <v>0</v>
      </c>
    </row>
    <row r="1042" spans="1:7" x14ac:dyDescent="0.25">
      <c r="A1042" s="11">
        <v>44583.6875</v>
      </c>
      <c r="B1042" s="10">
        <v>310.19600000000003</v>
      </c>
      <c r="C1042">
        <f t="shared" si="64"/>
        <v>6</v>
      </c>
      <c r="D1042">
        <f t="shared" si="65"/>
        <v>22</v>
      </c>
      <c r="E1042">
        <f t="shared" si="66"/>
        <v>16</v>
      </c>
      <c r="F1042">
        <f t="shared" si="67"/>
        <v>0</v>
      </c>
      <c r="G1042">
        <f>VLOOKUP(E1042,Sheet1!$A$2:$B$25,2,FALSE)</f>
        <v>0</v>
      </c>
    </row>
    <row r="1043" spans="1:7" x14ac:dyDescent="0.25">
      <c r="A1043" s="11">
        <v>44583.708333333336</v>
      </c>
      <c r="B1043" s="10">
        <v>308.54000000000002</v>
      </c>
      <c r="C1043">
        <f t="shared" si="64"/>
        <v>6</v>
      </c>
      <c r="D1043">
        <f t="shared" si="65"/>
        <v>22</v>
      </c>
      <c r="E1043">
        <f t="shared" si="66"/>
        <v>17</v>
      </c>
      <c r="F1043">
        <f t="shared" si="67"/>
        <v>0</v>
      </c>
      <c r="G1043">
        <f>VLOOKUP(E1043,Sheet1!$A$2:$B$25,2,FALSE)</f>
        <v>0</v>
      </c>
    </row>
    <row r="1044" spans="1:7" x14ac:dyDescent="0.25">
      <c r="A1044" s="11">
        <v>44583.729166666664</v>
      </c>
      <c r="B1044" s="10">
        <v>318.86</v>
      </c>
      <c r="C1044">
        <f t="shared" si="64"/>
        <v>6</v>
      </c>
      <c r="D1044">
        <f t="shared" si="65"/>
        <v>22</v>
      </c>
      <c r="E1044">
        <f t="shared" si="66"/>
        <v>17</v>
      </c>
      <c r="F1044">
        <f t="shared" si="67"/>
        <v>0</v>
      </c>
      <c r="G1044">
        <f>VLOOKUP(E1044,Sheet1!$A$2:$B$25,2,FALSE)</f>
        <v>0</v>
      </c>
    </row>
    <row r="1045" spans="1:7" x14ac:dyDescent="0.25">
      <c r="A1045" s="11">
        <v>44583.75</v>
      </c>
      <c r="B1045" s="10">
        <v>322.32100000000003</v>
      </c>
      <c r="C1045">
        <f t="shared" si="64"/>
        <v>6</v>
      </c>
      <c r="D1045">
        <f t="shared" si="65"/>
        <v>22</v>
      </c>
      <c r="E1045">
        <f t="shared" si="66"/>
        <v>18</v>
      </c>
      <c r="F1045">
        <f t="shared" si="67"/>
        <v>0</v>
      </c>
      <c r="G1045">
        <f>VLOOKUP(E1045,Sheet1!$A$2:$B$25,2,FALSE)</f>
        <v>0</v>
      </c>
    </row>
    <row r="1046" spans="1:7" x14ac:dyDescent="0.25">
      <c r="A1046" s="11">
        <v>44583.770833333336</v>
      </c>
      <c r="B1046" s="10">
        <v>316.55599999999998</v>
      </c>
      <c r="C1046">
        <f t="shared" si="64"/>
        <v>6</v>
      </c>
      <c r="D1046">
        <f t="shared" si="65"/>
        <v>22</v>
      </c>
      <c r="E1046">
        <f t="shared" si="66"/>
        <v>18</v>
      </c>
      <c r="F1046">
        <f t="shared" si="67"/>
        <v>0</v>
      </c>
      <c r="G1046">
        <f>VLOOKUP(E1046,Sheet1!$A$2:$B$25,2,FALSE)</f>
        <v>0</v>
      </c>
    </row>
    <row r="1047" spans="1:7" x14ac:dyDescent="0.25">
      <c r="A1047" s="11">
        <v>44583.791666666664</v>
      </c>
      <c r="B1047" s="10">
        <v>314.54000000000002</v>
      </c>
      <c r="C1047">
        <f t="shared" si="64"/>
        <v>6</v>
      </c>
      <c r="D1047">
        <f t="shared" si="65"/>
        <v>22</v>
      </c>
      <c r="E1047">
        <f t="shared" si="66"/>
        <v>19</v>
      </c>
      <c r="F1047">
        <f t="shared" si="67"/>
        <v>0</v>
      </c>
      <c r="G1047">
        <f>VLOOKUP(E1047,Sheet1!$A$2:$B$25,2,FALSE)</f>
        <v>0</v>
      </c>
    </row>
    <row r="1048" spans="1:7" x14ac:dyDescent="0.25">
      <c r="A1048" s="11">
        <v>44583.8125</v>
      </c>
      <c r="B1048" s="10">
        <v>315.95600000000002</v>
      </c>
      <c r="C1048">
        <f t="shared" si="64"/>
        <v>6</v>
      </c>
      <c r="D1048">
        <f t="shared" si="65"/>
        <v>22</v>
      </c>
      <c r="E1048">
        <f t="shared" si="66"/>
        <v>19</v>
      </c>
      <c r="F1048">
        <f t="shared" si="67"/>
        <v>0</v>
      </c>
      <c r="G1048">
        <f>VLOOKUP(E1048,Sheet1!$A$2:$B$25,2,FALSE)</f>
        <v>0</v>
      </c>
    </row>
    <row r="1049" spans="1:7" x14ac:dyDescent="0.25">
      <c r="A1049" s="11">
        <v>44583.833333333336</v>
      </c>
      <c r="B1049" s="10">
        <v>319.7</v>
      </c>
      <c r="C1049">
        <f t="shared" si="64"/>
        <v>6</v>
      </c>
      <c r="D1049">
        <f t="shared" si="65"/>
        <v>22</v>
      </c>
      <c r="E1049">
        <f t="shared" si="66"/>
        <v>20</v>
      </c>
      <c r="F1049">
        <f t="shared" si="67"/>
        <v>0</v>
      </c>
      <c r="G1049">
        <f>VLOOKUP(E1049,Sheet1!$A$2:$B$25,2,FALSE)</f>
        <v>0</v>
      </c>
    </row>
    <row r="1050" spans="1:7" x14ac:dyDescent="0.25">
      <c r="A1050" s="11">
        <v>44583.854166666664</v>
      </c>
      <c r="B1050" s="10">
        <v>315.11599999999999</v>
      </c>
      <c r="C1050">
        <f t="shared" si="64"/>
        <v>6</v>
      </c>
      <c r="D1050">
        <f t="shared" si="65"/>
        <v>22</v>
      </c>
      <c r="E1050">
        <f t="shared" si="66"/>
        <v>20</v>
      </c>
      <c r="F1050">
        <f t="shared" si="67"/>
        <v>0</v>
      </c>
      <c r="G1050">
        <f>VLOOKUP(E1050,Sheet1!$A$2:$B$25,2,FALSE)</f>
        <v>0</v>
      </c>
    </row>
    <row r="1051" spans="1:7" x14ac:dyDescent="0.25">
      <c r="A1051" s="11">
        <v>44583.875</v>
      </c>
      <c r="B1051" s="10">
        <v>315.86</v>
      </c>
      <c r="C1051">
        <f t="shared" si="64"/>
        <v>6</v>
      </c>
      <c r="D1051">
        <f t="shared" si="65"/>
        <v>22</v>
      </c>
      <c r="E1051">
        <f t="shared" si="66"/>
        <v>21</v>
      </c>
      <c r="F1051">
        <f t="shared" si="67"/>
        <v>0</v>
      </c>
      <c r="G1051">
        <f>VLOOKUP(E1051,Sheet1!$A$2:$B$25,2,FALSE)</f>
        <v>0</v>
      </c>
    </row>
    <row r="1052" spans="1:7" x14ac:dyDescent="0.25">
      <c r="A1052" s="11">
        <v>44583.895833333336</v>
      </c>
      <c r="B1052" s="10">
        <v>313.92099999999999</v>
      </c>
      <c r="C1052">
        <f t="shared" si="64"/>
        <v>6</v>
      </c>
      <c r="D1052">
        <f t="shared" si="65"/>
        <v>22</v>
      </c>
      <c r="E1052">
        <f t="shared" si="66"/>
        <v>21</v>
      </c>
      <c r="F1052">
        <f t="shared" si="67"/>
        <v>0</v>
      </c>
      <c r="G1052">
        <f>VLOOKUP(E1052,Sheet1!$A$2:$B$25,2,FALSE)</f>
        <v>0</v>
      </c>
    </row>
    <row r="1053" spans="1:7" x14ac:dyDescent="0.25">
      <c r="A1053" s="11">
        <v>44583.916666666664</v>
      </c>
      <c r="B1053" s="10">
        <v>313.22000000000003</v>
      </c>
      <c r="C1053">
        <f t="shared" si="64"/>
        <v>6</v>
      </c>
      <c r="D1053">
        <f t="shared" si="65"/>
        <v>22</v>
      </c>
      <c r="E1053">
        <f t="shared" si="66"/>
        <v>22</v>
      </c>
      <c r="F1053">
        <f t="shared" si="67"/>
        <v>0</v>
      </c>
      <c r="G1053">
        <f>VLOOKUP(E1053,Sheet1!$A$2:$B$25,2,FALSE)</f>
        <v>0</v>
      </c>
    </row>
    <row r="1054" spans="1:7" x14ac:dyDescent="0.25">
      <c r="A1054" s="11">
        <v>44583.9375</v>
      </c>
      <c r="B1054" s="10">
        <v>292.43599999999998</v>
      </c>
      <c r="C1054">
        <f t="shared" si="64"/>
        <v>6</v>
      </c>
      <c r="D1054">
        <f t="shared" si="65"/>
        <v>22</v>
      </c>
      <c r="E1054">
        <f t="shared" si="66"/>
        <v>22</v>
      </c>
      <c r="F1054">
        <f t="shared" si="67"/>
        <v>0</v>
      </c>
      <c r="G1054">
        <f>VLOOKUP(E1054,Sheet1!$A$2:$B$25,2,FALSE)</f>
        <v>0</v>
      </c>
    </row>
    <row r="1055" spans="1:7" x14ac:dyDescent="0.25">
      <c r="A1055" s="11">
        <v>44583.958333333336</v>
      </c>
      <c r="B1055" s="10">
        <v>292.67599999999999</v>
      </c>
      <c r="C1055">
        <f t="shared" si="64"/>
        <v>6</v>
      </c>
      <c r="D1055">
        <f t="shared" si="65"/>
        <v>22</v>
      </c>
      <c r="E1055">
        <f t="shared" si="66"/>
        <v>23</v>
      </c>
      <c r="F1055">
        <f t="shared" si="67"/>
        <v>0</v>
      </c>
      <c r="G1055">
        <f>VLOOKUP(E1055,Sheet1!$A$2:$B$25,2,FALSE)</f>
        <v>0</v>
      </c>
    </row>
    <row r="1056" spans="1:7" x14ac:dyDescent="0.25">
      <c r="A1056" s="11">
        <v>44583.979166666664</v>
      </c>
      <c r="B1056" s="10">
        <v>290.75599999999997</v>
      </c>
      <c r="C1056">
        <f t="shared" si="64"/>
        <v>6</v>
      </c>
      <c r="D1056">
        <f t="shared" si="65"/>
        <v>22</v>
      </c>
      <c r="E1056">
        <f t="shared" si="66"/>
        <v>23</v>
      </c>
      <c r="F1056">
        <f t="shared" si="67"/>
        <v>0</v>
      </c>
      <c r="G1056">
        <f>VLOOKUP(E1056,Sheet1!$A$2:$B$25,2,FALSE)</f>
        <v>0</v>
      </c>
    </row>
    <row r="1057" spans="1:7" x14ac:dyDescent="0.25">
      <c r="A1057" s="11">
        <v>44584</v>
      </c>
      <c r="B1057" s="10">
        <v>293.15600000000001</v>
      </c>
      <c r="C1057">
        <f t="shared" si="64"/>
        <v>7</v>
      </c>
      <c r="D1057">
        <f t="shared" si="65"/>
        <v>23</v>
      </c>
      <c r="E1057">
        <f t="shared" si="66"/>
        <v>0</v>
      </c>
      <c r="F1057">
        <f t="shared" si="67"/>
        <v>0</v>
      </c>
      <c r="G1057">
        <f>VLOOKUP(E1057,Sheet1!$A$2:$B$25,2,FALSE)</f>
        <v>0</v>
      </c>
    </row>
    <row r="1058" spans="1:7" x14ac:dyDescent="0.25">
      <c r="A1058" s="11">
        <v>44584.020833333336</v>
      </c>
      <c r="B1058" s="10">
        <v>297.38</v>
      </c>
      <c r="C1058">
        <f t="shared" si="64"/>
        <v>7</v>
      </c>
      <c r="D1058">
        <f t="shared" si="65"/>
        <v>23</v>
      </c>
      <c r="E1058">
        <f t="shared" si="66"/>
        <v>0</v>
      </c>
      <c r="F1058">
        <f t="shared" si="67"/>
        <v>0</v>
      </c>
      <c r="G1058">
        <f>VLOOKUP(E1058,Sheet1!$A$2:$B$25,2,FALSE)</f>
        <v>0</v>
      </c>
    </row>
    <row r="1059" spans="1:7" x14ac:dyDescent="0.25">
      <c r="A1059" s="11">
        <v>44584.041666666664</v>
      </c>
      <c r="B1059" s="10">
        <v>302.06</v>
      </c>
      <c r="C1059">
        <f t="shared" si="64"/>
        <v>7</v>
      </c>
      <c r="D1059">
        <f t="shared" si="65"/>
        <v>23</v>
      </c>
      <c r="E1059">
        <f t="shared" si="66"/>
        <v>1</v>
      </c>
      <c r="F1059">
        <f t="shared" si="67"/>
        <v>0</v>
      </c>
      <c r="G1059">
        <f>VLOOKUP(E1059,Sheet1!$A$2:$B$25,2,FALSE)</f>
        <v>0</v>
      </c>
    </row>
    <row r="1060" spans="1:7" x14ac:dyDescent="0.25">
      <c r="A1060" s="11">
        <v>44584.0625</v>
      </c>
      <c r="B1060" s="10">
        <v>295.79599999999999</v>
      </c>
      <c r="C1060">
        <f t="shared" si="64"/>
        <v>7</v>
      </c>
      <c r="D1060">
        <f t="shared" si="65"/>
        <v>23</v>
      </c>
      <c r="E1060">
        <f t="shared" si="66"/>
        <v>1</v>
      </c>
      <c r="F1060">
        <f t="shared" si="67"/>
        <v>0</v>
      </c>
      <c r="G1060">
        <f>VLOOKUP(E1060,Sheet1!$A$2:$B$25,2,FALSE)</f>
        <v>0</v>
      </c>
    </row>
    <row r="1061" spans="1:7" x14ac:dyDescent="0.25">
      <c r="A1061" s="11">
        <v>44584.083333333336</v>
      </c>
      <c r="B1061" s="10">
        <v>293.75599999999997</v>
      </c>
      <c r="C1061">
        <f t="shared" si="64"/>
        <v>7</v>
      </c>
      <c r="D1061">
        <f t="shared" si="65"/>
        <v>23</v>
      </c>
      <c r="E1061">
        <f t="shared" si="66"/>
        <v>2</v>
      </c>
      <c r="F1061">
        <f t="shared" si="67"/>
        <v>0</v>
      </c>
      <c r="G1061">
        <f>VLOOKUP(E1061,Sheet1!$A$2:$B$25,2,FALSE)</f>
        <v>0</v>
      </c>
    </row>
    <row r="1062" spans="1:7" x14ac:dyDescent="0.25">
      <c r="A1062" s="11">
        <v>44584.104166666664</v>
      </c>
      <c r="B1062" s="10">
        <v>291.11599999999999</v>
      </c>
      <c r="C1062">
        <f t="shared" si="64"/>
        <v>7</v>
      </c>
      <c r="D1062">
        <f t="shared" si="65"/>
        <v>23</v>
      </c>
      <c r="E1062">
        <f t="shared" si="66"/>
        <v>2</v>
      </c>
      <c r="F1062">
        <f t="shared" si="67"/>
        <v>0</v>
      </c>
      <c r="G1062">
        <f>VLOOKUP(E1062,Sheet1!$A$2:$B$25,2,FALSE)</f>
        <v>0</v>
      </c>
    </row>
    <row r="1063" spans="1:7" x14ac:dyDescent="0.25">
      <c r="A1063" s="11">
        <v>44584.125</v>
      </c>
      <c r="B1063" s="10">
        <v>295.22000000000003</v>
      </c>
      <c r="C1063">
        <f t="shared" si="64"/>
        <v>7</v>
      </c>
      <c r="D1063">
        <f t="shared" si="65"/>
        <v>23</v>
      </c>
      <c r="E1063">
        <f t="shared" si="66"/>
        <v>3</v>
      </c>
      <c r="F1063">
        <f t="shared" si="67"/>
        <v>0</v>
      </c>
      <c r="G1063">
        <f>VLOOKUP(E1063,Sheet1!$A$2:$B$25,2,FALSE)</f>
        <v>0</v>
      </c>
    </row>
    <row r="1064" spans="1:7" x14ac:dyDescent="0.25">
      <c r="A1064" s="11">
        <v>44584.145833333336</v>
      </c>
      <c r="B1064" s="10">
        <v>290.30500000000001</v>
      </c>
      <c r="C1064">
        <f t="shared" si="64"/>
        <v>7</v>
      </c>
      <c r="D1064">
        <f t="shared" si="65"/>
        <v>23</v>
      </c>
      <c r="E1064">
        <f t="shared" si="66"/>
        <v>3</v>
      </c>
      <c r="F1064">
        <f t="shared" si="67"/>
        <v>0</v>
      </c>
      <c r="G1064">
        <f>VLOOKUP(E1064,Sheet1!$A$2:$B$25,2,FALSE)</f>
        <v>0</v>
      </c>
    </row>
    <row r="1065" spans="1:7" x14ac:dyDescent="0.25">
      <c r="A1065" s="11">
        <v>44584.166666666664</v>
      </c>
      <c r="B1065" s="10">
        <v>290.39600000000002</v>
      </c>
      <c r="C1065">
        <f t="shared" si="64"/>
        <v>7</v>
      </c>
      <c r="D1065">
        <f t="shared" si="65"/>
        <v>23</v>
      </c>
      <c r="E1065">
        <f t="shared" si="66"/>
        <v>4</v>
      </c>
      <c r="F1065">
        <f t="shared" si="67"/>
        <v>0</v>
      </c>
      <c r="G1065">
        <f>VLOOKUP(E1065,Sheet1!$A$2:$B$25,2,FALSE)</f>
        <v>1</v>
      </c>
    </row>
    <row r="1066" spans="1:7" x14ac:dyDescent="0.25">
      <c r="A1066" s="11">
        <v>44584.1875</v>
      </c>
      <c r="B1066" s="10">
        <v>293.27600000000001</v>
      </c>
      <c r="C1066">
        <f t="shared" si="64"/>
        <v>7</v>
      </c>
      <c r="D1066">
        <f t="shared" si="65"/>
        <v>23</v>
      </c>
      <c r="E1066">
        <f t="shared" si="66"/>
        <v>4</v>
      </c>
      <c r="F1066">
        <f t="shared" si="67"/>
        <v>0</v>
      </c>
      <c r="G1066">
        <f>VLOOKUP(E1066,Sheet1!$A$2:$B$25,2,FALSE)</f>
        <v>1</v>
      </c>
    </row>
    <row r="1067" spans="1:7" x14ac:dyDescent="0.25">
      <c r="A1067" s="11">
        <v>44584.208333333336</v>
      </c>
      <c r="B1067" s="10">
        <v>289.58</v>
      </c>
      <c r="C1067">
        <f t="shared" si="64"/>
        <v>7</v>
      </c>
      <c r="D1067">
        <f t="shared" si="65"/>
        <v>23</v>
      </c>
      <c r="E1067">
        <f t="shared" si="66"/>
        <v>5</v>
      </c>
      <c r="F1067">
        <f t="shared" si="67"/>
        <v>0</v>
      </c>
      <c r="G1067">
        <f>VLOOKUP(E1067,Sheet1!$A$2:$B$25,2,FALSE)</f>
        <v>1</v>
      </c>
    </row>
    <row r="1068" spans="1:7" x14ac:dyDescent="0.25">
      <c r="A1068" s="11">
        <v>44584.229166666664</v>
      </c>
      <c r="B1068" s="10">
        <v>291.38499999999999</v>
      </c>
      <c r="C1068">
        <f t="shared" si="64"/>
        <v>7</v>
      </c>
      <c r="D1068">
        <f t="shared" si="65"/>
        <v>23</v>
      </c>
      <c r="E1068">
        <f t="shared" si="66"/>
        <v>5</v>
      </c>
      <c r="F1068">
        <f t="shared" si="67"/>
        <v>0</v>
      </c>
      <c r="G1068">
        <f>VLOOKUP(E1068,Sheet1!$A$2:$B$25,2,FALSE)</f>
        <v>1</v>
      </c>
    </row>
    <row r="1069" spans="1:7" x14ac:dyDescent="0.25">
      <c r="A1069" s="11">
        <v>44584.25</v>
      </c>
      <c r="B1069" s="10">
        <v>290.42</v>
      </c>
      <c r="C1069">
        <f t="shared" si="64"/>
        <v>7</v>
      </c>
      <c r="D1069">
        <f t="shared" si="65"/>
        <v>23</v>
      </c>
      <c r="E1069">
        <f t="shared" si="66"/>
        <v>6</v>
      </c>
      <c r="F1069">
        <f t="shared" si="67"/>
        <v>0</v>
      </c>
      <c r="G1069">
        <f>VLOOKUP(E1069,Sheet1!$A$2:$B$25,2,FALSE)</f>
        <v>1</v>
      </c>
    </row>
    <row r="1070" spans="1:7" x14ac:dyDescent="0.25">
      <c r="A1070" s="11">
        <v>44584.270833333336</v>
      </c>
      <c r="B1070" s="10">
        <v>296.54000000000002</v>
      </c>
      <c r="C1070">
        <f t="shared" si="64"/>
        <v>7</v>
      </c>
      <c r="D1070">
        <f t="shared" si="65"/>
        <v>23</v>
      </c>
      <c r="E1070">
        <f t="shared" si="66"/>
        <v>6</v>
      </c>
      <c r="F1070">
        <f t="shared" si="67"/>
        <v>0</v>
      </c>
      <c r="G1070">
        <f>VLOOKUP(E1070,Sheet1!$A$2:$B$25,2,FALSE)</f>
        <v>1</v>
      </c>
    </row>
    <row r="1071" spans="1:7" x14ac:dyDescent="0.25">
      <c r="A1071" s="11">
        <v>44584.291666666664</v>
      </c>
      <c r="B1071" s="10">
        <v>292.19600000000003</v>
      </c>
      <c r="C1071">
        <f t="shared" si="64"/>
        <v>7</v>
      </c>
      <c r="D1071">
        <f t="shared" si="65"/>
        <v>23</v>
      </c>
      <c r="E1071">
        <f t="shared" si="66"/>
        <v>7</v>
      </c>
      <c r="F1071">
        <f t="shared" si="67"/>
        <v>0</v>
      </c>
      <c r="G1071">
        <f>VLOOKUP(E1071,Sheet1!$A$2:$B$25,2,FALSE)</f>
        <v>1</v>
      </c>
    </row>
    <row r="1072" spans="1:7" x14ac:dyDescent="0.25">
      <c r="A1072" s="11">
        <v>44584.3125</v>
      </c>
      <c r="B1072" s="10">
        <v>295.08100000000002</v>
      </c>
      <c r="C1072">
        <f t="shared" si="64"/>
        <v>7</v>
      </c>
      <c r="D1072">
        <f t="shared" si="65"/>
        <v>23</v>
      </c>
      <c r="E1072">
        <f t="shared" si="66"/>
        <v>7</v>
      </c>
      <c r="F1072">
        <f t="shared" si="67"/>
        <v>0</v>
      </c>
      <c r="G1072">
        <f>VLOOKUP(E1072,Sheet1!$A$2:$B$25,2,FALSE)</f>
        <v>1</v>
      </c>
    </row>
    <row r="1073" spans="1:7" x14ac:dyDescent="0.25">
      <c r="A1073" s="11">
        <v>44584.333333333336</v>
      </c>
      <c r="B1073" s="10">
        <v>288.35599999999999</v>
      </c>
      <c r="C1073">
        <f t="shared" si="64"/>
        <v>7</v>
      </c>
      <c r="D1073">
        <f t="shared" si="65"/>
        <v>23</v>
      </c>
      <c r="E1073">
        <f t="shared" si="66"/>
        <v>8</v>
      </c>
      <c r="F1073">
        <f t="shared" si="67"/>
        <v>0</v>
      </c>
      <c r="G1073">
        <f>VLOOKUP(E1073,Sheet1!$A$2:$B$25,2,FALSE)</f>
        <v>1</v>
      </c>
    </row>
    <row r="1074" spans="1:7" x14ac:dyDescent="0.25">
      <c r="A1074" s="11">
        <v>44584.354166666664</v>
      </c>
      <c r="B1074" s="10">
        <v>284.99599999999998</v>
      </c>
      <c r="C1074">
        <f t="shared" si="64"/>
        <v>7</v>
      </c>
      <c r="D1074">
        <f t="shared" si="65"/>
        <v>23</v>
      </c>
      <c r="E1074">
        <f t="shared" si="66"/>
        <v>8</v>
      </c>
      <c r="F1074">
        <f t="shared" si="67"/>
        <v>0</v>
      </c>
      <c r="G1074">
        <f>VLOOKUP(E1074,Sheet1!$A$2:$B$25,2,FALSE)</f>
        <v>1</v>
      </c>
    </row>
    <row r="1075" spans="1:7" x14ac:dyDescent="0.25">
      <c r="A1075" s="11">
        <v>44584.375</v>
      </c>
      <c r="B1075" s="10">
        <v>290.63600000000002</v>
      </c>
      <c r="C1075">
        <f t="shared" si="64"/>
        <v>7</v>
      </c>
      <c r="D1075">
        <f t="shared" si="65"/>
        <v>23</v>
      </c>
      <c r="E1075">
        <f t="shared" si="66"/>
        <v>9</v>
      </c>
      <c r="F1075">
        <f t="shared" si="67"/>
        <v>0</v>
      </c>
      <c r="G1075">
        <f>VLOOKUP(E1075,Sheet1!$A$2:$B$25,2,FALSE)</f>
        <v>1</v>
      </c>
    </row>
    <row r="1076" spans="1:7" x14ac:dyDescent="0.25">
      <c r="A1076" s="11">
        <v>44584.395833333336</v>
      </c>
      <c r="B1076" s="10">
        <v>288.14</v>
      </c>
      <c r="C1076">
        <f t="shared" si="64"/>
        <v>7</v>
      </c>
      <c r="D1076">
        <f t="shared" si="65"/>
        <v>23</v>
      </c>
      <c r="E1076">
        <f t="shared" si="66"/>
        <v>9</v>
      </c>
      <c r="F1076">
        <f t="shared" si="67"/>
        <v>0</v>
      </c>
      <c r="G1076">
        <f>VLOOKUP(E1076,Sheet1!$A$2:$B$25,2,FALSE)</f>
        <v>1</v>
      </c>
    </row>
    <row r="1077" spans="1:7" x14ac:dyDescent="0.25">
      <c r="A1077" s="11">
        <v>44584.416666666664</v>
      </c>
      <c r="B1077" s="10">
        <v>290.39600000000002</v>
      </c>
      <c r="C1077">
        <f t="shared" si="64"/>
        <v>7</v>
      </c>
      <c r="D1077">
        <f t="shared" si="65"/>
        <v>23</v>
      </c>
      <c r="E1077">
        <f t="shared" si="66"/>
        <v>10</v>
      </c>
      <c r="F1077">
        <f t="shared" si="67"/>
        <v>0</v>
      </c>
      <c r="G1077">
        <f>VLOOKUP(E1077,Sheet1!$A$2:$B$25,2,FALSE)</f>
        <v>1</v>
      </c>
    </row>
    <row r="1078" spans="1:7" x14ac:dyDescent="0.25">
      <c r="A1078" s="11">
        <v>44584.4375</v>
      </c>
      <c r="B1078" s="10">
        <v>288.476</v>
      </c>
      <c r="C1078">
        <f t="shared" si="64"/>
        <v>7</v>
      </c>
      <c r="D1078">
        <f t="shared" si="65"/>
        <v>23</v>
      </c>
      <c r="E1078">
        <f t="shared" si="66"/>
        <v>10</v>
      </c>
      <c r="F1078">
        <f t="shared" si="67"/>
        <v>0</v>
      </c>
      <c r="G1078">
        <f>VLOOKUP(E1078,Sheet1!$A$2:$B$25,2,FALSE)</f>
        <v>1</v>
      </c>
    </row>
    <row r="1079" spans="1:7" x14ac:dyDescent="0.25">
      <c r="A1079" s="11">
        <v>44584.458333333336</v>
      </c>
      <c r="B1079" s="10">
        <v>293.64100000000002</v>
      </c>
      <c r="C1079">
        <f t="shared" si="64"/>
        <v>7</v>
      </c>
      <c r="D1079">
        <f t="shared" si="65"/>
        <v>23</v>
      </c>
      <c r="E1079">
        <f t="shared" si="66"/>
        <v>11</v>
      </c>
      <c r="F1079">
        <f t="shared" si="67"/>
        <v>0</v>
      </c>
      <c r="G1079">
        <f>VLOOKUP(E1079,Sheet1!$A$2:$B$25,2,FALSE)</f>
        <v>1</v>
      </c>
    </row>
    <row r="1080" spans="1:7" x14ac:dyDescent="0.25">
      <c r="A1080" s="11">
        <v>44584.479166666664</v>
      </c>
      <c r="B1080" s="10">
        <v>297.5</v>
      </c>
      <c r="C1080">
        <f t="shared" si="64"/>
        <v>7</v>
      </c>
      <c r="D1080">
        <f t="shared" si="65"/>
        <v>23</v>
      </c>
      <c r="E1080">
        <f t="shared" si="66"/>
        <v>11</v>
      </c>
      <c r="F1080">
        <f t="shared" si="67"/>
        <v>0</v>
      </c>
      <c r="G1080">
        <f>VLOOKUP(E1080,Sheet1!$A$2:$B$25,2,FALSE)</f>
        <v>1</v>
      </c>
    </row>
    <row r="1081" spans="1:7" x14ac:dyDescent="0.25">
      <c r="A1081" s="11">
        <v>44584.5</v>
      </c>
      <c r="B1081" s="10">
        <v>302.63600000000002</v>
      </c>
      <c r="C1081">
        <f t="shared" si="64"/>
        <v>7</v>
      </c>
      <c r="D1081">
        <f t="shared" si="65"/>
        <v>23</v>
      </c>
      <c r="E1081">
        <f t="shared" si="66"/>
        <v>12</v>
      </c>
      <c r="F1081">
        <f t="shared" si="67"/>
        <v>0</v>
      </c>
      <c r="G1081">
        <f>VLOOKUP(E1081,Sheet1!$A$2:$B$25,2,FALSE)</f>
        <v>1</v>
      </c>
    </row>
    <row r="1082" spans="1:7" x14ac:dyDescent="0.25">
      <c r="A1082" s="11">
        <v>44584.520833333336</v>
      </c>
      <c r="B1082" s="10">
        <v>295.45999999999998</v>
      </c>
      <c r="C1082">
        <f t="shared" si="64"/>
        <v>7</v>
      </c>
      <c r="D1082">
        <f t="shared" si="65"/>
        <v>23</v>
      </c>
      <c r="E1082">
        <f t="shared" si="66"/>
        <v>12</v>
      </c>
      <c r="F1082">
        <f t="shared" si="67"/>
        <v>0</v>
      </c>
      <c r="G1082">
        <f>VLOOKUP(E1082,Sheet1!$A$2:$B$25,2,FALSE)</f>
        <v>1</v>
      </c>
    </row>
    <row r="1083" spans="1:7" x14ac:dyDescent="0.25">
      <c r="A1083" s="11">
        <v>44584.541666666664</v>
      </c>
      <c r="B1083" s="10">
        <v>296.78500000000003</v>
      </c>
      <c r="C1083">
        <f t="shared" si="64"/>
        <v>7</v>
      </c>
      <c r="D1083">
        <f t="shared" si="65"/>
        <v>23</v>
      </c>
      <c r="E1083">
        <f t="shared" si="66"/>
        <v>13</v>
      </c>
      <c r="F1083">
        <f t="shared" si="67"/>
        <v>0</v>
      </c>
      <c r="G1083">
        <f>VLOOKUP(E1083,Sheet1!$A$2:$B$25,2,FALSE)</f>
        <v>1</v>
      </c>
    </row>
    <row r="1084" spans="1:7" x14ac:dyDescent="0.25">
      <c r="A1084" s="11">
        <v>44584.5625</v>
      </c>
      <c r="B1084" s="10">
        <v>295.22000000000003</v>
      </c>
      <c r="C1084">
        <f t="shared" si="64"/>
        <v>7</v>
      </c>
      <c r="D1084">
        <f t="shared" si="65"/>
        <v>23</v>
      </c>
      <c r="E1084">
        <f t="shared" si="66"/>
        <v>13</v>
      </c>
      <c r="F1084">
        <f t="shared" si="67"/>
        <v>0</v>
      </c>
      <c r="G1084">
        <f>VLOOKUP(E1084,Sheet1!$A$2:$B$25,2,FALSE)</f>
        <v>1</v>
      </c>
    </row>
    <row r="1085" spans="1:7" x14ac:dyDescent="0.25">
      <c r="A1085" s="11">
        <v>44584.583333333336</v>
      </c>
      <c r="B1085" s="10">
        <v>302.51600000000002</v>
      </c>
      <c r="C1085">
        <f t="shared" si="64"/>
        <v>7</v>
      </c>
      <c r="D1085">
        <f t="shared" si="65"/>
        <v>23</v>
      </c>
      <c r="E1085">
        <f t="shared" si="66"/>
        <v>14</v>
      </c>
      <c r="F1085">
        <f t="shared" si="67"/>
        <v>0</v>
      </c>
      <c r="G1085">
        <f>VLOOKUP(E1085,Sheet1!$A$2:$B$25,2,FALSE)</f>
        <v>1</v>
      </c>
    </row>
    <row r="1086" spans="1:7" x14ac:dyDescent="0.25">
      <c r="A1086" s="11">
        <v>44584.604166666664</v>
      </c>
      <c r="B1086" s="10">
        <v>300.14</v>
      </c>
      <c r="C1086">
        <f t="shared" si="64"/>
        <v>7</v>
      </c>
      <c r="D1086">
        <f t="shared" si="65"/>
        <v>23</v>
      </c>
      <c r="E1086">
        <f t="shared" si="66"/>
        <v>14</v>
      </c>
      <c r="F1086">
        <f t="shared" si="67"/>
        <v>0</v>
      </c>
      <c r="G1086">
        <f>VLOOKUP(E1086,Sheet1!$A$2:$B$25,2,FALSE)</f>
        <v>1</v>
      </c>
    </row>
    <row r="1087" spans="1:7" x14ac:dyDescent="0.25">
      <c r="A1087" s="11">
        <v>44584.625</v>
      </c>
      <c r="B1087" s="10">
        <v>296.185</v>
      </c>
      <c r="C1087">
        <f t="shared" si="64"/>
        <v>7</v>
      </c>
      <c r="D1087">
        <f t="shared" si="65"/>
        <v>23</v>
      </c>
      <c r="E1087">
        <f t="shared" si="66"/>
        <v>15</v>
      </c>
      <c r="F1087">
        <f t="shared" si="67"/>
        <v>0</v>
      </c>
      <c r="G1087">
        <f>VLOOKUP(E1087,Sheet1!$A$2:$B$25,2,FALSE)</f>
        <v>1</v>
      </c>
    </row>
    <row r="1088" spans="1:7" x14ac:dyDescent="0.25">
      <c r="A1088" s="11">
        <v>44584.645833333336</v>
      </c>
      <c r="B1088" s="10">
        <v>296.87599999999998</v>
      </c>
      <c r="C1088">
        <f t="shared" si="64"/>
        <v>7</v>
      </c>
      <c r="D1088">
        <f t="shared" si="65"/>
        <v>23</v>
      </c>
      <c r="E1088">
        <f t="shared" si="66"/>
        <v>15</v>
      </c>
      <c r="F1088">
        <f t="shared" si="67"/>
        <v>0</v>
      </c>
      <c r="G1088">
        <f>VLOOKUP(E1088,Sheet1!$A$2:$B$25,2,FALSE)</f>
        <v>1</v>
      </c>
    </row>
    <row r="1089" spans="1:7" x14ac:dyDescent="0.25">
      <c r="A1089" s="11">
        <v>44584.666666666664</v>
      </c>
      <c r="B1089" s="10">
        <v>297.35599999999999</v>
      </c>
      <c r="C1089">
        <f t="shared" si="64"/>
        <v>7</v>
      </c>
      <c r="D1089">
        <f t="shared" si="65"/>
        <v>23</v>
      </c>
      <c r="E1089">
        <f t="shared" si="66"/>
        <v>16</v>
      </c>
      <c r="F1089">
        <f t="shared" si="67"/>
        <v>0</v>
      </c>
      <c r="G1089">
        <f>VLOOKUP(E1089,Sheet1!$A$2:$B$25,2,FALSE)</f>
        <v>0</v>
      </c>
    </row>
    <row r="1090" spans="1:7" x14ac:dyDescent="0.25">
      <c r="A1090" s="11">
        <v>44584.6875</v>
      </c>
      <c r="B1090" s="10">
        <v>295.45999999999998</v>
      </c>
      <c r="C1090">
        <f t="shared" ref="C1090:C1153" si="68">WEEKDAY(A1090,2)</f>
        <v>7</v>
      </c>
      <c r="D1090">
        <f t="shared" ref="D1090:D1153" si="69">DAY(A1090)</f>
        <v>23</v>
      </c>
      <c r="E1090">
        <f t="shared" ref="E1090:E1153" si="70">HOUR(A1090)</f>
        <v>16</v>
      </c>
      <c r="F1090">
        <f t="shared" si="67"/>
        <v>0</v>
      </c>
      <c r="G1090">
        <f>VLOOKUP(E1090,Sheet1!$A$2:$B$25,2,FALSE)</f>
        <v>0</v>
      </c>
    </row>
    <row r="1091" spans="1:7" x14ac:dyDescent="0.25">
      <c r="A1091" s="11">
        <v>44584.708333333336</v>
      </c>
      <c r="B1091" s="10">
        <v>294.96100000000001</v>
      </c>
      <c r="C1091">
        <f t="shared" si="68"/>
        <v>7</v>
      </c>
      <c r="D1091">
        <f t="shared" si="69"/>
        <v>23</v>
      </c>
      <c r="E1091">
        <f t="shared" si="70"/>
        <v>17</v>
      </c>
      <c r="F1091">
        <f t="shared" ref="F1091:F1154" si="71">IF(C1091&gt;=6,0,1)</f>
        <v>0</v>
      </c>
      <c r="G1091">
        <f>VLOOKUP(E1091,Sheet1!$A$2:$B$25,2,FALSE)</f>
        <v>0</v>
      </c>
    </row>
    <row r="1092" spans="1:7" x14ac:dyDescent="0.25">
      <c r="A1092" s="11">
        <v>44584.729166666664</v>
      </c>
      <c r="B1092" s="10">
        <v>303.71600000000001</v>
      </c>
      <c r="C1092">
        <f t="shared" si="68"/>
        <v>7</v>
      </c>
      <c r="D1092">
        <f t="shared" si="69"/>
        <v>23</v>
      </c>
      <c r="E1092">
        <f t="shared" si="70"/>
        <v>17</v>
      </c>
      <c r="F1092">
        <f t="shared" si="71"/>
        <v>0</v>
      </c>
      <c r="G1092">
        <f>VLOOKUP(E1092,Sheet1!$A$2:$B$25,2,FALSE)</f>
        <v>0</v>
      </c>
    </row>
    <row r="1093" spans="1:7" x14ac:dyDescent="0.25">
      <c r="A1093" s="11">
        <v>44584.75</v>
      </c>
      <c r="B1093" s="10">
        <v>305.54000000000002</v>
      </c>
      <c r="C1093">
        <f t="shared" si="68"/>
        <v>7</v>
      </c>
      <c r="D1093">
        <f t="shared" si="69"/>
        <v>23</v>
      </c>
      <c r="E1093">
        <f t="shared" si="70"/>
        <v>18</v>
      </c>
      <c r="F1093">
        <f t="shared" si="71"/>
        <v>0</v>
      </c>
      <c r="G1093">
        <f>VLOOKUP(E1093,Sheet1!$A$2:$B$25,2,FALSE)</f>
        <v>0</v>
      </c>
    </row>
    <row r="1094" spans="1:7" x14ac:dyDescent="0.25">
      <c r="A1094" s="11">
        <v>44584.770833333336</v>
      </c>
      <c r="B1094" s="10">
        <v>306.74</v>
      </c>
      <c r="C1094">
        <f t="shared" si="68"/>
        <v>7</v>
      </c>
      <c r="D1094">
        <f t="shared" si="69"/>
        <v>23</v>
      </c>
      <c r="E1094">
        <f t="shared" si="70"/>
        <v>18</v>
      </c>
      <c r="F1094">
        <f t="shared" si="71"/>
        <v>0</v>
      </c>
      <c r="G1094">
        <f>VLOOKUP(E1094,Sheet1!$A$2:$B$25,2,FALSE)</f>
        <v>0</v>
      </c>
    </row>
    <row r="1095" spans="1:7" x14ac:dyDescent="0.25">
      <c r="A1095" s="11">
        <v>44584.791666666664</v>
      </c>
      <c r="B1095" s="10">
        <v>306.98</v>
      </c>
      <c r="C1095">
        <f t="shared" si="68"/>
        <v>7</v>
      </c>
      <c r="D1095">
        <f t="shared" si="69"/>
        <v>23</v>
      </c>
      <c r="E1095">
        <f t="shared" si="70"/>
        <v>19</v>
      </c>
      <c r="F1095">
        <f t="shared" si="71"/>
        <v>0</v>
      </c>
      <c r="G1095">
        <f>VLOOKUP(E1095,Sheet1!$A$2:$B$25,2,FALSE)</f>
        <v>0</v>
      </c>
    </row>
    <row r="1096" spans="1:7" x14ac:dyDescent="0.25">
      <c r="A1096" s="11">
        <v>44584.8125</v>
      </c>
      <c r="B1096" s="10">
        <v>305.39600000000002</v>
      </c>
      <c r="C1096">
        <f t="shared" si="68"/>
        <v>7</v>
      </c>
      <c r="D1096">
        <f t="shared" si="69"/>
        <v>23</v>
      </c>
      <c r="E1096">
        <f t="shared" si="70"/>
        <v>19</v>
      </c>
      <c r="F1096">
        <f t="shared" si="71"/>
        <v>0</v>
      </c>
      <c r="G1096">
        <f>VLOOKUP(E1096,Sheet1!$A$2:$B$25,2,FALSE)</f>
        <v>0</v>
      </c>
    </row>
    <row r="1097" spans="1:7" x14ac:dyDescent="0.25">
      <c r="A1097" s="11">
        <v>44584.833333333336</v>
      </c>
      <c r="B1097" s="10">
        <v>309.48099999999999</v>
      </c>
      <c r="C1097">
        <f t="shared" si="68"/>
        <v>7</v>
      </c>
      <c r="D1097">
        <f t="shared" si="69"/>
        <v>23</v>
      </c>
      <c r="E1097">
        <f t="shared" si="70"/>
        <v>20</v>
      </c>
      <c r="F1097">
        <f t="shared" si="71"/>
        <v>0</v>
      </c>
      <c r="G1097">
        <f>VLOOKUP(E1097,Sheet1!$A$2:$B$25,2,FALSE)</f>
        <v>0</v>
      </c>
    </row>
    <row r="1098" spans="1:7" x14ac:dyDescent="0.25">
      <c r="A1098" s="11">
        <v>44584.854166666664</v>
      </c>
      <c r="B1098" s="10">
        <v>304.43599999999998</v>
      </c>
      <c r="C1098">
        <f t="shared" si="68"/>
        <v>7</v>
      </c>
      <c r="D1098">
        <f t="shared" si="69"/>
        <v>23</v>
      </c>
      <c r="E1098">
        <f t="shared" si="70"/>
        <v>20</v>
      </c>
      <c r="F1098">
        <f t="shared" si="71"/>
        <v>0</v>
      </c>
      <c r="G1098">
        <f>VLOOKUP(E1098,Sheet1!$A$2:$B$25,2,FALSE)</f>
        <v>0</v>
      </c>
    </row>
    <row r="1099" spans="1:7" x14ac:dyDescent="0.25">
      <c r="A1099" s="11">
        <v>44584.875</v>
      </c>
      <c r="B1099" s="10">
        <v>306.38</v>
      </c>
      <c r="C1099">
        <f t="shared" si="68"/>
        <v>7</v>
      </c>
      <c r="D1099">
        <f t="shared" si="69"/>
        <v>23</v>
      </c>
      <c r="E1099">
        <f t="shared" si="70"/>
        <v>21</v>
      </c>
      <c r="F1099">
        <f t="shared" si="71"/>
        <v>0</v>
      </c>
      <c r="G1099">
        <f>VLOOKUP(E1099,Sheet1!$A$2:$B$25,2,FALSE)</f>
        <v>0</v>
      </c>
    </row>
    <row r="1100" spans="1:7" x14ac:dyDescent="0.25">
      <c r="A1100" s="11">
        <v>44584.895833333336</v>
      </c>
      <c r="B1100" s="10">
        <v>305.39600000000002</v>
      </c>
      <c r="C1100">
        <f t="shared" si="68"/>
        <v>7</v>
      </c>
      <c r="D1100">
        <f t="shared" si="69"/>
        <v>23</v>
      </c>
      <c r="E1100">
        <f t="shared" si="70"/>
        <v>21</v>
      </c>
      <c r="F1100">
        <f t="shared" si="71"/>
        <v>0</v>
      </c>
      <c r="G1100">
        <f>VLOOKUP(E1100,Sheet1!$A$2:$B$25,2,FALSE)</f>
        <v>0</v>
      </c>
    </row>
    <row r="1101" spans="1:7" x14ac:dyDescent="0.25">
      <c r="A1101" s="11">
        <v>44584.916666666664</v>
      </c>
      <c r="B1101" s="10">
        <v>306.62</v>
      </c>
      <c r="C1101">
        <f t="shared" si="68"/>
        <v>7</v>
      </c>
      <c r="D1101">
        <f t="shared" si="69"/>
        <v>23</v>
      </c>
      <c r="E1101">
        <f t="shared" si="70"/>
        <v>22</v>
      </c>
      <c r="F1101">
        <f t="shared" si="71"/>
        <v>0</v>
      </c>
      <c r="G1101">
        <f>VLOOKUP(E1101,Sheet1!$A$2:$B$25,2,FALSE)</f>
        <v>0</v>
      </c>
    </row>
    <row r="1102" spans="1:7" x14ac:dyDescent="0.25">
      <c r="A1102" s="11">
        <v>44584.9375</v>
      </c>
      <c r="B1102" s="10">
        <v>308.036</v>
      </c>
      <c r="C1102">
        <f t="shared" si="68"/>
        <v>7</v>
      </c>
      <c r="D1102">
        <f t="shared" si="69"/>
        <v>23</v>
      </c>
      <c r="E1102">
        <f t="shared" si="70"/>
        <v>22</v>
      </c>
      <c r="F1102">
        <f t="shared" si="71"/>
        <v>0</v>
      </c>
      <c r="G1102">
        <f>VLOOKUP(E1102,Sheet1!$A$2:$B$25,2,FALSE)</f>
        <v>0</v>
      </c>
    </row>
    <row r="1103" spans="1:7" x14ac:dyDescent="0.25">
      <c r="A1103" s="11">
        <v>44584.958333333336</v>
      </c>
      <c r="B1103" s="10">
        <v>304.82499999999999</v>
      </c>
      <c r="C1103">
        <f t="shared" si="68"/>
        <v>7</v>
      </c>
      <c r="D1103">
        <f t="shared" si="69"/>
        <v>23</v>
      </c>
      <c r="E1103">
        <f t="shared" si="70"/>
        <v>23</v>
      </c>
      <c r="F1103">
        <f t="shared" si="71"/>
        <v>0</v>
      </c>
      <c r="G1103">
        <f>VLOOKUP(E1103,Sheet1!$A$2:$B$25,2,FALSE)</f>
        <v>0</v>
      </c>
    </row>
    <row r="1104" spans="1:7" x14ac:dyDescent="0.25">
      <c r="A1104" s="11">
        <v>44584.979166666664</v>
      </c>
      <c r="B1104" s="10">
        <v>305.39600000000002</v>
      </c>
      <c r="C1104">
        <f t="shared" si="68"/>
        <v>7</v>
      </c>
      <c r="D1104">
        <f t="shared" si="69"/>
        <v>23</v>
      </c>
      <c r="E1104">
        <f t="shared" si="70"/>
        <v>23</v>
      </c>
      <c r="F1104">
        <f t="shared" si="71"/>
        <v>0</v>
      </c>
      <c r="G1104">
        <f>VLOOKUP(E1104,Sheet1!$A$2:$B$25,2,FALSE)</f>
        <v>0</v>
      </c>
    </row>
    <row r="1105" spans="1:7" x14ac:dyDescent="0.25">
      <c r="A1105" s="11">
        <v>44585</v>
      </c>
      <c r="B1105" s="10">
        <v>309.95600000000002</v>
      </c>
      <c r="C1105">
        <f t="shared" si="68"/>
        <v>1</v>
      </c>
      <c r="D1105">
        <f t="shared" si="69"/>
        <v>24</v>
      </c>
      <c r="E1105">
        <f t="shared" si="70"/>
        <v>0</v>
      </c>
      <c r="F1105">
        <f t="shared" si="71"/>
        <v>1</v>
      </c>
      <c r="G1105">
        <f>VLOOKUP(E1105,Sheet1!$A$2:$B$25,2,FALSE)</f>
        <v>0</v>
      </c>
    </row>
    <row r="1106" spans="1:7" x14ac:dyDescent="0.25">
      <c r="A1106" s="11">
        <v>44585.020833333336</v>
      </c>
      <c r="B1106" s="10">
        <v>309.505</v>
      </c>
      <c r="C1106">
        <f t="shared" si="68"/>
        <v>1</v>
      </c>
      <c r="D1106">
        <f t="shared" si="69"/>
        <v>24</v>
      </c>
      <c r="E1106">
        <f t="shared" si="70"/>
        <v>0</v>
      </c>
      <c r="F1106">
        <f t="shared" si="71"/>
        <v>1</v>
      </c>
      <c r="G1106">
        <f>VLOOKUP(E1106,Sheet1!$A$2:$B$25,2,FALSE)</f>
        <v>0</v>
      </c>
    </row>
    <row r="1107" spans="1:7" x14ac:dyDescent="0.25">
      <c r="A1107" s="11">
        <v>44585.041666666664</v>
      </c>
      <c r="B1107" s="10">
        <v>303.596</v>
      </c>
      <c r="C1107">
        <f t="shared" si="68"/>
        <v>1</v>
      </c>
      <c r="D1107">
        <f t="shared" si="69"/>
        <v>24</v>
      </c>
      <c r="E1107">
        <f t="shared" si="70"/>
        <v>1</v>
      </c>
      <c r="F1107">
        <f t="shared" si="71"/>
        <v>1</v>
      </c>
      <c r="G1107">
        <f>VLOOKUP(E1107,Sheet1!$A$2:$B$25,2,FALSE)</f>
        <v>0</v>
      </c>
    </row>
    <row r="1108" spans="1:7" x14ac:dyDescent="0.25">
      <c r="A1108" s="11">
        <v>44585.0625</v>
      </c>
      <c r="B1108" s="10">
        <v>306.625</v>
      </c>
      <c r="C1108">
        <f t="shared" si="68"/>
        <v>1</v>
      </c>
      <c r="D1108">
        <f t="shared" si="69"/>
        <v>24</v>
      </c>
      <c r="E1108">
        <f t="shared" si="70"/>
        <v>1</v>
      </c>
      <c r="F1108">
        <f t="shared" si="71"/>
        <v>1</v>
      </c>
      <c r="G1108">
        <f>VLOOKUP(E1108,Sheet1!$A$2:$B$25,2,FALSE)</f>
        <v>0</v>
      </c>
    </row>
    <row r="1109" spans="1:7" x14ac:dyDescent="0.25">
      <c r="A1109" s="11">
        <v>44585.083333333336</v>
      </c>
      <c r="B1109" s="10">
        <v>307.19600000000003</v>
      </c>
      <c r="C1109">
        <f t="shared" si="68"/>
        <v>1</v>
      </c>
      <c r="D1109">
        <f t="shared" si="69"/>
        <v>24</v>
      </c>
      <c r="E1109">
        <f t="shared" si="70"/>
        <v>2</v>
      </c>
      <c r="F1109">
        <f t="shared" si="71"/>
        <v>1</v>
      </c>
      <c r="G1109">
        <f>VLOOKUP(E1109,Sheet1!$A$2:$B$25,2,FALSE)</f>
        <v>0</v>
      </c>
    </row>
    <row r="1110" spans="1:7" x14ac:dyDescent="0.25">
      <c r="A1110" s="11">
        <v>44585.104166666664</v>
      </c>
      <c r="B1110" s="10">
        <v>308.66000000000003</v>
      </c>
      <c r="C1110">
        <f t="shared" si="68"/>
        <v>1</v>
      </c>
      <c r="D1110">
        <f t="shared" si="69"/>
        <v>24</v>
      </c>
      <c r="E1110">
        <f t="shared" si="70"/>
        <v>2</v>
      </c>
      <c r="F1110">
        <f t="shared" si="71"/>
        <v>1</v>
      </c>
      <c r="G1110">
        <f>VLOOKUP(E1110,Sheet1!$A$2:$B$25,2,FALSE)</f>
        <v>0</v>
      </c>
    </row>
    <row r="1111" spans="1:7" x14ac:dyDescent="0.25">
      <c r="A1111" s="11">
        <v>44585.125</v>
      </c>
      <c r="B1111" s="10">
        <v>303.96100000000001</v>
      </c>
      <c r="C1111">
        <f t="shared" si="68"/>
        <v>1</v>
      </c>
      <c r="D1111">
        <f t="shared" si="69"/>
        <v>24</v>
      </c>
      <c r="E1111">
        <f t="shared" si="70"/>
        <v>3</v>
      </c>
      <c r="F1111">
        <f t="shared" si="71"/>
        <v>1</v>
      </c>
      <c r="G1111">
        <f>VLOOKUP(E1111,Sheet1!$A$2:$B$25,2,FALSE)</f>
        <v>0</v>
      </c>
    </row>
    <row r="1112" spans="1:7" x14ac:dyDescent="0.25">
      <c r="A1112" s="11">
        <v>44585.145833333336</v>
      </c>
      <c r="B1112" s="10">
        <v>307.94</v>
      </c>
      <c r="C1112">
        <f t="shared" si="68"/>
        <v>1</v>
      </c>
      <c r="D1112">
        <f t="shared" si="69"/>
        <v>24</v>
      </c>
      <c r="E1112">
        <f t="shared" si="70"/>
        <v>3</v>
      </c>
      <c r="F1112">
        <f t="shared" si="71"/>
        <v>1</v>
      </c>
      <c r="G1112">
        <f>VLOOKUP(E1112,Sheet1!$A$2:$B$25,2,FALSE)</f>
        <v>0</v>
      </c>
    </row>
    <row r="1113" spans="1:7" x14ac:dyDescent="0.25">
      <c r="A1113" s="11">
        <v>44585.166666666664</v>
      </c>
      <c r="B1113" s="10">
        <v>468.24099999999999</v>
      </c>
      <c r="C1113">
        <f t="shared" si="68"/>
        <v>1</v>
      </c>
      <c r="D1113">
        <f t="shared" si="69"/>
        <v>24</v>
      </c>
      <c r="E1113">
        <f t="shared" si="70"/>
        <v>4</v>
      </c>
      <c r="F1113">
        <f t="shared" si="71"/>
        <v>1</v>
      </c>
      <c r="G1113">
        <f>VLOOKUP(E1113,Sheet1!$A$2:$B$25,2,FALSE)</f>
        <v>1</v>
      </c>
    </row>
    <row r="1114" spans="1:7" x14ac:dyDescent="0.25">
      <c r="A1114" s="11">
        <v>44585.1875</v>
      </c>
      <c r="B1114" s="10">
        <v>875.39599999999996</v>
      </c>
      <c r="C1114">
        <f t="shared" si="68"/>
        <v>1</v>
      </c>
      <c r="D1114">
        <f t="shared" si="69"/>
        <v>24</v>
      </c>
      <c r="E1114">
        <f t="shared" si="70"/>
        <v>4</v>
      </c>
      <c r="F1114">
        <f t="shared" si="71"/>
        <v>1</v>
      </c>
      <c r="G1114">
        <f>VLOOKUP(E1114,Sheet1!$A$2:$B$25,2,FALSE)</f>
        <v>1</v>
      </c>
    </row>
    <row r="1115" spans="1:7" x14ac:dyDescent="0.25">
      <c r="A1115" s="11">
        <v>44585.208333333336</v>
      </c>
      <c r="B1115" s="10">
        <v>841.31600000000003</v>
      </c>
      <c r="C1115">
        <f t="shared" si="68"/>
        <v>1</v>
      </c>
      <c r="D1115">
        <f t="shared" si="69"/>
        <v>24</v>
      </c>
      <c r="E1115">
        <f t="shared" si="70"/>
        <v>5</v>
      </c>
      <c r="F1115">
        <f t="shared" si="71"/>
        <v>1</v>
      </c>
      <c r="G1115">
        <f>VLOOKUP(E1115,Sheet1!$A$2:$B$25,2,FALSE)</f>
        <v>1</v>
      </c>
    </row>
    <row r="1116" spans="1:7" x14ac:dyDescent="0.25">
      <c r="A1116" s="11">
        <v>44585.229166666664</v>
      </c>
      <c r="B1116" s="10">
        <v>737.06</v>
      </c>
      <c r="C1116">
        <f t="shared" si="68"/>
        <v>1</v>
      </c>
      <c r="D1116">
        <f t="shared" si="69"/>
        <v>24</v>
      </c>
      <c r="E1116">
        <f t="shared" si="70"/>
        <v>5</v>
      </c>
      <c r="F1116">
        <f t="shared" si="71"/>
        <v>1</v>
      </c>
      <c r="G1116">
        <f>VLOOKUP(E1116,Sheet1!$A$2:$B$25,2,FALSE)</f>
        <v>1</v>
      </c>
    </row>
    <row r="1117" spans="1:7" x14ac:dyDescent="0.25">
      <c r="A1117" s="11">
        <v>44585.25</v>
      </c>
      <c r="B1117" s="10">
        <v>776.3</v>
      </c>
      <c r="C1117">
        <f t="shared" si="68"/>
        <v>1</v>
      </c>
      <c r="D1117">
        <f t="shared" si="69"/>
        <v>24</v>
      </c>
      <c r="E1117">
        <f t="shared" si="70"/>
        <v>6</v>
      </c>
      <c r="F1117">
        <f t="shared" si="71"/>
        <v>1</v>
      </c>
      <c r="G1117">
        <f>VLOOKUP(E1117,Sheet1!$A$2:$B$25,2,FALSE)</f>
        <v>1</v>
      </c>
    </row>
    <row r="1118" spans="1:7" x14ac:dyDescent="0.25">
      <c r="A1118" s="11">
        <v>44585.270833333336</v>
      </c>
      <c r="B1118" s="10">
        <v>927.745</v>
      </c>
      <c r="C1118">
        <f t="shared" si="68"/>
        <v>1</v>
      </c>
      <c r="D1118">
        <f t="shared" si="69"/>
        <v>24</v>
      </c>
      <c r="E1118">
        <f t="shared" si="70"/>
        <v>6</v>
      </c>
      <c r="F1118">
        <f t="shared" si="71"/>
        <v>1</v>
      </c>
      <c r="G1118">
        <f>VLOOKUP(E1118,Sheet1!$A$2:$B$25,2,FALSE)</f>
        <v>1</v>
      </c>
    </row>
    <row r="1119" spans="1:7" x14ac:dyDescent="0.25">
      <c r="A1119" s="11">
        <v>44585.291666666664</v>
      </c>
      <c r="B1119" s="10">
        <v>992.3</v>
      </c>
      <c r="C1119">
        <f t="shared" si="68"/>
        <v>1</v>
      </c>
      <c r="D1119">
        <f t="shared" si="69"/>
        <v>24</v>
      </c>
      <c r="E1119">
        <f t="shared" si="70"/>
        <v>7</v>
      </c>
      <c r="F1119">
        <f t="shared" si="71"/>
        <v>1</v>
      </c>
      <c r="G1119">
        <f>VLOOKUP(E1119,Sheet1!$A$2:$B$25,2,FALSE)</f>
        <v>1</v>
      </c>
    </row>
    <row r="1120" spans="1:7" x14ac:dyDescent="0.25">
      <c r="A1120" s="11">
        <v>44585.3125</v>
      </c>
      <c r="B1120" s="10">
        <v>1005.38</v>
      </c>
      <c r="C1120">
        <f t="shared" si="68"/>
        <v>1</v>
      </c>
      <c r="D1120">
        <f t="shared" si="69"/>
        <v>24</v>
      </c>
      <c r="E1120">
        <f t="shared" si="70"/>
        <v>7</v>
      </c>
      <c r="F1120">
        <f t="shared" si="71"/>
        <v>1</v>
      </c>
      <c r="G1120">
        <f>VLOOKUP(E1120,Sheet1!$A$2:$B$25,2,FALSE)</f>
        <v>1</v>
      </c>
    </row>
    <row r="1121" spans="1:7" x14ac:dyDescent="0.25">
      <c r="A1121" s="11">
        <v>44585.333333333336</v>
      </c>
      <c r="B1121" s="10">
        <v>1000.316</v>
      </c>
      <c r="C1121">
        <f t="shared" si="68"/>
        <v>1</v>
      </c>
      <c r="D1121">
        <f t="shared" si="69"/>
        <v>24</v>
      </c>
      <c r="E1121">
        <f t="shared" si="70"/>
        <v>8</v>
      </c>
      <c r="F1121">
        <f t="shared" si="71"/>
        <v>1</v>
      </c>
      <c r="G1121">
        <f>VLOOKUP(E1121,Sheet1!$A$2:$B$25,2,FALSE)</f>
        <v>1</v>
      </c>
    </row>
    <row r="1122" spans="1:7" x14ac:dyDescent="0.25">
      <c r="A1122" s="11">
        <v>44585.354166666664</v>
      </c>
      <c r="B1122" s="10">
        <v>775.7</v>
      </c>
      <c r="C1122">
        <f t="shared" si="68"/>
        <v>1</v>
      </c>
      <c r="D1122">
        <f t="shared" si="69"/>
        <v>24</v>
      </c>
      <c r="E1122">
        <f t="shared" si="70"/>
        <v>8</v>
      </c>
      <c r="F1122">
        <f t="shared" si="71"/>
        <v>1</v>
      </c>
      <c r="G1122">
        <f>VLOOKUP(E1122,Sheet1!$A$2:$B$25,2,FALSE)</f>
        <v>1</v>
      </c>
    </row>
    <row r="1123" spans="1:7" x14ac:dyDescent="0.25">
      <c r="A1123" s="11">
        <v>44585.375</v>
      </c>
      <c r="B1123" s="10">
        <v>803.87599999999998</v>
      </c>
      <c r="C1123">
        <f t="shared" si="68"/>
        <v>1</v>
      </c>
      <c r="D1123">
        <f t="shared" si="69"/>
        <v>24</v>
      </c>
      <c r="E1123">
        <f t="shared" si="70"/>
        <v>9</v>
      </c>
      <c r="F1123">
        <f t="shared" si="71"/>
        <v>1</v>
      </c>
      <c r="G1123">
        <f>VLOOKUP(E1123,Sheet1!$A$2:$B$25,2,FALSE)</f>
        <v>1</v>
      </c>
    </row>
    <row r="1124" spans="1:7" x14ac:dyDescent="0.25">
      <c r="A1124" s="11">
        <v>44585.395833333336</v>
      </c>
      <c r="B1124" s="10">
        <v>760.68100000000004</v>
      </c>
      <c r="C1124">
        <f t="shared" si="68"/>
        <v>1</v>
      </c>
      <c r="D1124">
        <f t="shared" si="69"/>
        <v>24</v>
      </c>
      <c r="E1124">
        <f t="shared" si="70"/>
        <v>9</v>
      </c>
      <c r="F1124">
        <f t="shared" si="71"/>
        <v>1</v>
      </c>
      <c r="G1124">
        <f>VLOOKUP(E1124,Sheet1!$A$2:$B$25,2,FALSE)</f>
        <v>1</v>
      </c>
    </row>
    <row r="1125" spans="1:7" x14ac:dyDescent="0.25">
      <c r="A1125" s="11">
        <v>44585.416666666664</v>
      </c>
      <c r="B1125" s="10">
        <v>799.19600000000003</v>
      </c>
      <c r="C1125">
        <f t="shared" si="68"/>
        <v>1</v>
      </c>
      <c r="D1125">
        <f t="shared" si="69"/>
        <v>24</v>
      </c>
      <c r="E1125">
        <f t="shared" si="70"/>
        <v>10</v>
      </c>
      <c r="F1125">
        <f t="shared" si="71"/>
        <v>1</v>
      </c>
      <c r="G1125">
        <f>VLOOKUP(E1125,Sheet1!$A$2:$B$25,2,FALSE)</f>
        <v>1</v>
      </c>
    </row>
    <row r="1126" spans="1:7" x14ac:dyDescent="0.25">
      <c r="A1126" s="11">
        <v>44585.4375</v>
      </c>
      <c r="B1126" s="10">
        <v>764.06</v>
      </c>
      <c r="C1126">
        <f t="shared" si="68"/>
        <v>1</v>
      </c>
      <c r="D1126">
        <f t="shared" si="69"/>
        <v>24</v>
      </c>
      <c r="E1126">
        <f t="shared" si="70"/>
        <v>10</v>
      </c>
      <c r="F1126">
        <f t="shared" si="71"/>
        <v>1</v>
      </c>
      <c r="G1126">
        <f>VLOOKUP(E1126,Sheet1!$A$2:$B$25,2,FALSE)</f>
        <v>1</v>
      </c>
    </row>
    <row r="1127" spans="1:7" x14ac:dyDescent="0.25">
      <c r="A1127" s="11">
        <v>44585.458333333336</v>
      </c>
      <c r="B1127" s="10">
        <v>827.63599999999997</v>
      </c>
      <c r="C1127">
        <f t="shared" si="68"/>
        <v>1</v>
      </c>
      <c r="D1127">
        <f t="shared" si="69"/>
        <v>24</v>
      </c>
      <c r="E1127">
        <f t="shared" si="70"/>
        <v>11</v>
      </c>
      <c r="F1127">
        <f t="shared" si="71"/>
        <v>1</v>
      </c>
      <c r="G1127">
        <f>VLOOKUP(E1127,Sheet1!$A$2:$B$25,2,FALSE)</f>
        <v>1</v>
      </c>
    </row>
    <row r="1128" spans="1:7" x14ac:dyDescent="0.25">
      <c r="A1128" s="11">
        <v>44585.479166666664</v>
      </c>
      <c r="B1128" s="10">
        <v>803.40099999999995</v>
      </c>
      <c r="C1128">
        <f t="shared" si="68"/>
        <v>1</v>
      </c>
      <c r="D1128">
        <f t="shared" si="69"/>
        <v>24</v>
      </c>
      <c r="E1128">
        <f t="shared" si="70"/>
        <v>11</v>
      </c>
      <c r="F1128">
        <f t="shared" si="71"/>
        <v>1</v>
      </c>
      <c r="G1128">
        <f>VLOOKUP(E1128,Sheet1!$A$2:$B$25,2,FALSE)</f>
        <v>1</v>
      </c>
    </row>
    <row r="1129" spans="1:7" x14ac:dyDescent="0.25">
      <c r="A1129" s="11">
        <v>44585.5</v>
      </c>
      <c r="B1129" s="10">
        <v>732.02</v>
      </c>
      <c r="C1129">
        <f t="shared" si="68"/>
        <v>1</v>
      </c>
      <c r="D1129">
        <f t="shared" si="69"/>
        <v>24</v>
      </c>
      <c r="E1129">
        <f t="shared" si="70"/>
        <v>12</v>
      </c>
      <c r="F1129">
        <f t="shared" si="71"/>
        <v>1</v>
      </c>
      <c r="G1129">
        <f>VLOOKUP(E1129,Sheet1!$A$2:$B$25,2,FALSE)</f>
        <v>1</v>
      </c>
    </row>
    <row r="1130" spans="1:7" x14ac:dyDescent="0.25">
      <c r="A1130" s="11">
        <v>44585.520833333336</v>
      </c>
      <c r="B1130" s="10">
        <v>711.95600000000002</v>
      </c>
      <c r="C1130">
        <f t="shared" si="68"/>
        <v>1</v>
      </c>
      <c r="D1130">
        <f t="shared" si="69"/>
        <v>24</v>
      </c>
      <c r="E1130">
        <f t="shared" si="70"/>
        <v>12</v>
      </c>
      <c r="F1130">
        <f t="shared" si="71"/>
        <v>1</v>
      </c>
      <c r="G1130">
        <f>VLOOKUP(E1130,Sheet1!$A$2:$B$25,2,FALSE)</f>
        <v>1</v>
      </c>
    </row>
    <row r="1131" spans="1:7" x14ac:dyDescent="0.25">
      <c r="A1131" s="11">
        <v>44585.541666666664</v>
      </c>
      <c r="B1131" s="10">
        <v>694.32100000000003</v>
      </c>
      <c r="C1131">
        <f t="shared" si="68"/>
        <v>1</v>
      </c>
      <c r="D1131">
        <f t="shared" si="69"/>
        <v>24</v>
      </c>
      <c r="E1131">
        <f t="shared" si="70"/>
        <v>13</v>
      </c>
      <c r="F1131">
        <f t="shared" si="71"/>
        <v>1</v>
      </c>
      <c r="G1131">
        <f>VLOOKUP(E1131,Sheet1!$A$2:$B$25,2,FALSE)</f>
        <v>1</v>
      </c>
    </row>
    <row r="1132" spans="1:7" x14ac:dyDescent="0.25">
      <c r="A1132" s="11">
        <v>44585.5625</v>
      </c>
      <c r="B1132" s="10">
        <v>695.9</v>
      </c>
      <c r="C1132">
        <f t="shared" si="68"/>
        <v>1</v>
      </c>
      <c r="D1132">
        <f t="shared" si="69"/>
        <v>24</v>
      </c>
      <c r="E1132">
        <f t="shared" si="70"/>
        <v>13</v>
      </c>
      <c r="F1132">
        <f t="shared" si="71"/>
        <v>1</v>
      </c>
      <c r="G1132">
        <f>VLOOKUP(E1132,Sheet1!$A$2:$B$25,2,FALSE)</f>
        <v>1</v>
      </c>
    </row>
    <row r="1133" spans="1:7" x14ac:dyDescent="0.25">
      <c r="A1133" s="11">
        <v>44585.583333333336</v>
      </c>
      <c r="B1133" s="10">
        <v>679.7</v>
      </c>
      <c r="C1133">
        <f t="shared" si="68"/>
        <v>1</v>
      </c>
      <c r="D1133">
        <f t="shared" si="69"/>
        <v>24</v>
      </c>
      <c r="E1133">
        <f t="shared" si="70"/>
        <v>14</v>
      </c>
      <c r="F1133">
        <f t="shared" si="71"/>
        <v>1</v>
      </c>
      <c r="G1133">
        <f>VLOOKUP(E1133,Sheet1!$A$2:$B$25,2,FALSE)</f>
        <v>1</v>
      </c>
    </row>
    <row r="1134" spans="1:7" x14ac:dyDescent="0.25">
      <c r="A1134" s="11">
        <v>44585.604166666664</v>
      </c>
      <c r="B1134" s="10">
        <v>648.505</v>
      </c>
      <c r="C1134">
        <f t="shared" si="68"/>
        <v>1</v>
      </c>
      <c r="D1134">
        <f t="shared" si="69"/>
        <v>24</v>
      </c>
      <c r="E1134">
        <f t="shared" si="70"/>
        <v>14</v>
      </c>
      <c r="F1134">
        <f t="shared" si="71"/>
        <v>1</v>
      </c>
      <c r="G1134">
        <f>VLOOKUP(E1134,Sheet1!$A$2:$B$25,2,FALSE)</f>
        <v>1</v>
      </c>
    </row>
    <row r="1135" spans="1:7" x14ac:dyDescent="0.25">
      <c r="A1135" s="11">
        <v>44585.625</v>
      </c>
      <c r="B1135" s="10">
        <v>682.46</v>
      </c>
      <c r="C1135">
        <f t="shared" si="68"/>
        <v>1</v>
      </c>
      <c r="D1135">
        <f t="shared" si="69"/>
        <v>24</v>
      </c>
      <c r="E1135">
        <f t="shared" si="70"/>
        <v>15</v>
      </c>
      <c r="F1135">
        <f t="shared" si="71"/>
        <v>1</v>
      </c>
      <c r="G1135">
        <f>VLOOKUP(E1135,Sheet1!$A$2:$B$25,2,FALSE)</f>
        <v>1</v>
      </c>
    </row>
    <row r="1136" spans="1:7" x14ac:dyDescent="0.25">
      <c r="A1136" s="11">
        <v>44585.645833333336</v>
      </c>
      <c r="B1136" s="10">
        <v>686.42</v>
      </c>
      <c r="C1136">
        <f t="shared" si="68"/>
        <v>1</v>
      </c>
      <c r="D1136">
        <f t="shared" si="69"/>
        <v>24</v>
      </c>
      <c r="E1136">
        <f t="shared" si="70"/>
        <v>15</v>
      </c>
      <c r="F1136">
        <f t="shared" si="71"/>
        <v>1</v>
      </c>
      <c r="G1136">
        <f>VLOOKUP(E1136,Sheet1!$A$2:$B$25,2,FALSE)</f>
        <v>1</v>
      </c>
    </row>
    <row r="1137" spans="1:7" x14ac:dyDescent="0.25">
      <c r="A1137" s="11">
        <v>44585.666666666664</v>
      </c>
      <c r="B1137" s="10">
        <v>622.79600000000005</v>
      </c>
      <c r="C1137">
        <f t="shared" si="68"/>
        <v>1</v>
      </c>
      <c r="D1137">
        <f t="shared" si="69"/>
        <v>24</v>
      </c>
      <c r="E1137">
        <f t="shared" si="70"/>
        <v>16</v>
      </c>
      <c r="F1137">
        <f t="shared" si="71"/>
        <v>1</v>
      </c>
      <c r="G1137">
        <f>VLOOKUP(E1137,Sheet1!$A$2:$B$25,2,FALSE)</f>
        <v>0</v>
      </c>
    </row>
    <row r="1138" spans="1:7" x14ac:dyDescent="0.25">
      <c r="A1138" s="11">
        <v>44585.6875</v>
      </c>
      <c r="B1138" s="10">
        <v>376.94499999999999</v>
      </c>
      <c r="C1138">
        <f t="shared" si="68"/>
        <v>1</v>
      </c>
      <c r="D1138">
        <f t="shared" si="69"/>
        <v>24</v>
      </c>
      <c r="E1138">
        <f t="shared" si="70"/>
        <v>16</v>
      </c>
      <c r="F1138">
        <f t="shared" si="71"/>
        <v>1</v>
      </c>
      <c r="G1138">
        <f>VLOOKUP(E1138,Sheet1!$A$2:$B$25,2,FALSE)</f>
        <v>0</v>
      </c>
    </row>
    <row r="1139" spans="1:7" x14ac:dyDescent="0.25">
      <c r="A1139" s="11">
        <v>44585.708333333336</v>
      </c>
      <c r="B1139" s="10">
        <v>380.036</v>
      </c>
      <c r="C1139">
        <f t="shared" si="68"/>
        <v>1</v>
      </c>
      <c r="D1139">
        <f t="shared" si="69"/>
        <v>24</v>
      </c>
      <c r="E1139">
        <f t="shared" si="70"/>
        <v>17</v>
      </c>
      <c r="F1139">
        <f t="shared" si="71"/>
        <v>1</v>
      </c>
      <c r="G1139">
        <f>VLOOKUP(E1139,Sheet1!$A$2:$B$25,2,FALSE)</f>
        <v>0</v>
      </c>
    </row>
    <row r="1140" spans="1:7" x14ac:dyDescent="0.25">
      <c r="A1140" s="11">
        <v>44585.729166666664</v>
      </c>
      <c r="B1140" s="10">
        <v>382.916</v>
      </c>
      <c r="C1140">
        <f t="shared" si="68"/>
        <v>1</v>
      </c>
      <c r="D1140">
        <f t="shared" si="69"/>
        <v>24</v>
      </c>
      <c r="E1140">
        <f t="shared" si="70"/>
        <v>17</v>
      </c>
      <c r="F1140">
        <f t="shared" si="71"/>
        <v>1</v>
      </c>
      <c r="G1140">
        <f>VLOOKUP(E1140,Sheet1!$A$2:$B$25,2,FALSE)</f>
        <v>0</v>
      </c>
    </row>
    <row r="1141" spans="1:7" x14ac:dyDescent="0.25">
      <c r="A1141" s="11">
        <v>44585.75</v>
      </c>
      <c r="B1141" s="10">
        <v>385.19600000000003</v>
      </c>
      <c r="C1141">
        <f t="shared" si="68"/>
        <v>1</v>
      </c>
      <c r="D1141">
        <f t="shared" si="69"/>
        <v>24</v>
      </c>
      <c r="E1141">
        <f t="shared" si="70"/>
        <v>18</v>
      </c>
      <c r="F1141">
        <f t="shared" si="71"/>
        <v>1</v>
      </c>
      <c r="G1141">
        <f>VLOOKUP(E1141,Sheet1!$A$2:$B$25,2,FALSE)</f>
        <v>0</v>
      </c>
    </row>
    <row r="1142" spans="1:7" x14ac:dyDescent="0.25">
      <c r="A1142" s="11">
        <v>44585.770833333336</v>
      </c>
      <c r="B1142" s="10">
        <v>378.23599999999999</v>
      </c>
      <c r="C1142">
        <f t="shared" si="68"/>
        <v>1</v>
      </c>
      <c r="D1142">
        <f t="shared" si="69"/>
        <v>24</v>
      </c>
      <c r="E1142">
        <f t="shared" si="70"/>
        <v>18</v>
      </c>
      <c r="F1142">
        <f t="shared" si="71"/>
        <v>1</v>
      </c>
      <c r="G1142">
        <f>VLOOKUP(E1142,Sheet1!$A$2:$B$25,2,FALSE)</f>
        <v>0</v>
      </c>
    </row>
    <row r="1143" spans="1:7" x14ac:dyDescent="0.25">
      <c r="A1143" s="11">
        <v>44585.791666666664</v>
      </c>
      <c r="B1143" s="10">
        <v>364.56099999999998</v>
      </c>
      <c r="C1143">
        <f t="shared" si="68"/>
        <v>1</v>
      </c>
      <c r="D1143">
        <f t="shared" si="69"/>
        <v>24</v>
      </c>
      <c r="E1143">
        <f t="shared" si="70"/>
        <v>19</v>
      </c>
      <c r="F1143">
        <f t="shared" si="71"/>
        <v>1</v>
      </c>
      <c r="G1143">
        <f>VLOOKUP(E1143,Sheet1!$A$2:$B$25,2,FALSE)</f>
        <v>0</v>
      </c>
    </row>
    <row r="1144" spans="1:7" x14ac:dyDescent="0.25">
      <c r="A1144" s="11">
        <v>44585.8125</v>
      </c>
      <c r="B1144" s="10">
        <v>370.22</v>
      </c>
      <c r="C1144">
        <f t="shared" si="68"/>
        <v>1</v>
      </c>
      <c r="D1144">
        <f t="shared" si="69"/>
        <v>24</v>
      </c>
      <c r="E1144">
        <f t="shared" si="70"/>
        <v>19</v>
      </c>
      <c r="F1144">
        <f t="shared" si="71"/>
        <v>1</v>
      </c>
      <c r="G1144">
        <f>VLOOKUP(E1144,Sheet1!$A$2:$B$25,2,FALSE)</f>
        <v>0</v>
      </c>
    </row>
    <row r="1145" spans="1:7" x14ac:dyDescent="0.25">
      <c r="A1145" s="11">
        <v>44585.833333333336</v>
      </c>
      <c r="B1145" s="10">
        <v>369.98</v>
      </c>
      <c r="C1145">
        <f t="shared" si="68"/>
        <v>1</v>
      </c>
      <c r="D1145">
        <f t="shared" si="69"/>
        <v>24</v>
      </c>
      <c r="E1145">
        <f t="shared" si="70"/>
        <v>20</v>
      </c>
      <c r="F1145">
        <f t="shared" si="71"/>
        <v>1</v>
      </c>
      <c r="G1145">
        <f>VLOOKUP(E1145,Sheet1!$A$2:$B$25,2,FALSE)</f>
        <v>0</v>
      </c>
    </row>
    <row r="1146" spans="1:7" x14ac:dyDescent="0.25">
      <c r="A1146" s="11">
        <v>44585.854166666664</v>
      </c>
      <c r="B1146" s="10">
        <v>369.84100000000001</v>
      </c>
      <c r="C1146">
        <f t="shared" si="68"/>
        <v>1</v>
      </c>
      <c r="D1146">
        <f t="shared" si="69"/>
        <v>24</v>
      </c>
      <c r="E1146">
        <f t="shared" si="70"/>
        <v>20</v>
      </c>
      <c r="F1146">
        <f t="shared" si="71"/>
        <v>1</v>
      </c>
      <c r="G1146">
        <f>VLOOKUP(E1146,Sheet1!$A$2:$B$25,2,FALSE)</f>
        <v>0</v>
      </c>
    </row>
    <row r="1147" spans="1:7" x14ac:dyDescent="0.25">
      <c r="A1147" s="11">
        <v>44585.875</v>
      </c>
      <c r="B1147" s="10">
        <v>362.036</v>
      </c>
      <c r="C1147">
        <f t="shared" si="68"/>
        <v>1</v>
      </c>
      <c r="D1147">
        <f t="shared" si="69"/>
        <v>24</v>
      </c>
      <c r="E1147">
        <f t="shared" si="70"/>
        <v>21</v>
      </c>
      <c r="F1147">
        <f t="shared" si="71"/>
        <v>1</v>
      </c>
      <c r="G1147">
        <f>VLOOKUP(E1147,Sheet1!$A$2:$B$25,2,FALSE)</f>
        <v>0</v>
      </c>
    </row>
    <row r="1148" spans="1:7" x14ac:dyDescent="0.25">
      <c r="A1148" s="11">
        <v>44585.895833333336</v>
      </c>
      <c r="B1148" s="10">
        <v>359.15600000000001</v>
      </c>
      <c r="C1148">
        <f t="shared" si="68"/>
        <v>1</v>
      </c>
      <c r="D1148">
        <f t="shared" si="69"/>
        <v>24</v>
      </c>
      <c r="E1148">
        <f t="shared" si="70"/>
        <v>21</v>
      </c>
      <c r="F1148">
        <f t="shared" si="71"/>
        <v>1</v>
      </c>
      <c r="G1148">
        <f>VLOOKUP(E1148,Sheet1!$A$2:$B$25,2,FALSE)</f>
        <v>0</v>
      </c>
    </row>
    <row r="1149" spans="1:7" x14ac:dyDescent="0.25">
      <c r="A1149" s="11">
        <v>44585.916666666664</v>
      </c>
      <c r="B1149" s="10">
        <v>369.12099999999998</v>
      </c>
      <c r="C1149">
        <f t="shared" si="68"/>
        <v>1</v>
      </c>
      <c r="D1149">
        <f t="shared" si="69"/>
        <v>24</v>
      </c>
      <c r="E1149">
        <f t="shared" si="70"/>
        <v>22</v>
      </c>
      <c r="F1149">
        <f t="shared" si="71"/>
        <v>1</v>
      </c>
      <c r="G1149">
        <f>VLOOKUP(E1149,Sheet1!$A$2:$B$25,2,FALSE)</f>
        <v>0</v>
      </c>
    </row>
    <row r="1150" spans="1:7" x14ac:dyDescent="0.25">
      <c r="A1150" s="11">
        <v>44585.9375</v>
      </c>
      <c r="B1150" s="10">
        <v>349.79599999999999</v>
      </c>
      <c r="C1150">
        <f t="shared" si="68"/>
        <v>1</v>
      </c>
      <c r="D1150">
        <f t="shared" si="69"/>
        <v>24</v>
      </c>
      <c r="E1150">
        <f t="shared" si="70"/>
        <v>22</v>
      </c>
      <c r="F1150">
        <f t="shared" si="71"/>
        <v>1</v>
      </c>
      <c r="G1150">
        <f>VLOOKUP(E1150,Sheet1!$A$2:$B$25,2,FALSE)</f>
        <v>0</v>
      </c>
    </row>
    <row r="1151" spans="1:7" x14ac:dyDescent="0.25">
      <c r="A1151" s="11">
        <v>44585.958333333336</v>
      </c>
      <c r="B1151" s="10">
        <v>336.5</v>
      </c>
      <c r="C1151">
        <f t="shared" si="68"/>
        <v>1</v>
      </c>
      <c r="D1151">
        <f t="shared" si="69"/>
        <v>24</v>
      </c>
      <c r="E1151">
        <f t="shared" si="70"/>
        <v>23</v>
      </c>
      <c r="F1151">
        <f t="shared" si="71"/>
        <v>1</v>
      </c>
      <c r="G1151">
        <f>VLOOKUP(E1151,Sheet1!$A$2:$B$25,2,FALSE)</f>
        <v>0</v>
      </c>
    </row>
    <row r="1152" spans="1:7" x14ac:dyDescent="0.25">
      <c r="A1152" s="11">
        <v>44585.979166666664</v>
      </c>
      <c r="B1152" s="10">
        <v>334.7</v>
      </c>
      <c r="C1152">
        <f t="shared" si="68"/>
        <v>1</v>
      </c>
      <c r="D1152">
        <f t="shared" si="69"/>
        <v>24</v>
      </c>
      <c r="E1152">
        <f t="shared" si="70"/>
        <v>23</v>
      </c>
      <c r="F1152">
        <f t="shared" si="71"/>
        <v>1</v>
      </c>
      <c r="G1152">
        <f>VLOOKUP(E1152,Sheet1!$A$2:$B$25,2,FALSE)</f>
        <v>0</v>
      </c>
    </row>
    <row r="1153" spans="1:7" x14ac:dyDescent="0.25">
      <c r="A1153" s="11">
        <v>44586</v>
      </c>
      <c r="B1153" s="10">
        <v>332.52100000000002</v>
      </c>
      <c r="C1153">
        <f t="shared" si="68"/>
        <v>2</v>
      </c>
      <c r="D1153">
        <f t="shared" si="69"/>
        <v>25</v>
      </c>
      <c r="E1153">
        <f t="shared" si="70"/>
        <v>0</v>
      </c>
      <c r="F1153">
        <f t="shared" si="71"/>
        <v>1</v>
      </c>
      <c r="G1153">
        <f>VLOOKUP(E1153,Sheet1!$A$2:$B$25,2,FALSE)</f>
        <v>0</v>
      </c>
    </row>
    <row r="1154" spans="1:7" x14ac:dyDescent="0.25">
      <c r="A1154" s="11">
        <v>44586.020833333336</v>
      </c>
      <c r="B1154" s="10">
        <v>340.1</v>
      </c>
      <c r="C1154">
        <f t="shared" ref="C1154:C1217" si="72">WEEKDAY(A1154,2)</f>
        <v>2</v>
      </c>
      <c r="D1154">
        <f t="shared" ref="D1154:D1217" si="73">DAY(A1154)</f>
        <v>25</v>
      </c>
      <c r="E1154">
        <f t="shared" ref="E1154:E1217" si="74">HOUR(A1154)</f>
        <v>0</v>
      </c>
      <c r="F1154">
        <f t="shared" si="71"/>
        <v>1</v>
      </c>
      <c r="G1154">
        <f>VLOOKUP(E1154,Sheet1!$A$2:$B$25,2,FALSE)</f>
        <v>0</v>
      </c>
    </row>
    <row r="1155" spans="1:7" x14ac:dyDescent="0.25">
      <c r="A1155" s="11">
        <v>44586.041666666664</v>
      </c>
      <c r="B1155" s="10">
        <v>341.39600000000002</v>
      </c>
      <c r="C1155">
        <f t="shared" si="72"/>
        <v>2</v>
      </c>
      <c r="D1155">
        <f t="shared" si="73"/>
        <v>25</v>
      </c>
      <c r="E1155">
        <f t="shared" si="74"/>
        <v>1</v>
      </c>
      <c r="F1155">
        <f t="shared" ref="F1155:F1218" si="75">IF(C1155&gt;=6,0,1)</f>
        <v>1</v>
      </c>
      <c r="G1155">
        <f>VLOOKUP(E1155,Sheet1!$A$2:$B$25,2,FALSE)</f>
        <v>0</v>
      </c>
    </row>
    <row r="1156" spans="1:7" x14ac:dyDescent="0.25">
      <c r="A1156" s="11">
        <v>44586.0625</v>
      </c>
      <c r="B1156" s="10">
        <v>336.86</v>
      </c>
      <c r="C1156">
        <f t="shared" si="72"/>
        <v>2</v>
      </c>
      <c r="D1156">
        <f t="shared" si="73"/>
        <v>25</v>
      </c>
      <c r="E1156">
        <f t="shared" si="74"/>
        <v>1</v>
      </c>
      <c r="F1156">
        <f t="shared" si="75"/>
        <v>1</v>
      </c>
      <c r="G1156">
        <f>VLOOKUP(E1156,Sheet1!$A$2:$B$25,2,FALSE)</f>
        <v>0</v>
      </c>
    </row>
    <row r="1157" spans="1:7" x14ac:dyDescent="0.25">
      <c r="A1157" s="11">
        <v>44586.083333333336</v>
      </c>
      <c r="B1157" s="10">
        <v>341.54</v>
      </c>
      <c r="C1157">
        <f t="shared" si="72"/>
        <v>2</v>
      </c>
      <c r="D1157">
        <f t="shared" si="73"/>
        <v>25</v>
      </c>
      <c r="E1157">
        <f t="shared" si="74"/>
        <v>2</v>
      </c>
      <c r="F1157">
        <f t="shared" si="75"/>
        <v>1</v>
      </c>
      <c r="G1157">
        <f>VLOOKUP(E1157,Sheet1!$A$2:$B$25,2,FALSE)</f>
        <v>0</v>
      </c>
    </row>
    <row r="1158" spans="1:7" x14ac:dyDescent="0.25">
      <c r="A1158" s="11">
        <v>44586.104166666664</v>
      </c>
      <c r="B1158" s="10">
        <v>342.48099999999999</v>
      </c>
      <c r="C1158">
        <f t="shared" si="72"/>
        <v>2</v>
      </c>
      <c r="D1158">
        <f t="shared" si="73"/>
        <v>25</v>
      </c>
      <c r="E1158">
        <f t="shared" si="74"/>
        <v>2</v>
      </c>
      <c r="F1158">
        <f t="shared" si="75"/>
        <v>1</v>
      </c>
      <c r="G1158">
        <f>VLOOKUP(E1158,Sheet1!$A$2:$B$25,2,FALSE)</f>
        <v>0</v>
      </c>
    </row>
    <row r="1159" spans="1:7" x14ac:dyDescent="0.25">
      <c r="A1159" s="11">
        <v>44586.125</v>
      </c>
      <c r="B1159" s="10">
        <v>344.06</v>
      </c>
      <c r="C1159">
        <f t="shared" si="72"/>
        <v>2</v>
      </c>
      <c r="D1159">
        <f t="shared" si="73"/>
        <v>25</v>
      </c>
      <c r="E1159">
        <f t="shared" si="74"/>
        <v>3</v>
      </c>
      <c r="F1159">
        <f t="shared" si="75"/>
        <v>1</v>
      </c>
      <c r="G1159">
        <f>VLOOKUP(E1159,Sheet1!$A$2:$B$25,2,FALSE)</f>
        <v>0</v>
      </c>
    </row>
    <row r="1160" spans="1:7" x14ac:dyDescent="0.25">
      <c r="A1160" s="11">
        <v>44586.145833333336</v>
      </c>
      <c r="B1160" s="10">
        <v>339.71600000000001</v>
      </c>
      <c r="C1160">
        <f t="shared" si="72"/>
        <v>2</v>
      </c>
      <c r="D1160">
        <f t="shared" si="73"/>
        <v>25</v>
      </c>
      <c r="E1160">
        <f t="shared" si="74"/>
        <v>3</v>
      </c>
      <c r="F1160">
        <f t="shared" si="75"/>
        <v>1</v>
      </c>
      <c r="G1160">
        <f>VLOOKUP(E1160,Sheet1!$A$2:$B$25,2,FALSE)</f>
        <v>0</v>
      </c>
    </row>
    <row r="1161" spans="1:7" x14ac:dyDescent="0.25">
      <c r="A1161" s="11">
        <v>44586.166666666664</v>
      </c>
      <c r="B1161" s="10">
        <v>418.70499999999998</v>
      </c>
      <c r="C1161">
        <f t="shared" si="72"/>
        <v>2</v>
      </c>
      <c r="D1161">
        <f t="shared" si="73"/>
        <v>25</v>
      </c>
      <c r="E1161">
        <f t="shared" si="74"/>
        <v>4</v>
      </c>
      <c r="F1161">
        <f t="shared" si="75"/>
        <v>1</v>
      </c>
      <c r="G1161">
        <f>VLOOKUP(E1161,Sheet1!$A$2:$B$25,2,FALSE)</f>
        <v>1</v>
      </c>
    </row>
    <row r="1162" spans="1:7" x14ac:dyDescent="0.25">
      <c r="A1162" s="11">
        <v>44586.1875</v>
      </c>
      <c r="B1162" s="10">
        <v>817.82</v>
      </c>
      <c r="C1162">
        <f t="shared" si="72"/>
        <v>2</v>
      </c>
      <c r="D1162">
        <f t="shared" si="73"/>
        <v>25</v>
      </c>
      <c r="E1162">
        <f t="shared" si="74"/>
        <v>4</v>
      </c>
      <c r="F1162">
        <f t="shared" si="75"/>
        <v>1</v>
      </c>
      <c r="G1162">
        <f>VLOOKUP(E1162,Sheet1!$A$2:$B$25,2,FALSE)</f>
        <v>1</v>
      </c>
    </row>
    <row r="1163" spans="1:7" x14ac:dyDescent="0.25">
      <c r="A1163" s="11">
        <v>44586.208333333336</v>
      </c>
      <c r="B1163" s="10">
        <v>669.02499999999998</v>
      </c>
      <c r="C1163">
        <f t="shared" si="72"/>
        <v>2</v>
      </c>
      <c r="D1163">
        <f t="shared" si="73"/>
        <v>25</v>
      </c>
      <c r="E1163">
        <f t="shared" si="74"/>
        <v>5</v>
      </c>
      <c r="F1163">
        <f t="shared" si="75"/>
        <v>1</v>
      </c>
      <c r="G1163">
        <f>VLOOKUP(E1163,Sheet1!$A$2:$B$25,2,FALSE)</f>
        <v>1</v>
      </c>
    </row>
    <row r="1164" spans="1:7" x14ac:dyDescent="0.25">
      <c r="A1164" s="11">
        <v>44586.229166666664</v>
      </c>
      <c r="B1164" s="10">
        <v>718.31600000000003</v>
      </c>
      <c r="C1164">
        <f t="shared" si="72"/>
        <v>2</v>
      </c>
      <c r="D1164">
        <f t="shared" si="73"/>
        <v>25</v>
      </c>
      <c r="E1164">
        <f t="shared" si="74"/>
        <v>5</v>
      </c>
      <c r="F1164">
        <f t="shared" si="75"/>
        <v>1</v>
      </c>
      <c r="G1164">
        <f>VLOOKUP(E1164,Sheet1!$A$2:$B$25,2,FALSE)</f>
        <v>1</v>
      </c>
    </row>
    <row r="1165" spans="1:7" x14ac:dyDescent="0.25">
      <c r="A1165" s="11">
        <v>44586.25</v>
      </c>
      <c r="B1165" s="10">
        <v>768.74</v>
      </c>
      <c r="C1165">
        <f t="shared" si="72"/>
        <v>2</v>
      </c>
      <c r="D1165">
        <f t="shared" si="73"/>
        <v>25</v>
      </c>
      <c r="E1165">
        <f t="shared" si="74"/>
        <v>6</v>
      </c>
      <c r="F1165">
        <f t="shared" si="75"/>
        <v>1</v>
      </c>
      <c r="G1165">
        <f>VLOOKUP(E1165,Sheet1!$A$2:$B$25,2,FALSE)</f>
        <v>1</v>
      </c>
    </row>
    <row r="1166" spans="1:7" x14ac:dyDescent="0.25">
      <c r="A1166" s="11">
        <v>44586.270833333336</v>
      </c>
      <c r="B1166" s="10">
        <v>805.80100000000004</v>
      </c>
      <c r="C1166">
        <f t="shared" si="72"/>
        <v>2</v>
      </c>
      <c r="D1166">
        <f t="shared" si="73"/>
        <v>25</v>
      </c>
      <c r="E1166">
        <f t="shared" si="74"/>
        <v>6</v>
      </c>
      <c r="F1166">
        <f t="shared" si="75"/>
        <v>1</v>
      </c>
      <c r="G1166">
        <f>VLOOKUP(E1166,Sheet1!$A$2:$B$25,2,FALSE)</f>
        <v>1</v>
      </c>
    </row>
    <row r="1167" spans="1:7" x14ac:dyDescent="0.25">
      <c r="A1167" s="11">
        <v>44586.291666666664</v>
      </c>
      <c r="B1167" s="10">
        <v>902.3</v>
      </c>
      <c r="C1167">
        <f t="shared" si="72"/>
        <v>2</v>
      </c>
      <c r="D1167">
        <f t="shared" si="73"/>
        <v>25</v>
      </c>
      <c r="E1167">
        <f t="shared" si="74"/>
        <v>7</v>
      </c>
      <c r="F1167">
        <f t="shared" si="75"/>
        <v>1</v>
      </c>
      <c r="G1167">
        <f>VLOOKUP(E1167,Sheet1!$A$2:$B$25,2,FALSE)</f>
        <v>1</v>
      </c>
    </row>
    <row r="1168" spans="1:7" x14ac:dyDescent="0.25">
      <c r="A1168" s="11">
        <v>44586.3125</v>
      </c>
      <c r="B1168" s="10">
        <v>915.83600000000001</v>
      </c>
      <c r="C1168">
        <f t="shared" si="72"/>
        <v>2</v>
      </c>
      <c r="D1168">
        <f t="shared" si="73"/>
        <v>25</v>
      </c>
      <c r="E1168">
        <f t="shared" si="74"/>
        <v>7</v>
      </c>
      <c r="F1168">
        <f t="shared" si="75"/>
        <v>1</v>
      </c>
      <c r="G1168">
        <f>VLOOKUP(E1168,Sheet1!$A$2:$B$25,2,FALSE)</f>
        <v>1</v>
      </c>
    </row>
    <row r="1169" spans="1:7" x14ac:dyDescent="0.25">
      <c r="A1169" s="11">
        <v>44586.333333333336</v>
      </c>
      <c r="B1169" s="10">
        <v>912.74</v>
      </c>
      <c r="C1169">
        <f t="shared" si="72"/>
        <v>2</v>
      </c>
      <c r="D1169">
        <f t="shared" si="73"/>
        <v>25</v>
      </c>
      <c r="E1169">
        <f t="shared" si="74"/>
        <v>8</v>
      </c>
      <c r="F1169">
        <f t="shared" si="75"/>
        <v>1</v>
      </c>
      <c r="G1169">
        <f>VLOOKUP(E1169,Sheet1!$A$2:$B$25,2,FALSE)</f>
        <v>1</v>
      </c>
    </row>
    <row r="1170" spans="1:7" x14ac:dyDescent="0.25">
      <c r="A1170" s="11">
        <v>44586.354166666664</v>
      </c>
      <c r="B1170" s="10">
        <v>910.32100000000003</v>
      </c>
      <c r="C1170">
        <f t="shared" si="72"/>
        <v>2</v>
      </c>
      <c r="D1170">
        <f t="shared" si="73"/>
        <v>25</v>
      </c>
      <c r="E1170">
        <f t="shared" si="74"/>
        <v>8</v>
      </c>
      <c r="F1170">
        <f t="shared" si="75"/>
        <v>1</v>
      </c>
      <c r="G1170">
        <f>VLOOKUP(E1170,Sheet1!$A$2:$B$25,2,FALSE)</f>
        <v>1</v>
      </c>
    </row>
    <row r="1171" spans="1:7" x14ac:dyDescent="0.25">
      <c r="A1171" s="11">
        <v>44586.375</v>
      </c>
      <c r="B1171" s="10">
        <v>985.31600000000003</v>
      </c>
      <c r="C1171">
        <f t="shared" si="72"/>
        <v>2</v>
      </c>
      <c r="D1171">
        <f t="shared" si="73"/>
        <v>25</v>
      </c>
      <c r="E1171">
        <f t="shared" si="74"/>
        <v>9</v>
      </c>
      <c r="F1171">
        <f t="shared" si="75"/>
        <v>1</v>
      </c>
      <c r="G1171">
        <f>VLOOKUP(E1171,Sheet1!$A$2:$B$25,2,FALSE)</f>
        <v>1</v>
      </c>
    </row>
    <row r="1172" spans="1:7" x14ac:dyDescent="0.25">
      <c r="A1172" s="11">
        <v>44586.395833333336</v>
      </c>
      <c r="B1172" s="10">
        <v>1010.9</v>
      </c>
      <c r="C1172">
        <f t="shared" si="72"/>
        <v>2</v>
      </c>
      <c r="D1172">
        <f t="shared" si="73"/>
        <v>25</v>
      </c>
      <c r="E1172">
        <f t="shared" si="74"/>
        <v>9</v>
      </c>
      <c r="F1172">
        <f t="shared" si="75"/>
        <v>1</v>
      </c>
      <c r="G1172">
        <f>VLOOKUP(E1172,Sheet1!$A$2:$B$25,2,FALSE)</f>
        <v>1</v>
      </c>
    </row>
    <row r="1173" spans="1:7" x14ac:dyDescent="0.25">
      <c r="A1173" s="11">
        <v>44586.416666666664</v>
      </c>
      <c r="B1173" s="10">
        <v>951.505</v>
      </c>
      <c r="C1173">
        <f t="shared" si="72"/>
        <v>2</v>
      </c>
      <c r="D1173">
        <f t="shared" si="73"/>
        <v>25</v>
      </c>
      <c r="E1173">
        <f t="shared" si="74"/>
        <v>10</v>
      </c>
      <c r="F1173">
        <f t="shared" si="75"/>
        <v>1</v>
      </c>
      <c r="G1173">
        <f>VLOOKUP(E1173,Sheet1!$A$2:$B$25,2,FALSE)</f>
        <v>1</v>
      </c>
    </row>
    <row r="1174" spans="1:7" x14ac:dyDescent="0.25">
      <c r="A1174" s="11">
        <v>44586.4375</v>
      </c>
      <c r="B1174" s="10">
        <v>899.87599999999998</v>
      </c>
      <c r="C1174">
        <f t="shared" si="72"/>
        <v>2</v>
      </c>
      <c r="D1174">
        <f t="shared" si="73"/>
        <v>25</v>
      </c>
      <c r="E1174">
        <f t="shared" si="74"/>
        <v>10</v>
      </c>
      <c r="F1174">
        <f t="shared" si="75"/>
        <v>1</v>
      </c>
      <c r="G1174">
        <f>VLOOKUP(E1174,Sheet1!$A$2:$B$25,2,FALSE)</f>
        <v>1</v>
      </c>
    </row>
    <row r="1175" spans="1:7" x14ac:dyDescent="0.25">
      <c r="A1175" s="11">
        <v>44586.458333333336</v>
      </c>
      <c r="B1175" s="10">
        <v>918.35599999999999</v>
      </c>
      <c r="C1175">
        <f t="shared" si="72"/>
        <v>2</v>
      </c>
      <c r="D1175">
        <f t="shared" si="73"/>
        <v>25</v>
      </c>
      <c r="E1175">
        <f t="shared" si="74"/>
        <v>11</v>
      </c>
      <c r="F1175">
        <f t="shared" si="75"/>
        <v>1</v>
      </c>
      <c r="G1175">
        <f>VLOOKUP(E1175,Sheet1!$A$2:$B$25,2,FALSE)</f>
        <v>1</v>
      </c>
    </row>
    <row r="1176" spans="1:7" x14ac:dyDescent="0.25">
      <c r="A1176" s="11">
        <v>44586.479166666664</v>
      </c>
      <c r="B1176" s="10">
        <v>837.02</v>
      </c>
      <c r="C1176">
        <f t="shared" si="72"/>
        <v>2</v>
      </c>
      <c r="D1176">
        <f t="shared" si="73"/>
        <v>25</v>
      </c>
      <c r="E1176">
        <f t="shared" si="74"/>
        <v>11</v>
      </c>
      <c r="F1176">
        <f t="shared" si="75"/>
        <v>1</v>
      </c>
      <c r="G1176">
        <f>VLOOKUP(E1176,Sheet1!$A$2:$B$25,2,FALSE)</f>
        <v>1</v>
      </c>
    </row>
    <row r="1177" spans="1:7" x14ac:dyDescent="0.25">
      <c r="A1177" s="11">
        <v>44586.5</v>
      </c>
      <c r="B1177" s="10">
        <v>863.18</v>
      </c>
      <c r="C1177">
        <f t="shared" si="72"/>
        <v>2</v>
      </c>
      <c r="D1177">
        <f t="shared" si="73"/>
        <v>25</v>
      </c>
      <c r="E1177">
        <f t="shared" si="74"/>
        <v>12</v>
      </c>
      <c r="F1177">
        <f t="shared" si="75"/>
        <v>1</v>
      </c>
      <c r="G1177">
        <f>VLOOKUP(E1177,Sheet1!$A$2:$B$25,2,FALSE)</f>
        <v>1</v>
      </c>
    </row>
    <row r="1178" spans="1:7" x14ac:dyDescent="0.25">
      <c r="A1178" s="11">
        <v>44586.520833333336</v>
      </c>
      <c r="B1178" s="10">
        <v>814.94500000000005</v>
      </c>
      <c r="C1178">
        <f t="shared" si="72"/>
        <v>2</v>
      </c>
      <c r="D1178">
        <f t="shared" si="73"/>
        <v>25</v>
      </c>
      <c r="E1178">
        <f t="shared" si="74"/>
        <v>12</v>
      </c>
      <c r="F1178">
        <f t="shared" si="75"/>
        <v>1</v>
      </c>
      <c r="G1178">
        <f>VLOOKUP(E1178,Sheet1!$A$2:$B$25,2,FALSE)</f>
        <v>1</v>
      </c>
    </row>
    <row r="1179" spans="1:7" x14ac:dyDescent="0.25">
      <c r="A1179" s="11">
        <v>44586.541666666664</v>
      </c>
      <c r="B1179" s="10">
        <v>889.46</v>
      </c>
      <c r="C1179">
        <f t="shared" si="72"/>
        <v>2</v>
      </c>
      <c r="D1179">
        <f t="shared" si="73"/>
        <v>25</v>
      </c>
      <c r="E1179">
        <f t="shared" si="74"/>
        <v>13</v>
      </c>
      <c r="F1179">
        <f t="shared" si="75"/>
        <v>1</v>
      </c>
      <c r="G1179">
        <f>VLOOKUP(E1179,Sheet1!$A$2:$B$25,2,FALSE)</f>
        <v>1</v>
      </c>
    </row>
    <row r="1180" spans="1:7" x14ac:dyDescent="0.25">
      <c r="A1180" s="11">
        <v>44586.5625</v>
      </c>
      <c r="B1180" s="10">
        <v>882.596</v>
      </c>
      <c r="C1180">
        <f t="shared" si="72"/>
        <v>2</v>
      </c>
      <c r="D1180">
        <f t="shared" si="73"/>
        <v>25</v>
      </c>
      <c r="E1180">
        <f t="shared" si="74"/>
        <v>13</v>
      </c>
      <c r="F1180">
        <f t="shared" si="75"/>
        <v>1</v>
      </c>
      <c r="G1180">
        <f>VLOOKUP(E1180,Sheet1!$A$2:$B$25,2,FALSE)</f>
        <v>1</v>
      </c>
    </row>
    <row r="1181" spans="1:7" x14ac:dyDescent="0.25">
      <c r="A1181" s="11">
        <v>44586.583333333336</v>
      </c>
      <c r="B1181" s="10">
        <v>871.20100000000002</v>
      </c>
      <c r="C1181">
        <f t="shared" si="72"/>
        <v>2</v>
      </c>
      <c r="D1181">
        <f t="shared" si="73"/>
        <v>25</v>
      </c>
      <c r="E1181">
        <f t="shared" si="74"/>
        <v>14</v>
      </c>
      <c r="F1181">
        <f t="shared" si="75"/>
        <v>1</v>
      </c>
      <c r="G1181">
        <f>VLOOKUP(E1181,Sheet1!$A$2:$B$25,2,FALSE)</f>
        <v>1</v>
      </c>
    </row>
    <row r="1182" spans="1:7" x14ac:dyDescent="0.25">
      <c r="A1182" s="11">
        <v>44586.604166666664</v>
      </c>
      <c r="B1182" s="10">
        <v>761.03599999999994</v>
      </c>
      <c r="C1182">
        <f t="shared" si="72"/>
        <v>2</v>
      </c>
      <c r="D1182">
        <f t="shared" si="73"/>
        <v>25</v>
      </c>
      <c r="E1182">
        <f t="shared" si="74"/>
        <v>14</v>
      </c>
      <c r="F1182">
        <f t="shared" si="75"/>
        <v>1</v>
      </c>
      <c r="G1182">
        <f>VLOOKUP(E1182,Sheet1!$A$2:$B$25,2,FALSE)</f>
        <v>1</v>
      </c>
    </row>
    <row r="1183" spans="1:7" x14ac:dyDescent="0.25">
      <c r="A1183" s="11">
        <v>44586.625</v>
      </c>
      <c r="B1183" s="10">
        <v>666.14</v>
      </c>
      <c r="C1183">
        <f t="shared" si="72"/>
        <v>2</v>
      </c>
      <c r="D1183">
        <f t="shared" si="73"/>
        <v>25</v>
      </c>
      <c r="E1183">
        <f t="shared" si="74"/>
        <v>15</v>
      </c>
      <c r="F1183">
        <f t="shared" si="75"/>
        <v>1</v>
      </c>
      <c r="G1183">
        <f>VLOOKUP(E1183,Sheet1!$A$2:$B$25,2,FALSE)</f>
        <v>1</v>
      </c>
    </row>
    <row r="1184" spans="1:7" x14ac:dyDescent="0.25">
      <c r="A1184" s="11">
        <v>44586.645833333336</v>
      </c>
      <c r="B1184" s="10">
        <v>503.9</v>
      </c>
      <c r="C1184">
        <f t="shared" si="72"/>
        <v>2</v>
      </c>
      <c r="D1184">
        <f t="shared" si="73"/>
        <v>25</v>
      </c>
      <c r="E1184">
        <f t="shared" si="74"/>
        <v>15</v>
      </c>
      <c r="F1184">
        <f t="shared" si="75"/>
        <v>1</v>
      </c>
      <c r="G1184">
        <f>VLOOKUP(E1184,Sheet1!$A$2:$B$25,2,FALSE)</f>
        <v>1</v>
      </c>
    </row>
    <row r="1185" spans="1:7" x14ac:dyDescent="0.25">
      <c r="A1185" s="11">
        <v>44586.666666666664</v>
      </c>
      <c r="B1185" s="10">
        <v>404.78500000000003</v>
      </c>
      <c r="C1185">
        <f t="shared" si="72"/>
        <v>2</v>
      </c>
      <c r="D1185">
        <f t="shared" si="73"/>
        <v>25</v>
      </c>
      <c r="E1185">
        <f t="shared" si="74"/>
        <v>16</v>
      </c>
      <c r="F1185">
        <f t="shared" si="75"/>
        <v>1</v>
      </c>
      <c r="G1185">
        <f>VLOOKUP(E1185,Sheet1!$A$2:$B$25,2,FALSE)</f>
        <v>0</v>
      </c>
    </row>
    <row r="1186" spans="1:7" x14ac:dyDescent="0.25">
      <c r="A1186" s="11">
        <v>44586.6875</v>
      </c>
      <c r="B1186" s="10">
        <v>398.9</v>
      </c>
      <c r="C1186">
        <f t="shared" si="72"/>
        <v>2</v>
      </c>
      <c r="D1186">
        <f t="shared" si="73"/>
        <v>25</v>
      </c>
      <c r="E1186">
        <f t="shared" si="74"/>
        <v>16</v>
      </c>
      <c r="F1186">
        <f t="shared" si="75"/>
        <v>1</v>
      </c>
      <c r="G1186">
        <f>VLOOKUP(E1186,Sheet1!$A$2:$B$25,2,FALSE)</f>
        <v>0</v>
      </c>
    </row>
    <row r="1187" spans="1:7" x14ac:dyDescent="0.25">
      <c r="A1187" s="11">
        <v>44586.708333333336</v>
      </c>
      <c r="B1187" s="10">
        <v>383.42</v>
      </c>
      <c r="C1187">
        <f t="shared" si="72"/>
        <v>2</v>
      </c>
      <c r="D1187">
        <f t="shared" si="73"/>
        <v>25</v>
      </c>
      <c r="E1187">
        <f t="shared" si="74"/>
        <v>17</v>
      </c>
      <c r="F1187">
        <f t="shared" si="75"/>
        <v>1</v>
      </c>
      <c r="G1187">
        <f>VLOOKUP(E1187,Sheet1!$A$2:$B$25,2,FALSE)</f>
        <v>0</v>
      </c>
    </row>
    <row r="1188" spans="1:7" x14ac:dyDescent="0.25">
      <c r="A1188" s="11">
        <v>44586.729166666664</v>
      </c>
      <c r="B1188" s="10">
        <v>385.31599999999997</v>
      </c>
      <c r="C1188">
        <f t="shared" si="72"/>
        <v>2</v>
      </c>
      <c r="D1188">
        <f t="shared" si="73"/>
        <v>25</v>
      </c>
      <c r="E1188">
        <f t="shared" si="74"/>
        <v>17</v>
      </c>
      <c r="F1188">
        <f t="shared" si="75"/>
        <v>1</v>
      </c>
      <c r="G1188">
        <f>VLOOKUP(E1188,Sheet1!$A$2:$B$25,2,FALSE)</f>
        <v>0</v>
      </c>
    </row>
    <row r="1189" spans="1:7" x14ac:dyDescent="0.25">
      <c r="A1189" s="11">
        <v>44586.75</v>
      </c>
      <c r="B1189" s="10">
        <v>394.1</v>
      </c>
      <c r="C1189">
        <f t="shared" si="72"/>
        <v>2</v>
      </c>
      <c r="D1189">
        <f t="shared" si="73"/>
        <v>25</v>
      </c>
      <c r="E1189">
        <f t="shared" si="74"/>
        <v>18</v>
      </c>
      <c r="F1189">
        <f t="shared" si="75"/>
        <v>1</v>
      </c>
      <c r="G1189">
        <f>VLOOKUP(E1189,Sheet1!$A$2:$B$25,2,FALSE)</f>
        <v>0</v>
      </c>
    </row>
    <row r="1190" spans="1:7" x14ac:dyDescent="0.25">
      <c r="A1190" s="11">
        <v>44586.770833333336</v>
      </c>
      <c r="B1190" s="10">
        <v>384.601</v>
      </c>
      <c r="C1190">
        <f t="shared" si="72"/>
        <v>2</v>
      </c>
      <c r="D1190">
        <f t="shared" si="73"/>
        <v>25</v>
      </c>
      <c r="E1190">
        <f t="shared" si="74"/>
        <v>18</v>
      </c>
      <c r="F1190">
        <f t="shared" si="75"/>
        <v>1</v>
      </c>
      <c r="G1190">
        <f>VLOOKUP(E1190,Sheet1!$A$2:$B$25,2,FALSE)</f>
        <v>0</v>
      </c>
    </row>
    <row r="1191" spans="1:7" x14ac:dyDescent="0.25">
      <c r="A1191" s="11">
        <v>44586.791666666664</v>
      </c>
      <c r="B1191" s="10">
        <v>382.43599999999998</v>
      </c>
      <c r="C1191">
        <f t="shared" si="72"/>
        <v>2</v>
      </c>
      <c r="D1191">
        <f t="shared" si="73"/>
        <v>25</v>
      </c>
      <c r="E1191">
        <f t="shared" si="74"/>
        <v>19</v>
      </c>
      <c r="F1191">
        <f t="shared" si="75"/>
        <v>1</v>
      </c>
      <c r="G1191">
        <f>VLOOKUP(E1191,Sheet1!$A$2:$B$25,2,FALSE)</f>
        <v>0</v>
      </c>
    </row>
    <row r="1192" spans="1:7" x14ac:dyDescent="0.25">
      <c r="A1192" s="11">
        <v>44586.8125</v>
      </c>
      <c r="B1192" s="10">
        <v>368.15600000000001</v>
      </c>
      <c r="C1192">
        <f t="shared" si="72"/>
        <v>2</v>
      </c>
      <c r="D1192">
        <f t="shared" si="73"/>
        <v>25</v>
      </c>
      <c r="E1192">
        <f t="shared" si="74"/>
        <v>19</v>
      </c>
      <c r="F1192">
        <f t="shared" si="75"/>
        <v>1</v>
      </c>
      <c r="G1192">
        <f>VLOOKUP(E1192,Sheet1!$A$2:$B$25,2,FALSE)</f>
        <v>0</v>
      </c>
    </row>
    <row r="1193" spans="1:7" x14ac:dyDescent="0.25">
      <c r="A1193" s="11">
        <v>44586.833333333336</v>
      </c>
      <c r="B1193" s="10">
        <v>374.15600000000001</v>
      </c>
      <c r="C1193">
        <f t="shared" si="72"/>
        <v>2</v>
      </c>
      <c r="D1193">
        <f t="shared" si="73"/>
        <v>25</v>
      </c>
      <c r="E1193">
        <f t="shared" si="74"/>
        <v>20</v>
      </c>
      <c r="F1193">
        <f t="shared" si="75"/>
        <v>1</v>
      </c>
      <c r="G1193">
        <f>VLOOKUP(E1193,Sheet1!$A$2:$B$25,2,FALSE)</f>
        <v>0</v>
      </c>
    </row>
    <row r="1194" spans="1:7" x14ac:dyDescent="0.25">
      <c r="A1194" s="11">
        <v>44586.854166666664</v>
      </c>
      <c r="B1194" s="10">
        <v>361.56099999999998</v>
      </c>
      <c r="C1194">
        <f t="shared" si="72"/>
        <v>2</v>
      </c>
      <c r="D1194">
        <f t="shared" si="73"/>
        <v>25</v>
      </c>
      <c r="E1194">
        <f t="shared" si="74"/>
        <v>20</v>
      </c>
      <c r="F1194">
        <f t="shared" si="75"/>
        <v>1</v>
      </c>
      <c r="G1194">
        <f>VLOOKUP(E1194,Sheet1!$A$2:$B$25,2,FALSE)</f>
        <v>0</v>
      </c>
    </row>
    <row r="1195" spans="1:7" x14ac:dyDescent="0.25">
      <c r="A1195" s="11">
        <v>44586.875</v>
      </c>
      <c r="B1195" s="10">
        <v>373.46</v>
      </c>
      <c r="C1195">
        <f t="shared" si="72"/>
        <v>2</v>
      </c>
      <c r="D1195">
        <f t="shared" si="73"/>
        <v>25</v>
      </c>
      <c r="E1195">
        <f t="shared" si="74"/>
        <v>21</v>
      </c>
      <c r="F1195">
        <f t="shared" si="75"/>
        <v>1</v>
      </c>
      <c r="G1195">
        <f>VLOOKUP(E1195,Sheet1!$A$2:$B$25,2,FALSE)</f>
        <v>0</v>
      </c>
    </row>
    <row r="1196" spans="1:7" x14ac:dyDescent="0.25">
      <c r="A1196" s="11">
        <v>44586.895833333336</v>
      </c>
      <c r="B1196" s="10">
        <v>367.58499999999998</v>
      </c>
      <c r="C1196">
        <f t="shared" si="72"/>
        <v>2</v>
      </c>
      <c r="D1196">
        <f t="shared" si="73"/>
        <v>25</v>
      </c>
      <c r="E1196">
        <f t="shared" si="74"/>
        <v>21</v>
      </c>
      <c r="F1196">
        <f t="shared" si="75"/>
        <v>1</v>
      </c>
      <c r="G1196">
        <f>VLOOKUP(E1196,Sheet1!$A$2:$B$25,2,FALSE)</f>
        <v>0</v>
      </c>
    </row>
    <row r="1197" spans="1:7" x14ac:dyDescent="0.25">
      <c r="A1197" s="11">
        <v>44586.916666666664</v>
      </c>
      <c r="B1197" s="10">
        <v>358.58</v>
      </c>
      <c r="C1197">
        <f t="shared" si="72"/>
        <v>2</v>
      </c>
      <c r="D1197">
        <f t="shared" si="73"/>
        <v>25</v>
      </c>
      <c r="E1197">
        <f t="shared" si="74"/>
        <v>22</v>
      </c>
      <c r="F1197">
        <f t="shared" si="75"/>
        <v>1</v>
      </c>
      <c r="G1197">
        <f>VLOOKUP(E1197,Sheet1!$A$2:$B$25,2,FALSE)</f>
        <v>0</v>
      </c>
    </row>
    <row r="1198" spans="1:7" x14ac:dyDescent="0.25">
      <c r="A1198" s="11">
        <v>44586.9375</v>
      </c>
      <c r="B1198" s="10">
        <v>358.79599999999999</v>
      </c>
      <c r="C1198">
        <f t="shared" si="72"/>
        <v>2</v>
      </c>
      <c r="D1198">
        <f t="shared" si="73"/>
        <v>25</v>
      </c>
      <c r="E1198">
        <f t="shared" si="74"/>
        <v>22</v>
      </c>
      <c r="F1198">
        <f t="shared" si="75"/>
        <v>1</v>
      </c>
      <c r="G1198">
        <f>VLOOKUP(E1198,Sheet1!$A$2:$B$25,2,FALSE)</f>
        <v>0</v>
      </c>
    </row>
    <row r="1199" spans="1:7" x14ac:dyDescent="0.25">
      <c r="A1199" s="11">
        <v>44586.958333333336</v>
      </c>
      <c r="B1199" s="10">
        <v>354.24099999999999</v>
      </c>
      <c r="C1199">
        <f t="shared" si="72"/>
        <v>2</v>
      </c>
      <c r="D1199">
        <f t="shared" si="73"/>
        <v>25</v>
      </c>
      <c r="E1199">
        <f t="shared" si="74"/>
        <v>23</v>
      </c>
      <c r="F1199">
        <f t="shared" si="75"/>
        <v>1</v>
      </c>
      <c r="G1199">
        <f>VLOOKUP(E1199,Sheet1!$A$2:$B$25,2,FALSE)</f>
        <v>0</v>
      </c>
    </row>
    <row r="1200" spans="1:7" x14ac:dyDescent="0.25">
      <c r="A1200" s="11">
        <v>44586.979166666664</v>
      </c>
      <c r="B1200" s="10">
        <v>351.476</v>
      </c>
      <c r="C1200">
        <f t="shared" si="72"/>
        <v>2</v>
      </c>
      <c r="D1200">
        <f t="shared" si="73"/>
        <v>25</v>
      </c>
      <c r="E1200">
        <f t="shared" si="74"/>
        <v>23</v>
      </c>
      <c r="F1200">
        <f t="shared" si="75"/>
        <v>1</v>
      </c>
      <c r="G1200">
        <f>VLOOKUP(E1200,Sheet1!$A$2:$B$25,2,FALSE)</f>
        <v>0</v>
      </c>
    </row>
    <row r="1201" spans="1:7" x14ac:dyDescent="0.25">
      <c r="A1201" s="11">
        <v>44587</v>
      </c>
      <c r="B1201" s="10">
        <v>358.10500000000002</v>
      </c>
      <c r="C1201">
        <f t="shared" si="72"/>
        <v>3</v>
      </c>
      <c r="D1201">
        <f t="shared" si="73"/>
        <v>26</v>
      </c>
      <c r="E1201">
        <f t="shared" si="74"/>
        <v>0</v>
      </c>
      <c r="F1201">
        <f t="shared" si="75"/>
        <v>1</v>
      </c>
      <c r="G1201">
        <f>VLOOKUP(E1201,Sheet1!$A$2:$B$25,2,FALSE)</f>
        <v>0</v>
      </c>
    </row>
    <row r="1202" spans="1:7" x14ac:dyDescent="0.25">
      <c r="A1202" s="11">
        <v>44587.020833333336</v>
      </c>
      <c r="B1202" s="10">
        <v>358.55599999999998</v>
      </c>
      <c r="C1202">
        <f t="shared" si="72"/>
        <v>3</v>
      </c>
      <c r="D1202">
        <f t="shared" si="73"/>
        <v>26</v>
      </c>
      <c r="E1202">
        <f t="shared" si="74"/>
        <v>0</v>
      </c>
      <c r="F1202">
        <f t="shared" si="75"/>
        <v>1</v>
      </c>
      <c r="G1202">
        <f>VLOOKUP(E1202,Sheet1!$A$2:$B$25,2,FALSE)</f>
        <v>0</v>
      </c>
    </row>
    <row r="1203" spans="1:7" x14ac:dyDescent="0.25">
      <c r="A1203" s="11">
        <v>44587.041666666664</v>
      </c>
      <c r="B1203" s="10">
        <v>356.99599999999998</v>
      </c>
      <c r="C1203">
        <f t="shared" si="72"/>
        <v>3</v>
      </c>
      <c r="D1203">
        <f t="shared" si="73"/>
        <v>26</v>
      </c>
      <c r="E1203">
        <f t="shared" si="74"/>
        <v>1</v>
      </c>
      <c r="F1203">
        <f t="shared" si="75"/>
        <v>1</v>
      </c>
      <c r="G1203">
        <f>VLOOKUP(E1203,Sheet1!$A$2:$B$25,2,FALSE)</f>
        <v>0</v>
      </c>
    </row>
    <row r="1204" spans="1:7" x14ac:dyDescent="0.25">
      <c r="A1204" s="11">
        <v>44587.0625</v>
      </c>
      <c r="B1204" s="10">
        <v>359.52100000000002</v>
      </c>
      <c r="C1204">
        <f t="shared" si="72"/>
        <v>3</v>
      </c>
      <c r="D1204">
        <f t="shared" si="73"/>
        <v>26</v>
      </c>
      <c r="E1204">
        <f t="shared" si="74"/>
        <v>1</v>
      </c>
      <c r="F1204">
        <f t="shared" si="75"/>
        <v>1</v>
      </c>
      <c r="G1204">
        <f>VLOOKUP(E1204,Sheet1!$A$2:$B$25,2,FALSE)</f>
        <v>0</v>
      </c>
    </row>
    <row r="1205" spans="1:7" x14ac:dyDescent="0.25">
      <c r="A1205" s="11">
        <v>44587.083333333336</v>
      </c>
      <c r="B1205" s="10">
        <v>356.78</v>
      </c>
      <c r="C1205">
        <f t="shared" si="72"/>
        <v>3</v>
      </c>
      <c r="D1205">
        <f t="shared" si="73"/>
        <v>26</v>
      </c>
      <c r="E1205">
        <f t="shared" si="74"/>
        <v>2</v>
      </c>
      <c r="F1205">
        <f t="shared" si="75"/>
        <v>1</v>
      </c>
      <c r="G1205">
        <f>VLOOKUP(E1205,Sheet1!$A$2:$B$25,2,FALSE)</f>
        <v>0</v>
      </c>
    </row>
    <row r="1206" spans="1:7" x14ac:dyDescent="0.25">
      <c r="A1206" s="11">
        <v>44587.104166666664</v>
      </c>
      <c r="B1206" s="10">
        <v>362.42500000000001</v>
      </c>
      <c r="C1206">
        <f t="shared" si="72"/>
        <v>3</v>
      </c>
      <c r="D1206">
        <f t="shared" si="73"/>
        <v>26</v>
      </c>
      <c r="E1206">
        <f t="shared" si="74"/>
        <v>2</v>
      </c>
      <c r="F1206">
        <f t="shared" si="75"/>
        <v>1</v>
      </c>
      <c r="G1206">
        <f>VLOOKUP(E1206,Sheet1!$A$2:$B$25,2,FALSE)</f>
        <v>0</v>
      </c>
    </row>
    <row r="1207" spans="1:7" x14ac:dyDescent="0.25">
      <c r="A1207" s="11">
        <v>44587.125</v>
      </c>
      <c r="B1207" s="10">
        <v>364.916</v>
      </c>
      <c r="C1207">
        <f t="shared" si="72"/>
        <v>3</v>
      </c>
      <c r="D1207">
        <f t="shared" si="73"/>
        <v>26</v>
      </c>
      <c r="E1207">
        <f t="shared" si="74"/>
        <v>3</v>
      </c>
      <c r="F1207">
        <f t="shared" si="75"/>
        <v>1</v>
      </c>
      <c r="G1207">
        <f>VLOOKUP(E1207,Sheet1!$A$2:$B$25,2,FALSE)</f>
        <v>0</v>
      </c>
    </row>
    <row r="1208" spans="1:7" x14ac:dyDescent="0.25">
      <c r="A1208" s="11">
        <v>44587.145833333336</v>
      </c>
      <c r="B1208" s="10">
        <v>363.02499999999998</v>
      </c>
      <c r="C1208">
        <f t="shared" si="72"/>
        <v>3</v>
      </c>
      <c r="D1208">
        <f t="shared" si="73"/>
        <v>26</v>
      </c>
      <c r="E1208">
        <f t="shared" si="74"/>
        <v>3</v>
      </c>
      <c r="F1208">
        <f t="shared" si="75"/>
        <v>1</v>
      </c>
      <c r="G1208">
        <f>VLOOKUP(E1208,Sheet1!$A$2:$B$25,2,FALSE)</f>
        <v>0</v>
      </c>
    </row>
    <row r="1209" spans="1:7" x14ac:dyDescent="0.25">
      <c r="A1209" s="11">
        <v>44587.166666666664</v>
      </c>
      <c r="B1209" s="10">
        <v>386.51600000000002</v>
      </c>
      <c r="C1209">
        <f t="shared" si="72"/>
        <v>3</v>
      </c>
      <c r="D1209">
        <f t="shared" si="73"/>
        <v>26</v>
      </c>
      <c r="E1209">
        <f t="shared" si="74"/>
        <v>4</v>
      </c>
      <c r="F1209">
        <f t="shared" si="75"/>
        <v>1</v>
      </c>
      <c r="G1209">
        <f>VLOOKUP(E1209,Sheet1!$A$2:$B$25,2,FALSE)</f>
        <v>1</v>
      </c>
    </row>
    <row r="1210" spans="1:7" x14ac:dyDescent="0.25">
      <c r="A1210" s="11">
        <v>44587.1875</v>
      </c>
      <c r="B1210" s="10">
        <v>904.68100000000004</v>
      </c>
      <c r="C1210">
        <f t="shared" si="72"/>
        <v>3</v>
      </c>
      <c r="D1210">
        <f t="shared" si="73"/>
        <v>26</v>
      </c>
      <c r="E1210">
        <f t="shared" si="74"/>
        <v>4</v>
      </c>
      <c r="F1210">
        <f t="shared" si="75"/>
        <v>1</v>
      </c>
      <c r="G1210">
        <f>VLOOKUP(E1210,Sheet1!$A$2:$B$25,2,FALSE)</f>
        <v>1</v>
      </c>
    </row>
    <row r="1211" spans="1:7" x14ac:dyDescent="0.25">
      <c r="A1211" s="11">
        <v>44587.208333333336</v>
      </c>
      <c r="B1211" s="10">
        <v>692.06</v>
      </c>
      <c r="C1211">
        <f t="shared" si="72"/>
        <v>3</v>
      </c>
      <c r="D1211">
        <f t="shared" si="73"/>
        <v>26</v>
      </c>
      <c r="E1211">
        <f t="shared" si="74"/>
        <v>5</v>
      </c>
      <c r="F1211">
        <f t="shared" si="75"/>
        <v>1</v>
      </c>
      <c r="G1211">
        <f>VLOOKUP(E1211,Sheet1!$A$2:$B$25,2,FALSE)</f>
        <v>1</v>
      </c>
    </row>
    <row r="1212" spans="1:7" x14ac:dyDescent="0.25">
      <c r="A1212" s="11">
        <v>44587.229166666664</v>
      </c>
      <c r="B1212" s="10">
        <v>705.23599999999999</v>
      </c>
      <c r="C1212">
        <f t="shared" si="72"/>
        <v>3</v>
      </c>
      <c r="D1212">
        <f t="shared" si="73"/>
        <v>26</v>
      </c>
      <c r="E1212">
        <f t="shared" si="74"/>
        <v>5</v>
      </c>
      <c r="F1212">
        <f t="shared" si="75"/>
        <v>1</v>
      </c>
      <c r="G1212">
        <f>VLOOKUP(E1212,Sheet1!$A$2:$B$25,2,FALSE)</f>
        <v>1</v>
      </c>
    </row>
    <row r="1213" spans="1:7" x14ac:dyDescent="0.25">
      <c r="A1213" s="11">
        <v>44587.25</v>
      </c>
      <c r="B1213" s="10">
        <v>787.46500000000003</v>
      </c>
      <c r="C1213">
        <f t="shared" si="72"/>
        <v>3</v>
      </c>
      <c r="D1213">
        <f t="shared" si="73"/>
        <v>26</v>
      </c>
      <c r="E1213">
        <f t="shared" si="74"/>
        <v>6</v>
      </c>
      <c r="F1213">
        <f t="shared" si="75"/>
        <v>1</v>
      </c>
      <c r="G1213">
        <f>VLOOKUP(E1213,Sheet1!$A$2:$B$25,2,FALSE)</f>
        <v>1</v>
      </c>
    </row>
    <row r="1214" spans="1:7" x14ac:dyDescent="0.25">
      <c r="A1214" s="11">
        <v>44587.270833333336</v>
      </c>
      <c r="B1214" s="10">
        <v>853.82</v>
      </c>
      <c r="C1214">
        <f t="shared" si="72"/>
        <v>3</v>
      </c>
      <c r="D1214">
        <f t="shared" si="73"/>
        <v>26</v>
      </c>
      <c r="E1214">
        <f t="shared" si="74"/>
        <v>6</v>
      </c>
      <c r="F1214">
        <f t="shared" si="75"/>
        <v>1</v>
      </c>
      <c r="G1214">
        <f>VLOOKUP(E1214,Sheet1!$A$2:$B$25,2,FALSE)</f>
        <v>1</v>
      </c>
    </row>
    <row r="1215" spans="1:7" x14ac:dyDescent="0.25">
      <c r="A1215" s="11">
        <v>44587.291666666664</v>
      </c>
      <c r="B1215" s="10">
        <v>883.43600000000004</v>
      </c>
      <c r="C1215">
        <f t="shared" si="72"/>
        <v>3</v>
      </c>
      <c r="D1215">
        <f t="shared" si="73"/>
        <v>26</v>
      </c>
      <c r="E1215">
        <f t="shared" si="74"/>
        <v>7</v>
      </c>
      <c r="F1215">
        <f t="shared" si="75"/>
        <v>1</v>
      </c>
      <c r="G1215">
        <f>VLOOKUP(E1215,Sheet1!$A$2:$B$25,2,FALSE)</f>
        <v>1</v>
      </c>
    </row>
    <row r="1216" spans="1:7" x14ac:dyDescent="0.25">
      <c r="A1216" s="11">
        <v>44587.3125</v>
      </c>
      <c r="B1216" s="10">
        <v>902.15599999999995</v>
      </c>
      <c r="C1216">
        <f t="shared" si="72"/>
        <v>3</v>
      </c>
      <c r="D1216">
        <f t="shared" si="73"/>
        <v>26</v>
      </c>
      <c r="E1216">
        <f t="shared" si="74"/>
        <v>7</v>
      </c>
      <c r="F1216">
        <f t="shared" si="75"/>
        <v>1</v>
      </c>
      <c r="G1216">
        <f>VLOOKUP(E1216,Sheet1!$A$2:$B$25,2,FALSE)</f>
        <v>1</v>
      </c>
    </row>
    <row r="1217" spans="1:7" x14ac:dyDescent="0.25">
      <c r="A1217" s="11">
        <v>44587.333333333336</v>
      </c>
      <c r="B1217" s="10">
        <v>906.86</v>
      </c>
      <c r="C1217">
        <f t="shared" si="72"/>
        <v>3</v>
      </c>
      <c r="D1217">
        <f t="shared" si="73"/>
        <v>26</v>
      </c>
      <c r="E1217">
        <f t="shared" si="74"/>
        <v>8</v>
      </c>
      <c r="F1217">
        <f t="shared" si="75"/>
        <v>1</v>
      </c>
      <c r="G1217">
        <f>VLOOKUP(E1217,Sheet1!$A$2:$B$25,2,FALSE)</f>
        <v>1</v>
      </c>
    </row>
    <row r="1218" spans="1:7" x14ac:dyDescent="0.25">
      <c r="A1218" s="11">
        <v>44587.354166666664</v>
      </c>
      <c r="B1218" s="10">
        <v>883.79600000000005</v>
      </c>
      <c r="C1218">
        <f t="shared" ref="C1218:C1281" si="76">WEEKDAY(A1218,2)</f>
        <v>3</v>
      </c>
      <c r="D1218">
        <f t="shared" ref="D1218:D1281" si="77">DAY(A1218)</f>
        <v>26</v>
      </c>
      <c r="E1218">
        <f t="shared" ref="E1218:E1281" si="78">HOUR(A1218)</f>
        <v>8</v>
      </c>
      <c r="F1218">
        <f t="shared" si="75"/>
        <v>1</v>
      </c>
      <c r="G1218">
        <f>VLOOKUP(E1218,Sheet1!$A$2:$B$25,2,FALSE)</f>
        <v>1</v>
      </c>
    </row>
    <row r="1219" spans="1:7" x14ac:dyDescent="0.25">
      <c r="A1219" s="11">
        <v>44587.375</v>
      </c>
      <c r="B1219" s="10">
        <v>923.30499999999995</v>
      </c>
      <c r="C1219">
        <f t="shared" si="76"/>
        <v>3</v>
      </c>
      <c r="D1219">
        <f t="shared" si="77"/>
        <v>26</v>
      </c>
      <c r="E1219">
        <f t="shared" si="78"/>
        <v>9</v>
      </c>
      <c r="F1219">
        <f t="shared" ref="F1219:F1282" si="79">IF(C1219&gt;=6,0,1)</f>
        <v>1</v>
      </c>
      <c r="G1219">
        <f>VLOOKUP(E1219,Sheet1!$A$2:$B$25,2,FALSE)</f>
        <v>1</v>
      </c>
    </row>
    <row r="1220" spans="1:7" x14ac:dyDescent="0.25">
      <c r="A1220" s="11">
        <v>44587.395833333336</v>
      </c>
      <c r="B1220" s="10">
        <v>923.87599999999998</v>
      </c>
      <c r="C1220">
        <f t="shared" si="76"/>
        <v>3</v>
      </c>
      <c r="D1220">
        <f t="shared" si="77"/>
        <v>26</v>
      </c>
      <c r="E1220">
        <f t="shared" si="78"/>
        <v>9</v>
      </c>
      <c r="F1220">
        <f t="shared" si="79"/>
        <v>1</v>
      </c>
      <c r="G1220">
        <f>VLOOKUP(E1220,Sheet1!$A$2:$B$25,2,FALSE)</f>
        <v>1</v>
      </c>
    </row>
    <row r="1221" spans="1:7" x14ac:dyDescent="0.25">
      <c r="A1221" s="11">
        <v>44587.416666666664</v>
      </c>
      <c r="B1221" s="10">
        <v>872.66</v>
      </c>
      <c r="C1221">
        <f t="shared" si="76"/>
        <v>3</v>
      </c>
      <c r="D1221">
        <f t="shared" si="77"/>
        <v>26</v>
      </c>
      <c r="E1221">
        <f t="shared" si="78"/>
        <v>10</v>
      </c>
      <c r="F1221">
        <f t="shared" si="79"/>
        <v>1</v>
      </c>
      <c r="G1221">
        <f>VLOOKUP(E1221,Sheet1!$A$2:$B$25,2,FALSE)</f>
        <v>1</v>
      </c>
    </row>
    <row r="1222" spans="1:7" x14ac:dyDescent="0.25">
      <c r="A1222" s="11">
        <v>44587.4375</v>
      </c>
      <c r="B1222" s="10">
        <v>740.51599999999996</v>
      </c>
      <c r="C1222">
        <f t="shared" si="76"/>
        <v>3</v>
      </c>
      <c r="D1222">
        <f t="shared" si="77"/>
        <v>26</v>
      </c>
      <c r="E1222">
        <f t="shared" si="78"/>
        <v>10</v>
      </c>
      <c r="F1222">
        <f t="shared" si="79"/>
        <v>1</v>
      </c>
      <c r="G1222">
        <f>VLOOKUP(E1222,Sheet1!$A$2:$B$25,2,FALSE)</f>
        <v>1</v>
      </c>
    </row>
    <row r="1223" spans="1:7" x14ac:dyDescent="0.25">
      <c r="A1223" s="11">
        <v>44587.458333333336</v>
      </c>
      <c r="B1223" s="10">
        <v>740.03599999999994</v>
      </c>
      <c r="C1223">
        <f t="shared" si="76"/>
        <v>3</v>
      </c>
      <c r="D1223">
        <f t="shared" si="77"/>
        <v>26</v>
      </c>
      <c r="E1223">
        <f t="shared" si="78"/>
        <v>11</v>
      </c>
      <c r="F1223">
        <f t="shared" si="79"/>
        <v>1</v>
      </c>
      <c r="G1223">
        <f>VLOOKUP(E1223,Sheet1!$A$2:$B$25,2,FALSE)</f>
        <v>1</v>
      </c>
    </row>
    <row r="1224" spans="1:7" x14ac:dyDescent="0.25">
      <c r="A1224" s="11">
        <v>44587.479166666664</v>
      </c>
      <c r="B1224" s="10">
        <v>673.20100000000002</v>
      </c>
      <c r="C1224">
        <f t="shared" si="76"/>
        <v>3</v>
      </c>
      <c r="D1224">
        <f t="shared" si="77"/>
        <v>26</v>
      </c>
      <c r="E1224">
        <f t="shared" si="78"/>
        <v>11</v>
      </c>
      <c r="F1224">
        <f t="shared" si="79"/>
        <v>1</v>
      </c>
      <c r="G1224">
        <f>VLOOKUP(E1224,Sheet1!$A$2:$B$25,2,FALSE)</f>
        <v>1</v>
      </c>
    </row>
    <row r="1225" spans="1:7" x14ac:dyDescent="0.25">
      <c r="A1225" s="11">
        <v>44587.5</v>
      </c>
      <c r="B1225" s="10">
        <v>685.19600000000003</v>
      </c>
      <c r="C1225">
        <f t="shared" si="76"/>
        <v>3</v>
      </c>
      <c r="D1225">
        <f t="shared" si="77"/>
        <v>26</v>
      </c>
      <c r="E1225">
        <f t="shared" si="78"/>
        <v>12</v>
      </c>
      <c r="F1225">
        <f t="shared" si="79"/>
        <v>1</v>
      </c>
      <c r="G1225">
        <f>VLOOKUP(E1225,Sheet1!$A$2:$B$25,2,FALSE)</f>
        <v>1</v>
      </c>
    </row>
    <row r="1226" spans="1:7" x14ac:dyDescent="0.25">
      <c r="A1226" s="11">
        <v>44587.520833333336</v>
      </c>
      <c r="B1226" s="10">
        <v>721.43600000000004</v>
      </c>
      <c r="C1226">
        <f t="shared" si="76"/>
        <v>3</v>
      </c>
      <c r="D1226">
        <f t="shared" si="77"/>
        <v>26</v>
      </c>
      <c r="E1226">
        <f t="shared" si="78"/>
        <v>12</v>
      </c>
      <c r="F1226">
        <f t="shared" si="79"/>
        <v>1</v>
      </c>
      <c r="G1226">
        <f>VLOOKUP(E1226,Sheet1!$A$2:$B$25,2,FALSE)</f>
        <v>1</v>
      </c>
    </row>
    <row r="1227" spans="1:7" x14ac:dyDescent="0.25">
      <c r="A1227" s="11">
        <v>44587.541666666664</v>
      </c>
      <c r="B1227" s="10">
        <v>765.74</v>
      </c>
      <c r="C1227">
        <f t="shared" si="76"/>
        <v>3</v>
      </c>
      <c r="D1227">
        <f t="shared" si="77"/>
        <v>26</v>
      </c>
      <c r="E1227">
        <f t="shared" si="78"/>
        <v>13</v>
      </c>
      <c r="F1227">
        <f t="shared" si="79"/>
        <v>1</v>
      </c>
      <c r="G1227">
        <f>VLOOKUP(E1227,Sheet1!$A$2:$B$25,2,FALSE)</f>
        <v>1</v>
      </c>
    </row>
    <row r="1228" spans="1:7" x14ac:dyDescent="0.25">
      <c r="A1228" s="11">
        <v>44587.5625</v>
      </c>
      <c r="B1228" s="10">
        <v>783.721</v>
      </c>
      <c r="C1228">
        <f t="shared" si="76"/>
        <v>3</v>
      </c>
      <c r="D1228">
        <f t="shared" si="77"/>
        <v>26</v>
      </c>
      <c r="E1228">
        <f t="shared" si="78"/>
        <v>13</v>
      </c>
      <c r="F1228">
        <f t="shared" si="79"/>
        <v>1</v>
      </c>
      <c r="G1228">
        <f>VLOOKUP(E1228,Sheet1!$A$2:$B$25,2,FALSE)</f>
        <v>1</v>
      </c>
    </row>
    <row r="1229" spans="1:7" x14ac:dyDescent="0.25">
      <c r="A1229" s="11">
        <v>44587.583333333336</v>
      </c>
      <c r="B1229" s="10">
        <v>664.31600000000003</v>
      </c>
      <c r="C1229">
        <f t="shared" si="76"/>
        <v>3</v>
      </c>
      <c r="D1229">
        <f t="shared" si="77"/>
        <v>26</v>
      </c>
      <c r="E1229">
        <f t="shared" si="78"/>
        <v>14</v>
      </c>
      <c r="F1229">
        <f t="shared" si="79"/>
        <v>1</v>
      </c>
      <c r="G1229">
        <f>VLOOKUP(E1229,Sheet1!$A$2:$B$25,2,FALSE)</f>
        <v>1</v>
      </c>
    </row>
    <row r="1230" spans="1:7" x14ac:dyDescent="0.25">
      <c r="A1230" s="11">
        <v>44587.604166666664</v>
      </c>
      <c r="B1230" s="10">
        <v>583.19600000000003</v>
      </c>
      <c r="C1230">
        <f t="shared" si="76"/>
        <v>3</v>
      </c>
      <c r="D1230">
        <f t="shared" si="77"/>
        <v>26</v>
      </c>
      <c r="E1230">
        <f t="shared" si="78"/>
        <v>14</v>
      </c>
      <c r="F1230">
        <f t="shared" si="79"/>
        <v>1</v>
      </c>
      <c r="G1230">
        <f>VLOOKUP(E1230,Sheet1!$A$2:$B$25,2,FALSE)</f>
        <v>1</v>
      </c>
    </row>
    <row r="1231" spans="1:7" x14ac:dyDescent="0.25">
      <c r="A1231" s="11">
        <v>44587.625</v>
      </c>
      <c r="B1231" s="10">
        <v>558.26499999999999</v>
      </c>
      <c r="C1231">
        <f t="shared" si="76"/>
        <v>3</v>
      </c>
      <c r="D1231">
        <f t="shared" si="77"/>
        <v>26</v>
      </c>
      <c r="E1231">
        <f t="shared" si="78"/>
        <v>15</v>
      </c>
      <c r="F1231">
        <f t="shared" si="79"/>
        <v>1</v>
      </c>
      <c r="G1231">
        <f>VLOOKUP(E1231,Sheet1!$A$2:$B$25,2,FALSE)</f>
        <v>1</v>
      </c>
    </row>
    <row r="1232" spans="1:7" x14ac:dyDescent="0.25">
      <c r="A1232" s="11">
        <v>44587.645833333336</v>
      </c>
      <c r="B1232" s="10">
        <v>530.05999999999995</v>
      </c>
      <c r="C1232">
        <f t="shared" si="76"/>
        <v>3</v>
      </c>
      <c r="D1232">
        <f t="shared" si="77"/>
        <v>26</v>
      </c>
      <c r="E1232">
        <f t="shared" si="78"/>
        <v>15</v>
      </c>
      <c r="F1232">
        <f t="shared" si="79"/>
        <v>1</v>
      </c>
      <c r="G1232">
        <f>VLOOKUP(E1232,Sheet1!$A$2:$B$25,2,FALSE)</f>
        <v>1</v>
      </c>
    </row>
    <row r="1233" spans="1:7" x14ac:dyDescent="0.25">
      <c r="A1233" s="11">
        <v>44587.666666666664</v>
      </c>
      <c r="B1233" s="10">
        <v>489.35599999999999</v>
      </c>
      <c r="C1233">
        <f t="shared" si="76"/>
        <v>3</v>
      </c>
      <c r="D1233">
        <f t="shared" si="77"/>
        <v>26</v>
      </c>
      <c r="E1233">
        <f t="shared" si="78"/>
        <v>16</v>
      </c>
      <c r="F1233">
        <f t="shared" si="79"/>
        <v>1</v>
      </c>
      <c r="G1233">
        <f>VLOOKUP(E1233,Sheet1!$A$2:$B$25,2,FALSE)</f>
        <v>0</v>
      </c>
    </row>
    <row r="1234" spans="1:7" x14ac:dyDescent="0.25">
      <c r="A1234" s="11">
        <v>44587.6875</v>
      </c>
      <c r="B1234" s="10">
        <v>429.48099999999999</v>
      </c>
      <c r="C1234">
        <f t="shared" si="76"/>
        <v>3</v>
      </c>
      <c r="D1234">
        <f t="shared" si="77"/>
        <v>26</v>
      </c>
      <c r="E1234">
        <f t="shared" si="78"/>
        <v>16</v>
      </c>
      <c r="F1234">
        <f t="shared" si="79"/>
        <v>1</v>
      </c>
      <c r="G1234">
        <f>VLOOKUP(E1234,Sheet1!$A$2:$B$25,2,FALSE)</f>
        <v>0</v>
      </c>
    </row>
    <row r="1235" spans="1:7" x14ac:dyDescent="0.25">
      <c r="A1235" s="11">
        <v>44587.708333333336</v>
      </c>
      <c r="B1235" s="10">
        <v>434.78</v>
      </c>
      <c r="C1235">
        <f t="shared" si="76"/>
        <v>3</v>
      </c>
      <c r="D1235">
        <f t="shared" si="77"/>
        <v>26</v>
      </c>
      <c r="E1235">
        <f t="shared" si="78"/>
        <v>17</v>
      </c>
      <c r="F1235">
        <f t="shared" si="79"/>
        <v>1</v>
      </c>
      <c r="G1235">
        <f>VLOOKUP(E1235,Sheet1!$A$2:$B$25,2,FALSE)</f>
        <v>0</v>
      </c>
    </row>
    <row r="1236" spans="1:7" x14ac:dyDescent="0.25">
      <c r="A1236" s="11">
        <v>44587.729166666664</v>
      </c>
      <c r="B1236" s="10">
        <v>411.596</v>
      </c>
      <c r="C1236">
        <f t="shared" si="76"/>
        <v>3</v>
      </c>
      <c r="D1236">
        <f t="shared" si="77"/>
        <v>26</v>
      </c>
      <c r="E1236">
        <f t="shared" si="78"/>
        <v>17</v>
      </c>
      <c r="F1236">
        <f t="shared" si="79"/>
        <v>1</v>
      </c>
      <c r="G1236">
        <f>VLOOKUP(E1236,Sheet1!$A$2:$B$25,2,FALSE)</f>
        <v>0</v>
      </c>
    </row>
    <row r="1237" spans="1:7" x14ac:dyDescent="0.25">
      <c r="A1237" s="11">
        <v>44587.75</v>
      </c>
      <c r="B1237" s="10">
        <v>381.74</v>
      </c>
      <c r="C1237">
        <f t="shared" si="76"/>
        <v>3</v>
      </c>
      <c r="D1237">
        <f t="shared" si="77"/>
        <v>26</v>
      </c>
      <c r="E1237">
        <f t="shared" si="78"/>
        <v>18</v>
      </c>
      <c r="F1237">
        <f t="shared" si="79"/>
        <v>1</v>
      </c>
      <c r="G1237">
        <f>VLOOKUP(E1237,Sheet1!$A$2:$B$25,2,FALSE)</f>
        <v>0</v>
      </c>
    </row>
    <row r="1238" spans="1:7" x14ac:dyDescent="0.25">
      <c r="A1238" s="11">
        <v>44587.770833333336</v>
      </c>
      <c r="B1238" s="10">
        <v>378.74</v>
      </c>
      <c r="C1238">
        <f t="shared" si="76"/>
        <v>3</v>
      </c>
      <c r="D1238">
        <f t="shared" si="77"/>
        <v>26</v>
      </c>
      <c r="E1238">
        <f t="shared" si="78"/>
        <v>18</v>
      </c>
      <c r="F1238">
        <f t="shared" si="79"/>
        <v>1</v>
      </c>
      <c r="G1238">
        <f>VLOOKUP(E1238,Sheet1!$A$2:$B$25,2,FALSE)</f>
        <v>0</v>
      </c>
    </row>
    <row r="1239" spans="1:7" x14ac:dyDescent="0.25">
      <c r="A1239" s="11">
        <v>44587.791666666664</v>
      </c>
      <c r="B1239" s="10">
        <v>379.43599999999998</v>
      </c>
      <c r="C1239">
        <f t="shared" si="76"/>
        <v>3</v>
      </c>
      <c r="D1239">
        <f t="shared" si="77"/>
        <v>26</v>
      </c>
      <c r="E1239">
        <f t="shared" si="78"/>
        <v>19</v>
      </c>
      <c r="F1239">
        <f t="shared" si="79"/>
        <v>1</v>
      </c>
      <c r="G1239">
        <f>VLOOKUP(E1239,Sheet1!$A$2:$B$25,2,FALSE)</f>
        <v>0</v>
      </c>
    </row>
    <row r="1240" spans="1:7" x14ac:dyDescent="0.25">
      <c r="A1240" s="11">
        <v>44587.8125</v>
      </c>
      <c r="B1240" s="10">
        <v>369.98500000000001</v>
      </c>
      <c r="C1240">
        <f t="shared" si="76"/>
        <v>3</v>
      </c>
      <c r="D1240">
        <f t="shared" si="77"/>
        <v>26</v>
      </c>
      <c r="E1240">
        <f t="shared" si="78"/>
        <v>19</v>
      </c>
      <c r="F1240">
        <f t="shared" si="79"/>
        <v>1</v>
      </c>
      <c r="G1240">
        <f>VLOOKUP(E1240,Sheet1!$A$2:$B$25,2,FALSE)</f>
        <v>0</v>
      </c>
    </row>
    <row r="1241" spans="1:7" x14ac:dyDescent="0.25">
      <c r="A1241" s="11">
        <v>44587.833333333336</v>
      </c>
      <c r="B1241" s="10">
        <v>369.83600000000001</v>
      </c>
      <c r="C1241">
        <f t="shared" si="76"/>
        <v>3</v>
      </c>
      <c r="D1241">
        <f t="shared" si="77"/>
        <v>26</v>
      </c>
      <c r="E1241">
        <f t="shared" si="78"/>
        <v>20</v>
      </c>
      <c r="F1241">
        <f t="shared" si="79"/>
        <v>1</v>
      </c>
      <c r="G1241">
        <f>VLOOKUP(E1241,Sheet1!$A$2:$B$25,2,FALSE)</f>
        <v>0</v>
      </c>
    </row>
    <row r="1242" spans="1:7" x14ac:dyDescent="0.25">
      <c r="A1242" s="11">
        <v>44587.854166666664</v>
      </c>
      <c r="B1242" s="10">
        <v>363.83600000000001</v>
      </c>
      <c r="C1242">
        <f t="shared" si="76"/>
        <v>3</v>
      </c>
      <c r="D1242">
        <f t="shared" si="77"/>
        <v>26</v>
      </c>
      <c r="E1242">
        <f t="shared" si="78"/>
        <v>20</v>
      </c>
      <c r="F1242">
        <f t="shared" si="79"/>
        <v>1</v>
      </c>
      <c r="G1242">
        <f>VLOOKUP(E1242,Sheet1!$A$2:$B$25,2,FALSE)</f>
        <v>0</v>
      </c>
    </row>
    <row r="1243" spans="1:7" x14ac:dyDescent="0.25">
      <c r="A1243" s="11">
        <v>44587.875</v>
      </c>
      <c r="B1243" s="10">
        <v>362.39600000000002</v>
      </c>
      <c r="C1243">
        <f t="shared" si="76"/>
        <v>3</v>
      </c>
      <c r="D1243">
        <f t="shared" si="77"/>
        <v>26</v>
      </c>
      <c r="E1243">
        <f t="shared" si="78"/>
        <v>21</v>
      </c>
      <c r="F1243">
        <f t="shared" si="79"/>
        <v>1</v>
      </c>
      <c r="G1243">
        <f>VLOOKUP(E1243,Sheet1!$A$2:$B$25,2,FALSE)</f>
        <v>0</v>
      </c>
    </row>
    <row r="1244" spans="1:7" x14ac:dyDescent="0.25">
      <c r="A1244" s="11">
        <v>44587.895833333336</v>
      </c>
      <c r="B1244" s="10">
        <v>349.07600000000002</v>
      </c>
      <c r="C1244">
        <f t="shared" si="76"/>
        <v>3</v>
      </c>
      <c r="D1244">
        <f t="shared" si="77"/>
        <v>26</v>
      </c>
      <c r="E1244">
        <f t="shared" si="78"/>
        <v>21</v>
      </c>
      <c r="F1244">
        <f t="shared" si="79"/>
        <v>1</v>
      </c>
      <c r="G1244">
        <f>VLOOKUP(E1244,Sheet1!$A$2:$B$25,2,FALSE)</f>
        <v>0</v>
      </c>
    </row>
    <row r="1245" spans="1:7" x14ac:dyDescent="0.25">
      <c r="A1245" s="11">
        <v>44587.916666666664</v>
      </c>
      <c r="B1245" s="10">
        <v>359.88099999999997</v>
      </c>
      <c r="C1245">
        <f t="shared" si="76"/>
        <v>3</v>
      </c>
      <c r="D1245">
        <f t="shared" si="77"/>
        <v>26</v>
      </c>
      <c r="E1245">
        <f t="shared" si="78"/>
        <v>22</v>
      </c>
      <c r="F1245">
        <f t="shared" si="79"/>
        <v>1</v>
      </c>
      <c r="G1245">
        <f>VLOOKUP(E1245,Sheet1!$A$2:$B$25,2,FALSE)</f>
        <v>0</v>
      </c>
    </row>
    <row r="1246" spans="1:7" x14ac:dyDescent="0.25">
      <c r="A1246" s="11">
        <v>44587.9375</v>
      </c>
      <c r="B1246" s="10">
        <v>348.71600000000001</v>
      </c>
      <c r="C1246">
        <f t="shared" si="76"/>
        <v>3</v>
      </c>
      <c r="D1246">
        <f t="shared" si="77"/>
        <v>26</v>
      </c>
      <c r="E1246">
        <f t="shared" si="78"/>
        <v>22</v>
      </c>
      <c r="F1246">
        <f t="shared" si="79"/>
        <v>1</v>
      </c>
      <c r="G1246">
        <f>VLOOKUP(E1246,Sheet1!$A$2:$B$25,2,FALSE)</f>
        <v>0</v>
      </c>
    </row>
    <row r="1247" spans="1:7" x14ac:dyDescent="0.25">
      <c r="A1247" s="11">
        <v>44587.958333333336</v>
      </c>
      <c r="B1247" s="10">
        <v>346.07600000000002</v>
      </c>
      <c r="C1247">
        <f t="shared" si="76"/>
        <v>3</v>
      </c>
      <c r="D1247">
        <f t="shared" si="77"/>
        <v>26</v>
      </c>
      <c r="E1247">
        <f t="shared" si="78"/>
        <v>23</v>
      </c>
      <c r="F1247">
        <f t="shared" si="79"/>
        <v>1</v>
      </c>
      <c r="G1247">
        <f>VLOOKUP(E1247,Sheet1!$A$2:$B$25,2,FALSE)</f>
        <v>0</v>
      </c>
    </row>
    <row r="1248" spans="1:7" x14ac:dyDescent="0.25">
      <c r="A1248" s="11">
        <v>44587.979166666664</v>
      </c>
      <c r="B1248" s="10">
        <v>342.505</v>
      </c>
      <c r="C1248">
        <f t="shared" si="76"/>
        <v>3</v>
      </c>
      <c r="D1248">
        <f t="shared" si="77"/>
        <v>26</v>
      </c>
      <c r="E1248">
        <f t="shared" si="78"/>
        <v>23</v>
      </c>
      <c r="F1248">
        <f t="shared" si="79"/>
        <v>1</v>
      </c>
      <c r="G1248">
        <f>VLOOKUP(E1248,Sheet1!$A$2:$B$25,2,FALSE)</f>
        <v>0</v>
      </c>
    </row>
    <row r="1249" spans="1:7" x14ac:dyDescent="0.25">
      <c r="A1249" s="11">
        <v>44588</v>
      </c>
      <c r="B1249" s="10">
        <v>336.23599999999999</v>
      </c>
      <c r="C1249">
        <f t="shared" si="76"/>
        <v>4</v>
      </c>
      <c r="D1249">
        <f t="shared" si="77"/>
        <v>27</v>
      </c>
      <c r="E1249">
        <f t="shared" si="78"/>
        <v>0</v>
      </c>
      <c r="F1249">
        <f t="shared" si="79"/>
        <v>1</v>
      </c>
      <c r="G1249">
        <f>VLOOKUP(E1249,Sheet1!$A$2:$B$25,2,FALSE)</f>
        <v>0</v>
      </c>
    </row>
    <row r="1250" spans="1:7" x14ac:dyDescent="0.25">
      <c r="A1250" s="11">
        <v>44588.020833333336</v>
      </c>
      <c r="B1250" s="10">
        <v>335.99599999999998</v>
      </c>
      <c r="C1250">
        <f t="shared" si="76"/>
        <v>4</v>
      </c>
      <c r="D1250">
        <f t="shared" si="77"/>
        <v>27</v>
      </c>
      <c r="E1250">
        <f t="shared" si="78"/>
        <v>0</v>
      </c>
      <c r="F1250">
        <f t="shared" si="79"/>
        <v>1</v>
      </c>
      <c r="G1250">
        <f>VLOOKUP(E1250,Sheet1!$A$2:$B$25,2,FALSE)</f>
        <v>0</v>
      </c>
    </row>
    <row r="1251" spans="1:7" x14ac:dyDescent="0.25">
      <c r="A1251" s="11">
        <v>44588.041666666664</v>
      </c>
      <c r="B1251" s="10">
        <v>334.31599999999997</v>
      </c>
      <c r="C1251">
        <f t="shared" si="76"/>
        <v>4</v>
      </c>
      <c r="D1251">
        <f t="shared" si="77"/>
        <v>27</v>
      </c>
      <c r="E1251">
        <f t="shared" si="78"/>
        <v>1</v>
      </c>
      <c r="F1251">
        <f t="shared" si="79"/>
        <v>1</v>
      </c>
      <c r="G1251">
        <f>VLOOKUP(E1251,Sheet1!$A$2:$B$25,2,FALSE)</f>
        <v>0</v>
      </c>
    </row>
    <row r="1252" spans="1:7" x14ac:dyDescent="0.25">
      <c r="A1252" s="11">
        <v>44588.0625</v>
      </c>
      <c r="B1252" s="10">
        <v>335.9</v>
      </c>
      <c r="C1252">
        <f t="shared" si="76"/>
        <v>4</v>
      </c>
      <c r="D1252">
        <f t="shared" si="77"/>
        <v>27</v>
      </c>
      <c r="E1252">
        <f t="shared" si="78"/>
        <v>1</v>
      </c>
      <c r="F1252">
        <f t="shared" si="79"/>
        <v>1</v>
      </c>
      <c r="G1252">
        <f>VLOOKUP(E1252,Sheet1!$A$2:$B$25,2,FALSE)</f>
        <v>0</v>
      </c>
    </row>
    <row r="1253" spans="1:7" x14ac:dyDescent="0.25">
      <c r="A1253" s="11">
        <v>44588.083333333336</v>
      </c>
      <c r="B1253" s="10">
        <v>333.74</v>
      </c>
      <c r="C1253">
        <f t="shared" si="76"/>
        <v>4</v>
      </c>
      <c r="D1253">
        <f t="shared" si="77"/>
        <v>27</v>
      </c>
      <c r="E1253">
        <f t="shared" si="78"/>
        <v>2</v>
      </c>
      <c r="F1253">
        <f t="shared" si="79"/>
        <v>1</v>
      </c>
      <c r="G1253">
        <f>VLOOKUP(E1253,Sheet1!$A$2:$B$25,2,FALSE)</f>
        <v>0</v>
      </c>
    </row>
    <row r="1254" spans="1:7" x14ac:dyDescent="0.25">
      <c r="A1254" s="11">
        <v>44588.104166666664</v>
      </c>
      <c r="B1254" s="10">
        <v>339.12099999999998</v>
      </c>
      <c r="C1254">
        <f t="shared" si="76"/>
        <v>4</v>
      </c>
      <c r="D1254">
        <f t="shared" si="77"/>
        <v>27</v>
      </c>
      <c r="E1254">
        <f t="shared" si="78"/>
        <v>2</v>
      </c>
      <c r="F1254">
        <f t="shared" si="79"/>
        <v>1</v>
      </c>
      <c r="G1254">
        <f>VLOOKUP(E1254,Sheet1!$A$2:$B$25,2,FALSE)</f>
        <v>0</v>
      </c>
    </row>
    <row r="1255" spans="1:7" x14ac:dyDescent="0.25">
      <c r="A1255" s="11">
        <v>44588.125</v>
      </c>
      <c r="B1255" s="10">
        <v>336.35599999999999</v>
      </c>
      <c r="C1255">
        <f t="shared" si="76"/>
        <v>4</v>
      </c>
      <c r="D1255">
        <f t="shared" si="77"/>
        <v>27</v>
      </c>
      <c r="E1255">
        <f t="shared" si="78"/>
        <v>3</v>
      </c>
      <c r="F1255">
        <f t="shared" si="79"/>
        <v>1</v>
      </c>
      <c r="G1255">
        <f>VLOOKUP(E1255,Sheet1!$A$2:$B$25,2,FALSE)</f>
        <v>0</v>
      </c>
    </row>
    <row r="1256" spans="1:7" x14ac:dyDescent="0.25">
      <c r="A1256" s="11">
        <v>44588.145833333336</v>
      </c>
      <c r="B1256" s="10">
        <v>335.06</v>
      </c>
      <c r="C1256">
        <f t="shared" si="76"/>
        <v>4</v>
      </c>
      <c r="D1256">
        <f t="shared" si="77"/>
        <v>27</v>
      </c>
      <c r="E1256">
        <f t="shared" si="78"/>
        <v>3</v>
      </c>
      <c r="F1256">
        <f t="shared" si="79"/>
        <v>1</v>
      </c>
      <c r="G1256">
        <f>VLOOKUP(E1256,Sheet1!$A$2:$B$25,2,FALSE)</f>
        <v>0</v>
      </c>
    </row>
    <row r="1257" spans="1:7" x14ac:dyDescent="0.25">
      <c r="A1257" s="11">
        <v>44588.166666666664</v>
      </c>
      <c r="B1257" s="10">
        <v>341.065</v>
      </c>
      <c r="C1257">
        <f t="shared" si="76"/>
        <v>4</v>
      </c>
      <c r="D1257">
        <f t="shared" si="77"/>
        <v>27</v>
      </c>
      <c r="E1257">
        <f t="shared" si="78"/>
        <v>4</v>
      </c>
      <c r="F1257">
        <f t="shared" si="79"/>
        <v>1</v>
      </c>
      <c r="G1257">
        <f>VLOOKUP(E1257,Sheet1!$A$2:$B$25,2,FALSE)</f>
        <v>1</v>
      </c>
    </row>
    <row r="1258" spans="1:7" x14ac:dyDescent="0.25">
      <c r="A1258" s="11">
        <v>44588.1875</v>
      </c>
      <c r="B1258" s="10">
        <v>758.15599999999995</v>
      </c>
      <c r="C1258">
        <f t="shared" si="76"/>
        <v>4</v>
      </c>
      <c r="D1258">
        <f t="shared" si="77"/>
        <v>27</v>
      </c>
      <c r="E1258">
        <f t="shared" si="78"/>
        <v>4</v>
      </c>
      <c r="F1258">
        <f t="shared" si="79"/>
        <v>1</v>
      </c>
      <c r="G1258">
        <f>VLOOKUP(E1258,Sheet1!$A$2:$B$25,2,FALSE)</f>
        <v>1</v>
      </c>
    </row>
    <row r="1259" spans="1:7" x14ac:dyDescent="0.25">
      <c r="A1259" s="11">
        <v>44588.208333333336</v>
      </c>
      <c r="B1259" s="10">
        <v>860.39599999999996</v>
      </c>
      <c r="C1259">
        <f t="shared" si="76"/>
        <v>4</v>
      </c>
      <c r="D1259">
        <f t="shared" si="77"/>
        <v>27</v>
      </c>
      <c r="E1259">
        <f t="shared" si="78"/>
        <v>5</v>
      </c>
      <c r="F1259">
        <f t="shared" si="79"/>
        <v>1</v>
      </c>
      <c r="G1259">
        <f>VLOOKUP(E1259,Sheet1!$A$2:$B$25,2,FALSE)</f>
        <v>1</v>
      </c>
    </row>
    <row r="1260" spans="1:7" x14ac:dyDescent="0.25">
      <c r="A1260" s="11">
        <v>44588.229166666664</v>
      </c>
      <c r="B1260" s="10">
        <v>758.63599999999997</v>
      </c>
      <c r="C1260">
        <f t="shared" si="76"/>
        <v>4</v>
      </c>
      <c r="D1260">
        <f t="shared" si="77"/>
        <v>27</v>
      </c>
      <c r="E1260">
        <f t="shared" si="78"/>
        <v>5</v>
      </c>
      <c r="F1260">
        <f t="shared" si="79"/>
        <v>1</v>
      </c>
      <c r="G1260">
        <f>VLOOKUP(E1260,Sheet1!$A$2:$B$25,2,FALSE)</f>
        <v>1</v>
      </c>
    </row>
    <row r="1261" spans="1:7" x14ac:dyDescent="0.25">
      <c r="A1261" s="11">
        <v>44588.25</v>
      </c>
      <c r="B1261" s="10">
        <v>817.07600000000002</v>
      </c>
      <c r="C1261">
        <f t="shared" si="76"/>
        <v>4</v>
      </c>
      <c r="D1261">
        <f t="shared" si="77"/>
        <v>27</v>
      </c>
      <c r="E1261">
        <f t="shared" si="78"/>
        <v>6</v>
      </c>
      <c r="F1261">
        <f t="shared" si="79"/>
        <v>1</v>
      </c>
      <c r="G1261">
        <f>VLOOKUP(E1261,Sheet1!$A$2:$B$25,2,FALSE)</f>
        <v>1</v>
      </c>
    </row>
    <row r="1262" spans="1:7" x14ac:dyDescent="0.25">
      <c r="A1262" s="11">
        <v>44588.270833333336</v>
      </c>
      <c r="B1262" s="10">
        <v>938.54499999999996</v>
      </c>
      <c r="C1262">
        <f t="shared" si="76"/>
        <v>4</v>
      </c>
      <c r="D1262">
        <f t="shared" si="77"/>
        <v>27</v>
      </c>
      <c r="E1262">
        <f t="shared" si="78"/>
        <v>6</v>
      </c>
      <c r="F1262">
        <f t="shared" si="79"/>
        <v>1</v>
      </c>
      <c r="G1262">
        <f>VLOOKUP(E1262,Sheet1!$A$2:$B$25,2,FALSE)</f>
        <v>1</v>
      </c>
    </row>
    <row r="1263" spans="1:7" x14ac:dyDescent="0.25">
      <c r="A1263" s="11">
        <v>44588.291666666664</v>
      </c>
      <c r="B1263" s="10">
        <v>963.02</v>
      </c>
      <c r="C1263">
        <f t="shared" si="76"/>
        <v>4</v>
      </c>
      <c r="D1263">
        <f t="shared" si="77"/>
        <v>27</v>
      </c>
      <c r="E1263">
        <f t="shared" si="78"/>
        <v>7</v>
      </c>
      <c r="F1263">
        <f t="shared" si="79"/>
        <v>1</v>
      </c>
      <c r="G1263">
        <f>VLOOKUP(E1263,Sheet1!$A$2:$B$25,2,FALSE)</f>
        <v>1</v>
      </c>
    </row>
    <row r="1264" spans="1:7" x14ac:dyDescent="0.25">
      <c r="A1264" s="11">
        <v>44588.3125</v>
      </c>
      <c r="B1264" s="10">
        <v>936.38</v>
      </c>
      <c r="C1264">
        <f t="shared" si="76"/>
        <v>4</v>
      </c>
      <c r="D1264">
        <f t="shared" si="77"/>
        <v>27</v>
      </c>
      <c r="E1264">
        <f t="shared" si="78"/>
        <v>7</v>
      </c>
      <c r="F1264">
        <f t="shared" si="79"/>
        <v>1</v>
      </c>
      <c r="G1264">
        <f>VLOOKUP(E1264,Sheet1!$A$2:$B$25,2,FALSE)</f>
        <v>1</v>
      </c>
    </row>
    <row r="1265" spans="1:7" x14ac:dyDescent="0.25">
      <c r="A1265" s="11">
        <v>44588.333333333336</v>
      </c>
      <c r="B1265" s="10">
        <v>915.84100000000001</v>
      </c>
      <c r="C1265">
        <f t="shared" si="76"/>
        <v>4</v>
      </c>
      <c r="D1265">
        <f t="shared" si="77"/>
        <v>27</v>
      </c>
      <c r="E1265">
        <f t="shared" si="78"/>
        <v>8</v>
      </c>
      <c r="F1265">
        <f t="shared" si="79"/>
        <v>1</v>
      </c>
      <c r="G1265">
        <f>VLOOKUP(E1265,Sheet1!$A$2:$B$25,2,FALSE)</f>
        <v>1</v>
      </c>
    </row>
    <row r="1266" spans="1:7" x14ac:dyDescent="0.25">
      <c r="A1266" s="11">
        <v>44588.354166666664</v>
      </c>
      <c r="B1266" s="10">
        <v>886.22</v>
      </c>
      <c r="C1266">
        <f t="shared" si="76"/>
        <v>4</v>
      </c>
      <c r="D1266">
        <f t="shared" si="77"/>
        <v>27</v>
      </c>
      <c r="E1266">
        <f t="shared" si="78"/>
        <v>8</v>
      </c>
      <c r="F1266">
        <f t="shared" si="79"/>
        <v>1</v>
      </c>
      <c r="G1266">
        <f>VLOOKUP(E1266,Sheet1!$A$2:$B$25,2,FALSE)</f>
        <v>1</v>
      </c>
    </row>
    <row r="1267" spans="1:7" x14ac:dyDescent="0.25">
      <c r="A1267" s="11">
        <v>44588.375</v>
      </c>
      <c r="B1267" s="10">
        <v>1010.66</v>
      </c>
      <c r="C1267">
        <f t="shared" si="76"/>
        <v>4</v>
      </c>
      <c r="D1267">
        <f t="shared" si="77"/>
        <v>27</v>
      </c>
      <c r="E1267">
        <f t="shared" si="78"/>
        <v>9</v>
      </c>
      <c r="F1267">
        <f t="shared" si="79"/>
        <v>1</v>
      </c>
      <c r="G1267">
        <f>VLOOKUP(E1267,Sheet1!$A$2:$B$25,2,FALSE)</f>
        <v>1</v>
      </c>
    </row>
    <row r="1268" spans="1:7" x14ac:dyDescent="0.25">
      <c r="A1268" s="11">
        <v>44588.395833333336</v>
      </c>
      <c r="B1268" s="10">
        <v>1030.0999999999999</v>
      </c>
      <c r="C1268">
        <f t="shared" si="76"/>
        <v>4</v>
      </c>
      <c r="D1268">
        <f t="shared" si="77"/>
        <v>27</v>
      </c>
      <c r="E1268">
        <f t="shared" si="78"/>
        <v>9</v>
      </c>
      <c r="F1268">
        <f t="shared" si="79"/>
        <v>1</v>
      </c>
      <c r="G1268">
        <f>VLOOKUP(E1268,Sheet1!$A$2:$B$25,2,FALSE)</f>
        <v>1</v>
      </c>
    </row>
    <row r="1269" spans="1:7" x14ac:dyDescent="0.25">
      <c r="A1269" s="11">
        <v>44588.416666666664</v>
      </c>
      <c r="B1269" s="10">
        <v>1031.425</v>
      </c>
      <c r="C1269">
        <f t="shared" si="76"/>
        <v>4</v>
      </c>
      <c r="D1269">
        <f t="shared" si="77"/>
        <v>27</v>
      </c>
      <c r="E1269">
        <f t="shared" si="78"/>
        <v>10</v>
      </c>
      <c r="F1269">
        <f t="shared" si="79"/>
        <v>1</v>
      </c>
      <c r="G1269">
        <f>VLOOKUP(E1269,Sheet1!$A$2:$B$25,2,FALSE)</f>
        <v>1</v>
      </c>
    </row>
    <row r="1270" spans="1:7" x14ac:dyDescent="0.25">
      <c r="A1270" s="11">
        <v>44588.4375</v>
      </c>
      <c r="B1270" s="10">
        <v>1002.38</v>
      </c>
      <c r="C1270">
        <f t="shared" si="76"/>
        <v>4</v>
      </c>
      <c r="D1270">
        <f t="shared" si="77"/>
        <v>27</v>
      </c>
      <c r="E1270">
        <f t="shared" si="78"/>
        <v>10</v>
      </c>
      <c r="F1270">
        <f t="shared" si="79"/>
        <v>1</v>
      </c>
      <c r="G1270">
        <f>VLOOKUP(E1270,Sheet1!$A$2:$B$25,2,FALSE)</f>
        <v>1</v>
      </c>
    </row>
    <row r="1271" spans="1:7" x14ac:dyDescent="0.25">
      <c r="A1271" s="11">
        <v>44588.458333333336</v>
      </c>
      <c r="B1271" s="10">
        <v>966.83600000000001</v>
      </c>
      <c r="C1271">
        <f t="shared" si="76"/>
        <v>4</v>
      </c>
      <c r="D1271">
        <f t="shared" si="77"/>
        <v>27</v>
      </c>
      <c r="E1271">
        <f t="shared" si="78"/>
        <v>11</v>
      </c>
      <c r="F1271">
        <f t="shared" si="79"/>
        <v>1</v>
      </c>
      <c r="G1271">
        <f>VLOOKUP(E1271,Sheet1!$A$2:$B$25,2,FALSE)</f>
        <v>1</v>
      </c>
    </row>
    <row r="1272" spans="1:7" x14ac:dyDescent="0.25">
      <c r="A1272" s="11">
        <v>44588.479166666664</v>
      </c>
      <c r="B1272" s="10">
        <v>977.39599999999996</v>
      </c>
      <c r="C1272">
        <f t="shared" si="76"/>
        <v>4</v>
      </c>
      <c r="D1272">
        <f t="shared" si="77"/>
        <v>27</v>
      </c>
      <c r="E1272">
        <f t="shared" si="78"/>
        <v>11</v>
      </c>
      <c r="F1272">
        <f t="shared" si="79"/>
        <v>1</v>
      </c>
      <c r="G1272">
        <f>VLOOKUP(E1272,Sheet1!$A$2:$B$25,2,FALSE)</f>
        <v>1</v>
      </c>
    </row>
    <row r="1273" spans="1:7" x14ac:dyDescent="0.25">
      <c r="A1273" s="11">
        <v>44588.5</v>
      </c>
      <c r="B1273" s="10">
        <v>951.86500000000001</v>
      </c>
      <c r="C1273">
        <f t="shared" si="76"/>
        <v>4</v>
      </c>
      <c r="D1273">
        <f t="shared" si="77"/>
        <v>27</v>
      </c>
      <c r="E1273">
        <f t="shared" si="78"/>
        <v>12</v>
      </c>
      <c r="F1273">
        <f t="shared" si="79"/>
        <v>1</v>
      </c>
      <c r="G1273">
        <f>VLOOKUP(E1273,Sheet1!$A$2:$B$25,2,FALSE)</f>
        <v>1</v>
      </c>
    </row>
    <row r="1274" spans="1:7" x14ac:dyDescent="0.25">
      <c r="A1274" s="11">
        <v>44588.520833333336</v>
      </c>
      <c r="B1274" s="10">
        <v>874.55600000000004</v>
      </c>
      <c r="C1274">
        <f t="shared" si="76"/>
        <v>4</v>
      </c>
      <c r="D1274">
        <f t="shared" si="77"/>
        <v>27</v>
      </c>
      <c r="E1274">
        <f t="shared" si="78"/>
        <v>12</v>
      </c>
      <c r="F1274">
        <f t="shared" si="79"/>
        <v>1</v>
      </c>
      <c r="G1274">
        <f>VLOOKUP(E1274,Sheet1!$A$2:$B$25,2,FALSE)</f>
        <v>1</v>
      </c>
    </row>
    <row r="1275" spans="1:7" x14ac:dyDescent="0.25">
      <c r="A1275" s="11">
        <v>44588.541666666664</v>
      </c>
      <c r="B1275" s="10">
        <v>861.721</v>
      </c>
      <c r="C1275">
        <f t="shared" si="76"/>
        <v>4</v>
      </c>
      <c r="D1275">
        <f t="shared" si="77"/>
        <v>27</v>
      </c>
      <c r="E1275">
        <f t="shared" si="78"/>
        <v>13</v>
      </c>
      <c r="F1275">
        <f t="shared" si="79"/>
        <v>1</v>
      </c>
      <c r="G1275">
        <f>VLOOKUP(E1275,Sheet1!$A$2:$B$25,2,FALSE)</f>
        <v>1</v>
      </c>
    </row>
    <row r="1276" spans="1:7" x14ac:dyDescent="0.25">
      <c r="A1276" s="11">
        <v>44588.5625</v>
      </c>
      <c r="B1276" s="10">
        <v>850.34500000000003</v>
      </c>
      <c r="C1276">
        <f t="shared" si="76"/>
        <v>4</v>
      </c>
      <c r="D1276">
        <f t="shared" si="77"/>
        <v>27</v>
      </c>
      <c r="E1276">
        <f t="shared" si="78"/>
        <v>13</v>
      </c>
      <c r="F1276">
        <f t="shared" si="79"/>
        <v>1</v>
      </c>
      <c r="G1276">
        <f>VLOOKUP(E1276,Sheet1!$A$2:$B$25,2,FALSE)</f>
        <v>1</v>
      </c>
    </row>
    <row r="1277" spans="1:7" x14ac:dyDescent="0.25">
      <c r="A1277" s="11">
        <v>44588.583333333336</v>
      </c>
      <c r="B1277" s="10">
        <v>749.88099999999997</v>
      </c>
      <c r="C1277">
        <f t="shared" si="76"/>
        <v>4</v>
      </c>
      <c r="D1277">
        <f t="shared" si="77"/>
        <v>27</v>
      </c>
      <c r="E1277">
        <f t="shared" si="78"/>
        <v>14</v>
      </c>
      <c r="F1277">
        <f t="shared" si="79"/>
        <v>1</v>
      </c>
      <c r="G1277">
        <f>VLOOKUP(E1277,Sheet1!$A$2:$B$25,2,FALSE)</f>
        <v>1</v>
      </c>
    </row>
    <row r="1278" spans="1:7" x14ac:dyDescent="0.25">
      <c r="A1278" s="11">
        <v>44588.604166666664</v>
      </c>
      <c r="B1278" s="10">
        <v>349.80099999999999</v>
      </c>
      <c r="C1278">
        <f t="shared" si="76"/>
        <v>4</v>
      </c>
      <c r="D1278">
        <f t="shared" si="77"/>
        <v>27</v>
      </c>
      <c r="E1278">
        <f t="shared" si="78"/>
        <v>14</v>
      </c>
      <c r="F1278">
        <f t="shared" si="79"/>
        <v>1</v>
      </c>
      <c r="G1278">
        <f>VLOOKUP(E1278,Sheet1!$A$2:$B$25,2,FALSE)</f>
        <v>1</v>
      </c>
    </row>
    <row r="1279" spans="1:7" x14ac:dyDescent="0.25">
      <c r="A1279" s="11">
        <v>44588.625</v>
      </c>
      <c r="B1279" s="10">
        <v>341.30500000000001</v>
      </c>
      <c r="C1279">
        <f t="shared" si="76"/>
        <v>4</v>
      </c>
      <c r="D1279">
        <f t="shared" si="77"/>
        <v>27</v>
      </c>
      <c r="E1279">
        <f t="shared" si="78"/>
        <v>15</v>
      </c>
      <c r="F1279">
        <f t="shared" si="79"/>
        <v>1</v>
      </c>
      <c r="G1279">
        <f>VLOOKUP(E1279,Sheet1!$A$2:$B$25,2,FALSE)</f>
        <v>1</v>
      </c>
    </row>
    <row r="1280" spans="1:7" x14ac:dyDescent="0.25">
      <c r="A1280" s="11">
        <v>44588.645833333336</v>
      </c>
      <c r="B1280" s="10">
        <v>342.601</v>
      </c>
      <c r="C1280">
        <f t="shared" si="76"/>
        <v>4</v>
      </c>
      <c r="D1280">
        <f t="shared" si="77"/>
        <v>27</v>
      </c>
      <c r="E1280">
        <f t="shared" si="78"/>
        <v>15</v>
      </c>
      <c r="F1280">
        <f t="shared" si="79"/>
        <v>1</v>
      </c>
      <c r="G1280">
        <f>VLOOKUP(E1280,Sheet1!$A$2:$B$25,2,FALSE)</f>
        <v>1</v>
      </c>
    </row>
    <row r="1281" spans="1:7" x14ac:dyDescent="0.25">
      <c r="A1281" s="11">
        <v>44588.666666666664</v>
      </c>
      <c r="B1281" s="10">
        <v>330.36099999999999</v>
      </c>
      <c r="C1281">
        <f t="shared" si="76"/>
        <v>4</v>
      </c>
      <c r="D1281">
        <f t="shared" si="77"/>
        <v>27</v>
      </c>
      <c r="E1281">
        <f t="shared" si="78"/>
        <v>16</v>
      </c>
      <c r="F1281">
        <f t="shared" si="79"/>
        <v>1</v>
      </c>
      <c r="G1281">
        <f>VLOOKUP(E1281,Sheet1!$A$2:$B$25,2,FALSE)</f>
        <v>0</v>
      </c>
    </row>
    <row r="1282" spans="1:7" x14ac:dyDescent="0.25">
      <c r="A1282" s="11">
        <v>44588.6875</v>
      </c>
      <c r="B1282" s="10">
        <v>333.36099999999999</v>
      </c>
      <c r="C1282">
        <f t="shared" ref="C1282:C1345" si="80">WEEKDAY(A1282,2)</f>
        <v>4</v>
      </c>
      <c r="D1282">
        <f t="shared" ref="D1282:D1345" si="81">DAY(A1282)</f>
        <v>27</v>
      </c>
      <c r="E1282">
        <f t="shared" ref="E1282:E1345" si="82">HOUR(A1282)</f>
        <v>16</v>
      </c>
      <c r="F1282">
        <f t="shared" si="79"/>
        <v>1</v>
      </c>
      <c r="G1282">
        <f>VLOOKUP(E1282,Sheet1!$A$2:$B$25,2,FALSE)</f>
        <v>0</v>
      </c>
    </row>
    <row r="1283" spans="1:7" x14ac:dyDescent="0.25">
      <c r="A1283" s="11">
        <v>44588.708333333336</v>
      </c>
      <c r="B1283" s="10">
        <v>338.64100000000002</v>
      </c>
      <c r="C1283">
        <f t="shared" si="80"/>
        <v>4</v>
      </c>
      <c r="D1283">
        <f t="shared" si="81"/>
        <v>27</v>
      </c>
      <c r="E1283">
        <f t="shared" si="82"/>
        <v>17</v>
      </c>
      <c r="F1283">
        <f t="shared" ref="F1283:F1346" si="83">IF(C1283&gt;=6,0,1)</f>
        <v>1</v>
      </c>
      <c r="G1283">
        <f>VLOOKUP(E1283,Sheet1!$A$2:$B$25,2,FALSE)</f>
        <v>0</v>
      </c>
    </row>
    <row r="1284" spans="1:7" x14ac:dyDescent="0.25">
      <c r="A1284" s="11">
        <v>44588.729166666664</v>
      </c>
      <c r="B1284" s="10">
        <v>337.58</v>
      </c>
      <c r="C1284">
        <f t="shared" si="80"/>
        <v>4</v>
      </c>
      <c r="D1284">
        <f t="shared" si="81"/>
        <v>27</v>
      </c>
      <c r="E1284">
        <f t="shared" si="82"/>
        <v>17</v>
      </c>
      <c r="F1284">
        <f t="shared" si="83"/>
        <v>1</v>
      </c>
      <c r="G1284">
        <f>VLOOKUP(E1284,Sheet1!$A$2:$B$25,2,FALSE)</f>
        <v>0</v>
      </c>
    </row>
    <row r="1285" spans="1:7" x14ac:dyDescent="0.25">
      <c r="A1285" s="11">
        <v>44588.75</v>
      </c>
      <c r="B1285" s="10">
        <v>344.90499999999997</v>
      </c>
      <c r="C1285">
        <f t="shared" si="80"/>
        <v>4</v>
      </c>
      <c r="D1285">
        <f t="shared" si="81"/>
        <v>27</v>
      </c>
      <c r="E1285">
        <f t="shared" si="82"/>
        <v>18</v>
      </c>
      <c r="F1285">
        <f t="shared" si="83"/>
        <v>1</v>
      </c>
      <c r="G1285">
        <f>VLOOKUP(E1285,Sheet1!$A$2:$B$25,2,FALSE)</f>
        <v>0</v>
      </c>
    </row>
    <row r="1286" spans="1:7" x14ac:dyDescent="0.25">
      <c r="A1286" s="11">
        <v>44588.770833333336</v>
      </c>
      <c r="B1286" s="10">
        <v>342.12099999999998</v>
      </c>
      <c r="C1286">
        <f t="shared" si="80"/>
        <v>4</v>
      </c>
      <c r="D1286">
        <f t="shared" si="81"/>
        <v>27</v>
      </c>
      <c r="E1286">
        <f t="shared" si="82"/>
        <v>18</v>
      </c>
      <c r="F1286">
        <f t="shared" si="83"/>
        <v>1</v>
      </c>
      <c r="G1286">
        <f>VLOOKUP(E1286,Sheet1!$A$2:$B$25,2,FALSE)</f>
        <v>0</v>
      </c>
    </row>
    <row r="1287" spans="1:7" x14ac:dyDescent="0.25">
      <c r="A1287" s="11">
        <v>44588.791666666664</v>
      </c>
      <c r="B1287" s="10">
        <v>347.06</v>
      </c>
      <c r="C1287">
        <f t="shared" si="80"/>
        <v>4</v>
      </c>
      <c r="D1287">
        <f t="shared" si="81"/>
        <v>27</v>
      </c>
      <c r="E1287">
        <f t="shared" si="82"/>
        <v>19</v>
      </c>
      <c r="F1287">
        <f t="shared" si="83"/>
        <v>1</v>
      </c>
      <c r="G1287">
        <f>VLOOKUP(E1287,Sheet1!$A$2:$B$25,2,FALSE)</f>
        <v>0</v>
      </c>
    </row>
    <row r="1288" spans="1:7" x14ac:dyDescent="0.25">
      <c r="A1288" s="11">
        <v>44588.8125</v>
      </c>
      <c r="B1288" s="10">
        <v>347.065</v>
      </c>
      <c r="C1288">
        <f t="shared" si="80"/>
        <v>4</v>
      </c>
      <c r="D1288">
        <f t="shared" si="81"/>
        <v>27</v>
      </c>
      <c r="E1288">
        <f t="shared" si="82"/>
        <v>19</v>
      </c>
      <c r="F1288">
        <f t="shared" si="83"/>
        <v>1</v>
      </c>
      <c r="G1288">
        <f>VLOOKUP(E1288,Sheet1!$A$2:$B$25,2,FALSE)</f>
        <v>0</v>
      </c>
    </row>
    <row r="1289" spans="1:7" x14ac:dyDescent="0.25">
      <c r="A1289" s="11">
        <v>44588.833333333336</v>
      </c>
      <c r="B1289" s="10">
        <v>343.46499999999997</v>
      </c>
      <c r="C1289">
        <f t="shared" si="80"/>
        <v>4</v>
      </c>
      <c r="D1289">
        <f t="shared" si="81"/>
        <v>27</v>
      </c>
      <c r="E1289">
        <f t="shared" si="82"/>
        <v>20</v>
      </c>
      <c r="F1289">
        <f t="shared" si="83"/>
        <v>1</v>
      </c>
      <c r="G1289">
        <f>VLOOKUP(E1289,Sheet1!$A$2:$B$25,2,FALSE)</f>
        <v>0</v>
      </c>
    </row>
    <row r="1290" spans="1:7" x14ac:dyDescent="0.25">
      <c r="A1290" s="11">
        <v>44588.854166666664</v>
      </c>
      <c r="B1290" s="10">
        <v>325.58</v>
      </c>
      <c r="C1290">
        <f t="shared" si="80"/>
        <v>4</v>
      </c>
      <c r="D1290">
        <f t="shared" si="81"/>
        <v>27</v>
      </c>
      <c r="E1290">
        <f t="shared" si="82"/>
        <v>20</v>
      </c>
      <c r="F1290">
        <f t="shared" si="83"/>
        <v>1</v>
      </c>
      <c r="G1290">
        <f>VLOOKUP(E1290,Sheet1!$A$2:$B$25,2,FALSE)</f>
        <v>0</v>
      </c>
    </row>
    <row r="1291" spans="1:7" x14ac:dyDescent="0.25">
      <c r="A1291" s="11">
        <v>44588.875</v>
      </c>
      <c r="B1291" s="10">
        <v>327.02499999999998</v>
      </c>
      <c r="C1291">
        <f t="shared" si="80"/>
        <v>4</v>
      </c>
      <c r="D1291">
        <f t="shared" si="81"/>
        <v>27</v>
      </c>
      <c r="E1291">
        <f t="shared" si="82"/>
        <v>21</v>
      </c>
      <c r="F1291">
        <f t="shared" si="83"/>
        <v>1</v>
      </c>
      <c r="G1291">
        <f>VLOOKUP(E1291,Sheet1!$A$2:$B$25,2,FALSE)</f>
        <v>0</v>
      </c>
    </row>
    <row r="1292" spans="1:7" x14ac:dyDescent="0.25">
      <c r="A1292" s="11">
        <v>44588.895833333336</v>
      </c>
      <c r="B1292" s="10">
        <v>326.66000000000003</v>
      </c>
      <c r="C1292">
        <f t="shared" si="80"/>
        <v>4</v>
      </c>
      <c r="D1292">
        <f t="shared" si="81"/>
        <v>27</v>
      </c>
      <c r="E1292">
        <f t="shared" si="82"/>
        <v>21</v>
      </c>
      <c r="F1292">
        <f t="shared" si="83"/>
        <v>1</v>
      </c>
      <c r="G1292">
        <f>VLOOKUP(E1292,Sheet1!$A$2:$B$25,2,FALSE)</f>
        <v>0</v>
      </c>
    </row>
    <row r="1293" spans="1:7" x14ac:dyDescent="0.25">
      <c r="A1293" s="11">
        <v>44588.916666666664</v>
      </c>
      <c r="B1293" s="10">
        <v>318.00099999999998</v>
      </c>
      <c r="C1293">
        <f t="shared" si="80"/>
        <v>4</v>
      </c>
      <c r="D1293">
        <f t="shared" si="81"/>
        <v>27</v>
      </c>
      <c r="E1293">
        <f t="shared" si="82"/>
        <v>22</v>
      </c>
      <c r="F1293">
        <f t="shared" si="83"/>
        <v>1</v>
      </c>
      <c r="G1293">
        <f>VLOOKUP(E1293,Sheet1!$A$2:$B$25,2,FALSE)</f>
        <v>0</v>
      </c>
    </row>
    <row r="1294" spans="1:7" x14ac:dyDescent="0.25">
      <c r="A1294" s="11">
        <v>44588.9375</v>
      </c>
      <c r="B1294" s="10">
        <v>312.476</v>
      </c>
      <c r="C1294">
        <f t="shared" si="80"/>
        <v>4</v>
      </c>
      <c r="D1294">
        <f t="shared" si="81"/>
        <v>27</v>
      </c>
      <c r="E1294">
        <f t="shared" si="82"/>
        <v>22</v>
      </c>
      <c r="F1294">
        <f t="shared" si="83"/>
        <v>1</v>
      </c>
      <c r="G1294">
        <f>VLOOKUP(E1294,Sheet1!$A$2:$B$25,2,FALSE)</f>
        <v>0</v>
      </c>
    </row>
    <row r="1295" spans="1:7" x14ac:dyDescent="0.25">
      <c r="A1295" s="11">
        <v>44588.958333333336</v>
      </c>
      <c r="B1295" s="10">
        <v>314.18</v>
      </c>
      <c r="C1295">
        <f t="shared" si="80"/>
        <v>4</v>
      </c>
      <c r="D1295">
        <f t="shared" si="81"/>
        <v>27</v>
      </c>
      <c r="E1295">
        <f t="shared" si="82"/>
        <v>23</v>
      </c>
      <c r="F1295">
        <f t="shared" si="83"/>
        <v>1</v>
      </c>
      <c r="G1295">
        <f>VLOOKUP(E1295,Sheet1!$A$2:$B$25,2,FALSE)</f>
        <v>0</v>
      </c>
    </row>
    <row r="1296" spans="1:7" x14ac:dyDescent="0.25">
      <c r="A1296" s="11">
        <v>44588.979166666664</v>
      </c>
      <c r="B1296" s="10">
        <v>317.52100000000002</v>
      </c>
      <c r="C1296">
        <f t="shared" si="80"/>
        <v>4</v>
      </c>
      <c r="D1296">
        <f t="shared" si="81"/>
        <v>27</v>
      </c>
      <c r="E1296">
        <f t="shared" si="82"/>
        <v>23</v>
      </c>
      <c r="F1296">
        <f t="shared" si="83"/>
        <v>1</v>
      </c>
      <c r="G1296">
        <f>VLOOKUP(E1296,Sheet1!$A$2:$B$25,2,FALSE)</f>
        <v>0</v>
      </c>
    </row>
    <row r="1297" spans="1:7" x14ac:dyDescent="0.25">
      <c r="A1297" s="11">
        <v>44589</v>
      </c>
      <c r="B1297" s="10">
        <v>313.67599999999999</v>
      </c>
      <c r="C1297">
        <f t="shared" si="80"/>
        <v>5</v>
      </c>
      <c r="D1297">
        <f t="shared" si="81"/>
        <v>28</v>
      </c>
      <c r="E1297">
        <f t="shared" si="82"/>
        <v>0</v>
      </c>
      <c r="F1297">
        <f t="shared" si="83"/>
        <v>1</v>
      </c>
      <c r="G1297">
        <f>VLOOKUP(E1297,Sheet1!$A$2:$B$25,2,FALSE)</f>
        <v>0</v>
      </c>
    </row>
    <row r="1298" spans="1:7" x14ac:dyDescent="0.25">
      <c r="A1298" s="11">
        <v>44589.020833333336</v>
      </c>
      <c r="B1298" s="10">
        <v>312.74</v>
      </c>
      <c r="C1298">
        <f t="shared" si="80"/>
        <v>5</v>
      </c>
      <c r="D1298">
        <f t="shared" si="81"/>
        <v>28</v>
      </c>
      <c r="E1298">
        <f t="shared" si="82"/>
        <v>0</v>
      </c>
      <c r="F1298">
        <f t="shared" si="83"/>
        <v>1</v>
      </c>
      <c r="G1298">
        <f>VLOOKUP(E1298,Sheet1!$A$2:$B$25,2,FALSE)</f>
        <v>0</v>
      </c>
    </row>
    <row r="1299" spans="1:7" x14ac:dyDescent="0.25">
      <c r="A1299" s="11">
        <v>44589.041666666664</v>
      </c>
      <c r="B1299" s="10">
        <v>311.88099999999997</v>
      </c>
      <c r="C1299">
        <f t="shared" si="80"/>
        <v>5</v>
      </c>
      <c r="D1299">
        <f t="shared" si="81"/>
        <v>28</v>
      </c>
      <c r="E1299">
        <f t="shared" si="82"/>
        <v>1</v>
      </c>
      <c r="F1299">
        <f t="shared" si="83"/>
        <v>1</v>
      </c>
      <c r="G1299">
        <f>VLOOKUP(E1299,Sheet1!$A$2:$B$25,2,FALSE)</f>
        <v>0</v>
      </c>
    </row>
    <row r="1300" spans="1:7" x14ac:dyDescent="0.25">
      <c r="A1300" s="11">
        <v>44589.0625</v>
      </c>
      <c r="B1300" s="10">
        <v>323.99599999999998</v>
      </c>
      <c r="C1300">
        <f t="shared" si="80"/>
        <v>5</v>
      </c>
      <c r="D1300">
        <f t="shared" si="81"/>
        <v>28</v>
      </c>
      <c r="E1300">
        <f t="shared" si="82"/>
        <v>1</v>
      </c>
      <c r="F1300">
        <f t="shared" si="83"/>
        <v>1</v>
      </c>
      <c r="G1300">
        <f>VLOOKUP(E1300,Sheet1!$A$2:$B$25,2,FALSE)</f>
        <v>0</v>
      </c>
    </row>
    <row r="1301" spans="1:7" x14ac:dyDescent="0.25">
      <c r="A1301" s="11">
        <v>44589.083333333336</v>
      </c>
      <c r="B1301" s="10">
        <v>320.90499999999997</v>
      </c>
      <c r="C1301">
        <f t="shared" si="80"/>
        <v>5</v>
      </c>
      <c r="D1301">
        <f t="shared" si="81"/>
        <v>28</v>
      </c>
      <c r="E1301">
        <f t="shared" si="82"/>
        <v>2</v>
      </c>
      <c r="F1301">
        <f t="shared" si="83"/>
        <v>1</v>
      </c>
      <c r="G1301">
        <f>VLOOKUP(E1301,Sheet1!$A$2:$B$25,2,FALSE)</f>
        <v>0</v>
      </c>
    </row>
    <row r="1302" spans="1:7" x14ac:dyDescent="0.25">
      <c r="A1302" s="11">
        <v>44589.104166666664</v>
      </c>
      <c r="B1302" s="10">
        <v>327.14</v>
      </c>
      <c r="C1302">
        <f t="shared" si="80"/>
        <v>5</v>
      </c>
      <c r="D1302">
        <f t="shared" si="81"/>
        <v>28</v>
      </c>
      <c r="E1302">
        <f t="shared" si="82"/>
        <v>2</v>
      </c>
      <c r="F1302">
        <f t="shared" si="83"/>
        <v>1</v>
      </c>
      <c r="G1302">
        <f>VLOOKUP(E1302,Sheet1!$A$2:$B$25,2,FALSE)</f>
        <v>0</v>
      </c>
    </row>
    <row r="1303" spans="1:7" x14ac:dyDescent="0.25">
      <c r="A1303" s="11">
        <v>44589.125</v>
      </c>
      <c r="B1303" s="10">
        <v>317.88099999999997</v>
      </c>
      <c r="C1303">
        <f t="shared" si="80"/>
        <v>5</v>
      </c>
      <c r="D1303">
        <f t="shared" si="81"/>
        <v>28</v>
      </c>
      <c r="E1303">
        <f t="shared" si="82"/>
        <v>3</v>
      </c>
      <c r="F1303">
        <f t="shared" si="83"/>
        <v>1</v>
      </c>
      <c r="G1303">
        <f>VLOOKUP(E1303,Sheet1!$A$2:$B$25,2,FALSE)</f>
        <v>0</v>
      </c>
    </row>
    <row r="1304" spans="1:7" x14ac:dyDescent="0.25">
      <c r="A1304" s="11">
        <v>44589.145833333336</v>
      </c>
      <c r="B1304" s="10">
        <v>308.63600000000002</v>
      </c>
      <c r="C1304">
        <f t="shared" si="80"/>
        <v>5</v>
      </c>
      <c r="D1304">
        <f t="shared" si="81"/>
        <v>28</v>
      </c>
      <c r="E1304">
        <f t="shared" si="82"/>
        <v>3</v>
      </c>
      <c r="F1304">
        <f t="shared" si="83"/>
        <v>1</v>
      </c>
      <c r="G1304">
        <f>VLOOKUP(E1304,Sheet1!$A$2:$B$25,2,FALSE)</f>
        <v>0</v>
      </c>
    </row>
    <row r="1305" spans="1:7" x14ac:dyDescent="0.25">
      <c r="A1305" s="11">
        <v>44589.166666666664</v>
      </c>
      <c r="B1305" s="10">
        <v>316.79599999999999</v>
      </c>
      <c r="C1305">
        <f t="shared" si="80"/>
        <v>5</v>
      </c>
      <c r="D1305">
        <f t="shared" si="81"/>
        <v>28</v>
      </c>
      <c r="E1305">
        <f t="shared" si="82"/>
        <v>4</v>
      </c>
      <c r="F1305">
        <f t="shared" si="83"/>
        <v>1</v>
      </c>
      <c r="G1305">
        <f>VLOOKUP(E1305,Sheet1!$A$2:$B$25,2,FALSE)</f>
        <v>1</v>
      </c>
    </row>
    <row r="1306" spans="1:7" x14ac:dyDescent="0.25">
      <c r="A1306" s="11">
        <v>44589.1875</v>
      </c>
      <c r="B1306" s="10">
        <v>854.75599999999997</v>
      </c>
      <c r="C1306">
        <f t="shared" si="80"/>
        <v>5</v>
      </c>
      <c r="D1306">
        <f t="shared" si="81"/>
        <v>28</v>
      </c>
      <c r="E1306">
        <f t="shared" si="82"/>
        <v>4</v>
      </c>
      <c r="F1306">
        <f t="shared" si="83"/>
        <v>1</v>
      </c>
      <c r="G1306">
        <f>VLOOKUP(E1306,Sheet1!$A$2:$B$25,2,FALSE)</f>
        <v>1</v>
      </c>
    </row>
    <row r="1307" spans="1:7" x14ac:dyDescent="0.25">
      <c r="A1307" s="11">
        <v>44589.208333333336</v>
      </c>
      <c r="B1307" s="10">
        <v>767.90499999999997</v>
      </c>
      <c r="C1307">
        <f t="shared" si="80"/>
        <v>5</v>
      </c>
      <c r="D1307">
        <f t="shared" si="81"/>
        <v>28</v>
      </c>
      <c r="E1307">
        <f t="shared" si="82"/>
        <v>5</v>
      </c>
      <c r="F1307">
        <f t="shared" si="83"/>
        <v>1</v>
      </c>
      <c r="G1307">
        <f>VLOOKUP(E1307,Sheet1!$A$2:$B$25,2,FALSE)</f>
        <v>1</v>
      </c>
    </row>
    <row r="1308" spans="1:7" x14ac:dyDescent="0.25">
      <c r="A1308" s="11">
        <v>44589.229166666664</v>
      </c>
      <c r="B1308" s="10">
        <v>738.86</v>
      </c>
      <c r="C1308">
        <f t="shared" si="80"/>
        <v>5</v>
      </c>
      <c r="D1308">
        <f t="shared" si="81"/>
        <v>28</v>
      </c>
      <c r="E1308">
        <f t="shared" si="82"/>
        <v>5</v>
      </c>
      <c r="F1308">
        <f t="shared" si="83"/>
        <v>1</v>
      </c>
      <c r="G1308">
        <f>VLOOKUP(E1308,Sheet1!$A$2:$B$25,2,FALSE)</f>
        <v>1</v>
      </c>
    </row>
    <row r="1309" spans="1:7" x14ac:dyDescent="0.25">
      <c r="A1309" s="11">
        <v>44589.25</v>
      </c>
      <c r="B1309" s="10">
        <v>821.3</v>
      </c>
      <c r="C1309">
        <f t="shared" si="80"/>
        <v>5</v>
      </c>
      <c r="D1309">
        <f t="shared" si="81"/>
        <v>28</v>
      </c>
      <c r="E1309">
        <f t="shared" si="82"/>
        <v>6</v>
      </c>
      <c r="F1309">
        <f t="shared" si="83"/>
        <v>1</v>
      </c>
      <c r="G1309">
        <f>VLOOKUP(E1309,Sheet1!$A$2:$B$25,2,FALSE)</f>
        <v>1</v>
      </c>
    </row>
    <row r="1310" spans="1:7" x14ac:dyDescent="0.25">
      <c r="A1310" s="11">
        <v>44589.270833333336</v>
      </c>
      <c r="B1310" s="10">
        <v>1054.0999999999999</v>
      </c>
      <c r="C1310">
        <f t="shared" si="80"/>
        <v>5</v>
      </c>
      <c r="D1310">
        <f t="shared" si="81"/>
        <v>28</v>
      </c>
      <c r="E1310">
        <f t="shared" si="82"/>
        <v>6</v>
      </c>
      <c r="F1310">
        <f t="shared" si="83"/>
        <v>1</v>
      </c>
      <c r="G1310">
        <f>VLOOKUP(E1310,Sheet1!$A$2:$B$25,2,FALSE)</f>
        <v>1</v>
      </c>
    </row>
    <row r="1311" spans="1:7" x14ac:dyDescent="0.25">
      <c r="A1311" s="11">
        <v>44589.291666666664</v>
      </c>
      <c r="B1311" s="10">
        <v>1008.38</v>
      </c>
      <c r="C1311">
        <f t="shared" si="80"/>
        <v>5</v>
      </c>
      <c r="D1311">
        <f t="shared" si="81"/>
        <v>28</v>
      </c>
      <c r="E1311">
        <f t="shared" si="82"/>
        <v>7</v>
      </c>
      <c r="F1311">
        <f t="shared" si="83"/>
        <v>1</v>
      </c>
      <c r="G1311">
        <f>VLOOKUP(E1311,Sheet1!$A$2:$B$25,2,FALSE)</f>
        <v>1</v>
      </c>
    </row>
    <row r="1312" spans="1:7" x14ac:dyDescent="0.25">
      <c r="A1312" s="11">
        <v>44589.3125</v>
      </c>
      <c r="B1312" s="10">
        <v>1003.556</v>
      </c>
      <c r="C1312">
        <f t="shared" si="80"/>
        <v>5</v>
      </c>
      <c r="D1312">
        <f t="shared" si="81"/>
        <v>28</v>
      </c>
      <c r="E1312">
        <f t="shared" si="82"/>
        <v>7</v>
      </c>
      <c r="F1312">
        <f t="shared" si="83"/>
        <v>1</v>
      </c>
      <c r="G1312">
        <f>VLOOKUP(E1312,Sheet1!$A$2:$B$25,2,FALSE)</f>
        <v>1</v>
      </c>
    </row>
    <row r="1313" spans="1:7" x14ac:dyDescent="0.25">
      <c r="A1313" s="11">
        <v>44589.333333333336</v>
      </c>
      <c r="B1313" s="10">
        <v>961.7</v>
      </c>
      <c r="C1313">
        <f t="shared" si="80"/>
        <v>5</v>
      </c>
      <c r="D1313">
        <f t="shared" si="81"/>
        <v>28</v>
      </c>
      <c r="E1313">
        <f t="shared" si="82"/>
        <v>8</v>
      </c>
      <c r="F1313">
        <f t="shared" si="83"/>
        <v>1</v>
      </c>
      <c r="G1313">
        <f>VLOOKUP(E1313,Sheet1!$A$2:$B$25,2,FALSE)</f>
        <v>1</v>
      </c>
    </row>
    <row r="1314" spans="1:7" x14ac:dyDescent="0.25">
      <c r="A1314" s="11">
        <v>44589.354166666664</v>
      </c>
      <c r="B1314" s="10">
        <v>885.83600000000001</v>
      </c>
      <c r="C1314">
        <f t="shared" si="80"/>
        <v>5</v>
      </c>
      <c r="D1314">
        <f t="shared" si="81"/>
        <v>28</v>
      </c>
      <c r="E1314">
        <f t="shared" si="82"/>
        <v>8</v>
      </c>
      <c r="F1314">
        <f t="shared" si="83"/>
        <v>1</v>
      </c>
      <c r="G1314">
        <f>VLOOKUP(E1314,Sheet1!$A$2:$B$25,2,FALSE)</f>
        <v>1</v>
      </c>
    </row>
    <row r="1315" spans="1:7" x14ac:dyDescent="0.25">
      <c r="A1315" s="11">
        <v>44589.375</v>
      </c>
      <c r="B1315" s="10">
        <v>878.06</v>
      </c>
      <c r="C1315">
        <f t="shared" si="80"/>
        <v>5</v>
      </c>
      <c r="D1315">
        <f t="shared" si="81"/>
        <v>28</v>
      </c>
      <c r="E1315">
        <f t="shared" si="82"/>
        <v>9</v>
      </c>
      <c r="F1315">
        <f t="shared" si="83"/>
        <v>1</v>
      </c>
      <c r="G1315">
        <f>VLOOKUP(E1315,Sheet1!$A$2:$B$25,2,FALSE)</f>
        <v>1</v>
      </c>
    </row>
    <row r="1316" spans="1:7" x14ac:dyDescent="0.25">
      <c r="A1316" s="11">
        <v>44589.395833333336</v>
      </c>
      <c r="B1316" s="10">
        <v>857.18</v>
      </c>
      <c r="C1316">
        <f t="shared" si="80"/>
        <v>5</v>
      </c>
      <c r="D1316">
        <f t="shared" si="81"/>
        <v>28</v>
      </c>
      <c r="E1316">
        <f t="shared" si="82"/>
        <v>9</v>
      </c>
      <c r="F1316">
        <f t="shared" si="83"/>
        <v>1</v>
      </c>
      <c r="G1316">
        <f>VLOOKUP(E1316,Sheet1!$A$2:$B$25,2,FALSE)</f>
        <v>1</v>
      </c>
    </row>
    <row r="1317" spans="1:7" x14ac:dyDescent="0.25">
      <c r="A1317" s="11">
        <v>44589.416666666664</v>
      </c>
      <c r="B1317" s="10">
        <v>877.68100000000004</v>
      </c>
      <c r="C1317">
        <f t="shared" si="80"/>
        <v>5</v>
      </c>
      <c r="D1317">
        <f t="shared" si="81"/>
        <v>28</v>
      </c>
      <c r="E1317">
        <f t="shared" si="82"/>
        <v>10</v>
      </c>
      <c r="F1317">
        <f t="shared" si="83"/>
        <v>1</v>
      </c>
      <c r="G1317">
        <f>VLOOKUP(E1317,Sheet1!$A$2:$B$25,2,FALSE)</f>
        <v>1</v>
      </c>
    </row>
    <row r="1318" spans="1:7" x14ac:dyDescent="0.25">
      <c r="A1318" s="11">
        <v>44589.4375</v>
      </c>
      <c r="B1318" s="10">
        <v>826.07600000000002</v>
      </c>
      <c r="C1318">
        <f t="shared" si="80"/>
        <v>5</v>
      </c>
      <c r="D1318">
        <f t="shared" si="81"/>
        <v>28</v>
      </c>
      <c r="E1318">
        <f t="shared" si="82"/>
        <v>10</v>
      </c>
      <c r="F1318">
        <f t="shared" si="83"/>
        <v>1</v>
      </c>
      <c r="G1318">
        <f>VLOOKUP(E1318,Sheet1!$A$2:$B$25,2,FALSE)</f>
        <v>1</v>
      </c>
    </row>
    <row r="1319" spans="1:7" x14ac:dyDescent="0.25">
      <c r="A1319" s="11">
        <v>44589.458333333336</v>
      </c>
      <c r="B1319" s="10">
        <v>800.16099999999994</v>
      </c>
      <c r="C1319">
        <f t="shared" si="80"/>
        <v>5</v>
      </c>
      <c r="D1319">
        <f t="shared" si="81"/>
        <v>28</v>
      </c>
      <c r="E1319">
        <f t="shared" si="82"/>
        <v>11</v>
      </c>
      <c r="F1319">
        <f t="shared" si="83"/>
        <v>1</v>
      </c>
      <c r="G1319">
        <f>VLOOKUP(E1319,Sheet1!$A$2:$B$25,2,FALSE)</f>
        <v>1</v>
      </c>
    </row>
    <row r="1320" spans="1:7" x14ac:dyDescent="0.25">
      <c r="A1320" s="11">
        <v>44589.479166666664</v>
      </c>
      <c r="B1320" s="10">
        <v>710.42</v>
      </c>
      <c r="C1320">
        <f t="shared" si="80"/>
        <v>5</v>
      </c>
      <c r="D1320">
        <f t="shared" si="81"/>
        <v>28</v>
      </c>
      <c r="E1320">
        <f t="shared" si="82"/>
        <v>11</v>
      </c>
      <c r="F1320">
        <f t="shared" si="83"/>
        <v>1</v>
      </c>
      <c r="G1320">
        <f>VLOOKUP(E1320,Sheet1!$A$2:$B$25,2,FALSE)</f>
        <v>1</v>
      </c>
    </row>
    <row r="1321" spans="1:7" x14ac:dyDescent="0.25">
      <c r="A1321" s="11">
        <v>44589.5</v>
      </c>
      <c r="B1321" s="10">
        <v>649.22</v>
      </c>
      <c r="C1321">
        <f t="shared" si="80"/>
        <v>5</v>
      </c>
      <c r="D1321">
        <f t="shared" si="81"/>
        <v>28</v>
      </c>
      <c r="E1321">
        <f t="shared" si="82"/>
        <v>12</v>
      </c>
      <c r="F1321">
        <f t="shared" si="83"/>
        <v>1</v>
      </c>
      <c r="G1321">
        <f>VLOOKUP(E1321,Sheet1!$A$2:$B$25,2,FALSE)</f>
        <v>1</v>
      </c>
    </row>
    <row r="1322" spans="1:7" x14ac:dyDescent="0.25">
      <c r="A1322" s="11">
        <v>44589.520833333336</v>
      </c>
      <c r="B1322" s="10">
        <v>483.505</v>
      </c>
      <c r="C1322">
        <f t="shared" si="80"/>
        <v>5</v>
      </c>
      <c r="D1322">
        <f t="shared" si="81"/>
        <v>28</v>
      </c>
      <c r="E1322">
        <f t="shared" si="82"/>
        <v>12</v>
      </c>
      <c r="F1322">
        <f t="shared" si="83"/>
        <v>1</v>
      </c>
      <c r="G1322">
        <f>VLOOKUP(E1322,Sheet1!$A$2:$B$25,2,FALSE)</f>
        <v>1</v>
      </c>
    </row>
    <row r="1323" spans="1:7" x14ac:dyDescent="0.25">
      <c r="A1323" s="11">
        <v>44589.541666666664</v>
      </c>
      <c r="B1323" s="10">
        <v>438.74</v>
      </c>
      <c r="C1323">
        <f t="shared" si="80"/>
        <v>5</v>
      </c>
      <c r="D1323">
        <f t="shared" si="81"/>
        <v>28</v>
      </c>
      <c r="E1323">
        <f t="shared" si="82"/>
        <v>13</v>
      </c>
      <c r="F1323">
        <f t="shared" si="83"/>
        <v>1</v>
      </c>
      <c r="G1323">
        <f>VLOOKUP(E1323,Sheet1!$A$2:$B$25,2,FALSE)</f>
        <v>1</v>
      </c>
    </row>
    <row r="1324" spans="1:7" x14ac:dyDescent="0.25">
      <c r="A1324" s="11">
        <v>44589.5625</v>
      </c>
      <c r="B1324" s="10">
        <v>412.19600000000003</v>
      </c>
      <c r="C1324">
        <f t="shared" si="80"/>
        <v>5</v>
      </c>
      <c r="D1324">
        <f t="shared" si="81"/>
        <v>28</v>
      </c>
      <c r="E1324">
        <f t="shared" si="82"/>
        <v>13</v>
      </c>
      <c r="F1324">
        <f t="shared" si="83"/>
        <v>1</v>
      </c>
      <c r="G1324">
        <f>VLOOKUP(E1324,Sheet1!$A$2:$B$25,2,FALSE)</f>
        <v>1</v>
      </c>
    </row>
    <row r="1325" spans="1:7" x14ac:dyDescent="0.25">
      <c r="A1325" s="11">
        <v>44589.583333333336</v>
      </c>
      <c r="B1325" s="10">
        <v>381.83600000000001</v>
      </c>
      <c r="C1325">
        <f t="shared" si="80"/>
        <v>5</v>
      </c>
      <c r="D1325">
        <f t="shared" si="81"/>
        <v>28</v>
      </c>
      <c r="E1325">
        <f t="shared" si="82"/>
        <v>14</v>
      </c>
      <c r="F1325">
        <f t="shared" si="83"/>
        <v>1</v>
      </c>
      <c r="G1325">
        <f>VLOOKUP(E1325,Sheet1!$A$2:$B$25,2,FALSE)</f>
        <v>1</v>
      </c>
    </row>
    <row r="1326" spans="1:7" x14ac:dyDescent="0.25">
      <c r="A1326" s="11">
        <v>44589.604166666664</v>
      </c>
      <c r="B1326" s="10">
        <v>364.46499999999997</v>
      </c>
      <c r="C1326">
        <f t="shared" si="80"/>
        <v>5</v>
      </c>
      <c r="D1326">
        <f t="shared" si="81"/>
        <v>28</v>
      </c>
      <c r="E1326">
        <f t="shared" si="82"/>
        <v>14</v>
      </c>
      <c r="F1326">
        <f t="shared" si="83"/>
        <v>1</v>
      </c>
      <c r="G1326">
        <f>VLOOKUP(E1326,Sheet1!$A$2:$B$25,2,FALSE)</f>
        <v>1</v>
      </c>
    </row>
    <row r="1327" spans="1:7" x14ac:dyDescent="0.25">
      <c r="A1327" s="11">
        <v>44589.625</v>
      </c>
      <c r="B1327" s="10">
        <v>359.63600000000002</v>
      </c>
      <c r="C1327">
        <f t="shared" si="80"/>
        <v>5</v>
      </c>
      <c r="D1327">
        <f t="shared" si="81"/>
        <v>28</v>
      </c>
      <c r="E1327">
        <f t="shared" si="82"/>
        <v>15</v>
      </c>
      <c r="F1327">
        <f t="shared" si="83"/>
        <v>1</v>
      </c>
      <c r="G1327">
        <f>VLOOKUP(E1327,Sheet1!$A$2:$B$25,2,FALSE)</f>
        <v>1</v>
      </c>
    </row>
    <row r="1328" spans="1:7" x14ac:dyDescent="0.25">
      <c r="A1328" s="11">
        <v>44589.645833333336</v>
      </c>
      <c r="B1328" s="10">
        <v>357.00099999999998</v>
      </c>
      <c r="C1328">
        <f t="shared" si="80"/>
        <v>5</v>
      </c>
      <c r="D1328">
        <f t="shared" si="81"/>
        <v>28</v>
      </c>
      <c r="E1328">
        <f t="shared" si="82"/>
        <v>15</v>
      </c>
      <c r="F1328">
        <f t="shared" si="83"/>
        <v>1</v>
      </c>
      <c r="G1328">
        <f>VLOOKUP(E1328,Sheet1!$A$2:$B$25,2,FALSE)</f>
        <v>1</v>
      </c>
    </row>
    <row r="1329" spans="1:7" x14ac:dyDescent="0.25">
      <c r="A1329" s="11">
        <v>44589.666666666664</v>
      </c>
      <c r="B1329" s="10">
        <v>345.596</v>
      </c>
      <c r="C1329">
        <f t="shared" si="80"/>
        <v>5</v>
      </c>
      <c r="D1329">
        <f t="shared" si="81"/>
        <v>28</v>
      </c>
      <c r="E1329">
        <f t="shared" si="82"/>
        <v>16</v>
      </c>
      <c r="F1329">
        <f t="shared" si="83"/>
        <v>1</v>
      </c>
      <c r="G1329">
        <f>VLOOKUP(E1329,Sheet1!$A$2:$B$25,2,FALSE)</f>
        <v>0</v>
      </c>
    </row>
    <row r="1330" spans="1:7" x14ac:dyDescent="0.25">
      <c r="A1330" s="11">
        <v>44589.6875</v>
      </c>
      <c r="B1330" s="10">
        <v>343.92099999999999</v>
      </c>
      <c r="C1330">
        <f t="shared" si="80"/>
        <v>5</v>
      </c>
      <c r="D1330">
        <f t="shared" si="81"/>
        <v>28</v>
      </c>
      <c r="E1330">
        <f t="shared" si="82"/>
        <v>16</v>
      </c>
      <c r="F1330">
        <f t="shared" si="83"/>
        <v>1</v>
      </c>
      <c r="G1330">
        <f>VLOOKUP(E1330,Sheet1!$A$2:$B$25,2,FALSE)</f>
        <v>0</v>
      </c>
    </row>
    <row r="1331" spans="1:7" x14ac:dyDescent="0.25">
      <c r="A1331" s="11">
        <v>44589.708333333336</v>
      </c>
      <c r="B1331" s="10">
        <v>359.78</v>
      </c>
      <c r="C1331">
        <f t="shared" si="80"/>
        <v>5</v>
      </c>
      <c r="D1331">
        <f t="shared" si="81"/>
        <v>28</v>
      </c>
      <c r="E1331">
        <f t="shared" si="82"/>
        <v>17</v>
      </c>
      <c r="F1331">
        <f t="shared" si="83"/>
        <v>1</v>
      </c>
      <c r="G1331">
        <f>VLOOKUP(E1331,Sheet1!$A$2:$B$25,2,FALSE)</f>
        <v>0</v>
      </c>
    </row>
    <row r="1332" spans="1:7" x14ac:dyDescent="0.25">
      <c r="A1332" s="11">
        <v>44589.729166666664</v>
      </c>
      <c r="B1332" s="10">
        <v>338.06</v>
      </c>
      <c r="C1332">
        <f t="shared" si="80"/>
        <v>5</v>
      </c>
      <c r="D1332">
        <f t="shared" si="81"/>
        <v>28</v>
      </c>
      <c r="E1332">
        <f t="shared" si="82"/>
        <v>17</v>
      </c>
      <c r="F1332">
        <f t="shared" si="83"/>
        <v>1</v>
      </c>
      <c r="G1332">
        <f>VLOOKUP(E1332,Sheet1!$A$2:$B$25,2,FALSE)</f>
        <v>0</v>
      </c>
    </row>
    <row r="1333" spans="1:7" x14ac:dyDescent="0.25">
      <c r="A1333" s="11">
        <v>44589.75</v>
      </c>
      <c r="B1333" s="10">
        <v>335.3</v>
      </c>
      <c r="C1333">
        <f t="shared" si="80"/>
        <v>5</v>
      </c>
      <c r="D1333">
        <f t="shared" si="81"/>
        <v>28</v>
      </c>
      <c r="E1333">
        <f t="shared" si="82"/>
        <v>18</v>
      </c>
      <c r="F1333">
        <f t="shared" si="83"/>
        <v>1</v>
      </c>
      <c r="G1333">
        <f>VLOOKUP(E1333,Sheet1!$A$2:$B$25,2,FALSE)</f>
        <v>0</v>
      </c>
    </row>
    <row r="1334" spans="1:7" x14ac:dyDescent="0.25">
      <c r="A1334" s="11">
        <v>44589.770833333336</v>
      </c>
      <c r="B1334" s="10">
        <v>329.66500000000002</v>
      </c>
      <c r="C1334">
        <f t="shared" si="80"/>
        <v>5</v>
      </c>
      <c r="D1334">
        <f t="shared" si="81"/>
        <v>28</v>
      </c>
      <c r="E1334">
        <f t="shared" si="82"/>
        <v>18</v>
      </c>
      <c r="F1334">
        <f t="shared" si="83"/>
        <v>1</v>
      </c>
      <c r="G1334">
        <f>VLOOKUP(E1334,Sheet1!$A$2:$B$25,2,FALSE)</f>
        <v>0</v>
      </c>
    </row>
    <row r="1335" spans="1:7" x14ac:dyDescent="0.25">
      <c r="A1335" s="11">
        <v>44589.791666666664</v>
      </c>
      <c r="B1335" s="10">
        <v>336.98</v>
      </c>
      <c r="C1335">
        <f t="shared" si="80"/>
        <v>5</v>
      </c>
      <c r="D1335">
        <f t="shared" si="81"/>
        <v>28</v>
      </c>
      <c r="E1335">
        <f t="shared" si="82"/>
        <v>19</v>
      </c>
      <c r="F1335">
        <f t="shared" si="83"/>
        <v>1</v>
      </c>
      <c r="G1335">
        <f>VLOOKUP(E1335,Sheet1!$A$2:$B$25,2,FALSE)</f>
        <v>0</v>
      </c>
    </row>
    <row r="1336" spans="1:7" x14ac:dyDescent="0.25">
      <c r="A1336" s="11">
        <v>44589.8125</v>
      </c>
      <c r="B1336" s="10">
        <v>325.79599999999999</v>
      </c>
      <c r="C1336">
        <f t="shared" si="80"/>
        <v>5</v>
      </c>
      <c r="D1336">
        <f t="shared" si="81"/>
        <v>28</v>
      </c>
      <c r="E1336">
        <f t="shared" si="82"/>
        <v>19</v>
      </c>
      <c r="F1336">
        <f t="shared" si="83"/>
        <v>1</v>
      </c>
      <c r="G1336">
        <f>VLOOKUP(E1336,Sheet1!$A$2:$B$25,2,FALSE)</f>
        <v>0</v>
      </c>
    </row>
    <row r="1337" spans="1:7" x14ac:dyDescent="0.25">
      <c r="A1337" s="11">
        <v>44589.833333333336</v>
      </c>
      <c r="B1337" s="10">
        <v>323.065</v>
      </c>
      <c r="C1337">
        <f t="shared" si="80"/>
        <v>5</v>
      </c>
      <c r="D1337">
        <f t="shared" si="81"/>
        <v>28</v>
      </c>
      <c r="E1337">
        <f t="shared" si="82"/>
        <v>20</v>
      </c>
      <c r="F1337">
        <f t="shared" si="83"/>
        <v>1</v>
      </c>
      <c r="G1337">
        <f>VLOOKUP(E1337,Sheet1!$A$2:$B$25,2,FALSE)</f>
        <v>0</v>
      </c>
    </row>
    <row r="1338" spans="1:7" x14ac:dyDescent="0.25">
      <c r="A1338" s="11">
        <v>44589.854166666664</v>
      </c>
      <c r="B1338" s="10">
        <v>321.83600000000001</v>
      </c>
      <c r="C1338">
        <f t="shared" si="80"/>
        <v>5</v>
      </c>
      <c r="D1338">
        <f t="shared" si="81"/>
        <v>28</v>
      </c>
      <c r="E1338">
        <f t="shared" si="82"/>
        <v>20</v>
      </c>
      <c r="F1338">
        <f t="shared" si="83"/>
        <v>1</v>
      </c>
      <c r="G1338">
        <f>VLOOKUP(E1338,Sheet1!$A$2:$B$25,2,FALSE)</f>
        <v>0</v>
      </c>
    </row>
    <row r="1339" spans="1:7" x14ac:dyDescent="0.25">
      <c r="A1339" s="11">
        <v>44589.875</v>
      </c>
      <c r="B1339" s="10">
        <v>333.74</v>
      </c>
      <c r="C1339">
        <f t="shared" si="80"/>
        <v>5</v>
      </c>
      <c r="D1339">
        <f t="shared" si="81"/>
        <v>28</v>
      </c>
      <c r="E1339">
        <f t="shared" si="82"/>
        <v>21</v>
      </c>
      <c r="F1339">
        <f t="shared" si="83"/>
        <v>1</v>
      </c>
      <c r="G1339">
        <f>VLOOKUP(E1339,Sheet1!$A$2:$B$25,2,FALSE)</f>
        <v>0</v>
      </c>
    </row>
    <row r="1340" spans="1:7" x14ac:dyDescent="0.25">
      <c r="A1340" s="11">
        <v>44589.895833333336</v>
      </c>
      <c r="B1340" s="10">
        <v>329.76100000000002</v>
      </c>
      <c r="C1340">
        <f t="shared" si="80"/>
        <v>5</v>
      </c>
      <c r="D1340">
        <f t="shared" si="81"/>
        <v>28</v>
      </c>
      <c r="E1340">
        <f t="shared" si="82"/>
        <v>21</v>
      </c>
      <c r="F1340">
        <f t="shared" si="83"/>
        <v>1</v>
      </c>
      <c r="G1340">
        <f>VLOOKUP(E1340,Sheet1!$A$2:$B$25,2,FALSE)</f>
        <v>0</v>
      </c>
    </row>
    <row r="1341" spans="1:7" x14ac:dyDescent="0.25">
      <c r="A1341" s="11">
        <v>44589.916666666664</v>
      </c>
      <c r="B1341" s="10">
        <v>323.3</v>
      </c>
      <c r="C1341">
        <f t="shared" si="80"/>
        <v>5</v>
      </c>
      <c r="D1341">
        <f t="shared" si="81"/>
        <v>28</v>
      </c>
      <c r="E1341">
        <f t="shared" si="82"/>
        <v>22</v>
      </c>
      <c r="F1341">
        <f t="shared" si="83"/>
        <v>1</v>
      </c>
      <c r="G1341">
        <f>VLOOKUP(E1341,Sheet1!$A$2:$B$25,2,FALSE)</f>
        <v>0</v>
      </c>
    </row>
    <row r="1342" spans="1:7" x14ac:dyDescent="0.25">
      <c r="A1342" s="11">
        <v>44589.9375</v>
      </c>
      <c r="B1342" s="10">
        <v>316.45999999999998</v>
      </c>
      <c r="C1342">
        <f t="shared" si="80"/>
        <v>5</v>
      </c>
      <c r="D1342">
        <f t="shared" si="81"/>
        <v>28</v>
      </c>
      <c r="E1342">
        <f t="shared" si="82"/>
        <v>22</v>
      </c>
      <c r="F1342">
        <f t="shared" si="83"/>
        <v>1</v>
      </c>
      <c r="G1342">
        <f>VLOOKUP(E1342,Sheet1!$A$2:$B$25,2,FALSE)</f>
        <v>0</v>
      </c>
    </row>
    <row r="1343" spans="1:7" x14ac:dyDescent="0.25">
      <c r="A1343" s="11">
        <v>44589.958333333336</v>
      </c>
      <c r="B1343" s="10">
        <v>317.66000000000003</v>
      </c>
      <c r="C1343">
        <f t="shared" si="80"/>
        <v>5</v>
      </c>
      <c r="D1343">
        <f t="shared" si="81"/>
        <v>28</v>
      </c>
      <c r="E1343">
        <f t="shared" si="82"/>
        <v>23</v>
      </c>
      <c r="F1343">
        <f t="shared" si="83"/>
        <v>1</v>
      </c>
      <c r="G1343">
        <f>VLOOKUP(E1343,Sheet1!$A$2:$B$25,2,FALSE)</f>
        <v>0</v>
      </c>
    </row>
    <row r="1344" spans="1:7" x14ac:dyDescent="0.25">
      <c r="A1344" s="11">
        <v>44589.979166666664</v>
      </c>
      <c r="B1344" s="10">
        <v>315.83600000000001</v>
      </c>
      <c r="C1344">
        <f t="shared" si="80"/>
        <v>5</v>
      </c>
      <c r="D1344">
        <f t="shared" si="81"/>
        <v>28</v>
      </c>
      <c r="E1344">
        <f t="shared" si="82"/>
        <v>23</v>
      </c>
      <c r="F1344">
        <f t="shared" si="83"/>
        <v>1</v>
      </c>
      <c r="G1344">
        <f>VLOOKUP(E1344,Sheet1!$A$2:$B$25,2,FALSE)</f>
        <v>0</v>
      </c>
    </row>
    <row r="1345" spans="1:7" x14ac:dyDescent="0.25">
      <c r="A1345" s="11">
        <v>44590</v>
      </c>
      <c r="B1345" s="10">
        <v>316.7</v>
      </c>
      <c r="C1345">
        <f t="shared" si="80"/>
        <v>6</v>
      </c>
      <c r="D1345">
        <f t="shared" si="81"/>
        <v>29</v>
      </c>
      <c r="E1345">
        <f t="shared" si="82"/>
        <v>0</v>
      </c>
      <c r="F1345">
        <f t="shared" si="83"/>
        <v>0</v>
      </c>
      <c r="G1345">
        <f>VLOOKUP(E1345,Sheet1!$A$2:$B$25,2,FALSE)</f>
        <v>0</v>
      </c>
    </row>
    <row r="1346" spans="1:7" x14ac:dyDescent="0.25">
      <c r="A1346" s="11">
        <v>44590.020833333336</v>
      </c>
      <c r="B1346" s="10">
        <v>320.90499999999997</v>
      </c>
      <c r="C1346">
        <f t="shared" ref="C1346:C1409" si="84">WEEKDAY(A1346,2)</f>
        <v>6</v>
      </c>
      <c r="D1346">
        <f t="shared" ref="D1346:D1409" si="85">DAY(A1346)</f>
        <v>29</v>
      </c>
      <c r="E1346">
        <f t="shared" ref="E1346:E1409" si="86">HOUR(A1346)</f>
        <v>0</v>
      </c>
      <c r="F1346">
        <f t="shared" si="83"/>
        <v>0</v>
      </c>
      <c r="G1346">
        <f>VLOOKUP(E1346,Sheet1!$A$2:$B$25,2,FALSE)</f>
        <v>0</v>
      </c>
    </row>
    <row r="1347" spans="1:7" x14ac:dyDescent="0.25">
      <c r="A1347" s="11">
        <v>44590.041666666664</v>
      </c>
      <c r="B1347" s="10">
        <v>318.26</v>
      </c>
      <c r="C1347">
        <f t="shared" si="84"/>
        <v>6</v>
      </c>
      <c r="D1347">
        <f t="shared" si="85"/>
        <v>29</v>
      </c>
      <c r="E1347">
        <f t="shared" si="86"/>
        <v>1</v>
      </c>
      <c r="F1347">
        <f t="shared" ref="F1347:F1410" si="87">IF(C1347&gt;=6,0,1)</f>
        <v>0</v>
      </c>
      <c r="G1347">
        <f>VLOOKUP(E1347,Sheet1!$A$2:$B$25,2,FALSE)</f>
        <v>0</v>
      </c>
    </row>
    <row r="1348" spans="1:7" x14ac:dyDescent="0.25">
      <c r="A1348" s="11">
        <v>44590.0625</v>
      </c>
      <c r="B1348" s="10">
        <v>315.86</v>
      </c>
      <c r="C1348">
        <f t="shared" si="84"/>
        <v>6</v>
      </c>
      <c r="D1348">
        <f t="shared" si="85"/>
        <v>29</v>
      </c>
      <c r="E1348">
        <f t="shared" si="86"/>
        <v>1</v>
      </c>
      <c r="F1348">
        <f t="shared" si="87"/>
        <v>0</v>
      </c>
      <c r="G1348">
        <f>VLOOKUP(E1348,Sheet1!$A$2:$B$25,2,FALSE)</f>
        <v>0</v>
      </c>
    </row>
    <row r="1349" spans="1:7" x14ac:dyDescent="0.25">
      <c r="A1349" s="11">
        <v>44590.083333333336</v>
      </c>
      <c r="B1349" s="10">
        <v>318.02</v>
      </c>
      <c r="C1349">
        <f t="shared" si="84"/>
        <v>6</v>
      </c>
      <c r="D1349">
        <f t="shared" si="85"/>
        <v>29</v>
      </c>
      <c r="E1349">
        <f t="shared" si="86"/>
        <v>2</v>
      </c>
      <c r="F1349">
        <f t="shared" si="87"/>
        <v>0</v>
      </c>
      <c r="G1349">
        <f>VLOOKUP(E1349,Sheet1!$A$2:$B$25,2,FALSE)</f>
        <v>0</v>
      </c>
    </row>
    <row r="1350" spans="1:7" x14ac:dyDescent="0.25">
      <c r="A1350" s="11">
        <v>44590.104166666664</v>
      </c>
      <c r="B1350" s="10">
        <v>319.45999999999998</v>
      </c>
      <c r="C1350">
        <f t="shared" si="84"/>
        <v>6</v>
      </c>
      <c r="D1350">
        <f t="shared" si="85"/>
        <v>29</v>
      </c>
      <c r="E1350">
        <f t="shared" si="86"/>
        <v>2</v>
      </c>
      <c r="F1350">
        <f t="shared" si="87"/>
        <v>0</v>
      </c>
      <c r="G1350">
        <f>VLOOKUP(E1350,Sheet1!$A$2:$B$25,2,FALSE)</f>
        <v>0</v>
      </c>
    </row>
    <row r="1351" spans="1:7" x14ac:dyDescent="0.25">
      <c r="A1351" s="11">
        <v>44590.125</v>
      </c>
      <c r="B1351" s="10">
        <v>317.42</v>
      </c>
      <c r="C1351">
        <f t="shared" si="84"/>
        <v>6</v>
      </c>
      <c r="D1351">
        <f t="shared" si="85"/>
        <v>29</v>
      </c>
      <c r="E1351">
        <f t="shared" si="86"/>
        <v>3</v>
      </c>
      <c r="F1351">
        <f t="shared" si="87"/>
        <v>0</v>
      </c>
      <c r="G1351">
        <f>VLOOKUP(E1351,Sheet1!$A$2:$B$25,2,FALSE)</f>
        <v>0</v>
      </c>
    </row>
    <row r="1352" spans="1:7" x14ac:dyDescent="0.25">
      <c r="A1352" s="11">
        <v>44590.145833333336</v>
      </c>
      <c r="B1352" s="10">
        <v>312.596</v>
      </c>
      <c r="C1352">
        <f t="shared" si="84"/>
        <v>6</v>
      </c>
      <c r="D1352">
        <f t="shared" si="85"/>
        <v>29</v>
      </c>
      <c r="E1352">
        <f t="shared" si="86"/>
        <v>3</v>
      </c>
      <c r="F1352">
        <f t="shared" si="87"/>
        <v>0</v>
      </c>
      <c r="G1352">
        <f>VLOOKUP(E1352,Sheet1!$A$2:$B$25,2,FALSE)</f>
        <v>0</v>
      </c>
    </row>
    <row r="1353" spans="1:7" x14ac:dyDescent="0.25">
      <c r="A1353" s="11">
        <v>44590.166666666664</v>
      </c>
      <c r="B1353" s="10">
        <v>312.14</v>
      </c>
      <c r="C1353">
        <f t="shared" si="84"/>
        <v>6</v>
      </c>
      <c r="D1353">
        <f t="shared" si="85"/>
        <v>29</v>
      </c>
      <c r="E1353">
        <f t="shared" si="86"/>
        <v>4</v>
      </c>
      <c r="F1353">
        <f t="shared" si="87"/>
        <v>0</v>
      </c>
      <c r="G1353">
        <f>VLOOKUP(E1353,Sheet1!$A$2:$B$25,2,FALSE)</f>
        <v>1</v>
      </c>
    </row>
    <row r="1354" spans="1:7" x14ac:dyDescent="0.25">
      <c r="A1354" s="11">
        <v>44590.1875</v>
      </c>
      <c r="B1354" s="10">
        <v>319.58</v>
      </c>
      <c r="C1354">
        <f t="shared" si="84"/>
        <v>6</v>
      </c>
      <c r="D1354">
        <f t="shared" si="85"/>
        <v>29</v>
      </c>
      <c r="E1354">
        <f t="shared" si="86"/>
        <v>4</v>
      </c>
      <c r="F1354">
        <f t="shared" si="87"/>
        <v>0</v>
      </c>
      <c r="G1354">
        <f>VLOOKUP(E1354,Sheet1!$A$2:$B$25,2,FALSE)</f>
        <v>1</v>
      </c>
    </row>
    <row r="1355" spans="1:7" x14ac:dyDescent="0.25">
      <c r="A1355" s="11">
        <v>44590.208333333336</v>
      </c>
      <c r="B1355" s="10">
        <v>322.79599999999999</v>
      </c>
      <c r="C1355">
        <f t="shared" si="84"/>
        <v>6</v>
      </c>
      <c r="D1355">
        <f t="shared" si="85"/>
        <v>29</v>
      </c>
      <c r="E1355">
        <f t="shared" si="86"/>
        <v>5</v>
      </c>
      <c r="F1355">
        <f t="shared" si="87"/>
        <v>0</v>
      </c>
      <c r="G1355">
        <f>VLOOKUP(E1355,Sheet1!$A$2:$B$25,2,FALSE)</f>
        <v>1</v>
      </c>
    </row>
    <row r="1356" spans="1:7" x14ac:dyDescent="0.25">
      <c r="A1356" s="11">
        <v>44590.229166666664</v>
      </c>
      <c r="B1356" s="10">
        <v>319.94</v>
      </c>
      <c r="C1356">
        <f t="shared" si="84"/>
        <v>6</v>
      </c>
      <c r="D1356">
        <f t="shared" si="85"/>
        <v>29</v>
      </c>
      <c r="E1356">
        <f t="shared" si="86"/>
        <v>5</v>
      </c>
      <c r="F1356">
        <f t="shared" si="87"/>
        <v>0</v>
      </c>
      <c r="G1356">
        <f>VLOOKUP(E1356,Sheet1!$A$2:$B$25,2,FALSE)</f>
        <v>1</v>
      </c>
    </row>
    <row r="1357" spans="1:7" x14ac:dyDescent="0.25">
      <c r="A1357" s="11">
        <v>44590.25</v>
      </c>
      <c r="B1357" s="10">
        <v>322.94499999999999</v>
      </c>
      <c r="C1357">
        <f t="shared" si="84"/>
        <v>6</v>
      </c>
      <c r="D1357">
        <f t="shared" si="85"/>
        <v>29</v>
      </c>
      <c r="E1357">
        <f t="shared" si="86"/>
        <v>6</v>
      </c>
      <c r="F1357">
        <f t="shared" si="87"/>
        <v>0</v>
      </c>
      <c r="G1357">
        <f>VLOOKUP(E1357,Sheet1!$A$2:$B$25,2,FALSE)</f>
        <v>1</v>
      </c>
    </row>
    <row r="1358" spans="1:7" x14ac:dyDescent="0.25">
      <c r="A1358" s="11">
        <v>44590.270833333336</v>
      </c>
      <c r="B1358" s="10">
        <v>344.036</v>
      </c>
      <c r="C1358">
        <f t="shared" si="84"/>
        <v>6</v>
      </c>
      <c r="D1358">
        <f t="shared" si="85"/>
        <v>29</v>
      </c>
      <c r="E1358">
        <f t="shared" si="86"/>
        <v>6</v>
      </c>
      <c r="F1358">
        <f t="shared" si="87"/>
        <v>0</v>
      </c>
      <c r="G1358">
        <f>VLOOKUP(E1358,Sheet1!$A$2:$B$25,2,FALSE)</f>
        <v>1</v>
      </c>
    </row>
    <row r="1359" spans="1:7" x14ac:dyDescent="0.25">
      <c r="A1359" s="11">
        <v>44590.291666666664</v>
      </c>
      <c r="B1359" s="10">
        <v>342.74</v>
      </c>
      <c r="C1359">
        <f t="shared" si="84"/>
        <v>6</v>
      </c>
      <c r="D1359">
        <f t="shared" si="85"/>
        <v>29</v>
      </c>
      <c r="E1359">
        <f t="shared" si="86"/>
        <v>7</v>
      </c>
      <c r="F1359">
        <f t="shared" si="87"/>
        <v>0</v>
      </c>
      <c r="G1359">
        <f>VLOOKUP(E1359,Sheet1!$A$2:$B$25,2,FALSE)</f>
        <v>1</v>
      </c>
    </row>
    <row r="1360" spans="1:7" x14ac:dyDescent="0.25">
      <c r="A1360" s="11">
        <v>44590.3125</v>
      </c>
      <c r="B1360" s="10">
        <v>346.79599999999999</v>
      </c>
      <c r="C1360">
        <f t="shared" si="84"/>
        <v>6</v>
      </c>
      <c r="D1360">
        <f t="shared" si="85"/>
        <v>29</v>
      </c>
      <c r="E1360">
        <f t="shared" si="86"/>
        <v>7</v>
      </c>
      <c r="F1360">
        <f t="shared" si="87"/>
        <v>0</v>
      </c>
      <c r="G1360">
        <f>VLOOKUP(E1360,Sheet1!$A$2:$B$25,2,FALSE)</f>
        <v>1</v>
      </c>
    </row>
    <row r="1361" spans="1:7" x14ac:dyDescent="0.25">
      <c r="A1361" s="11">
        <v>44590.333333333336</v>
      </c>
      <c r="B1361" s="10">
        <v>333.02499999999998</v>
      </c>
      <c r="C1361">
        <f t="shared" si="84"/>
        <v>6</v>
      </c>
      <c r="D1361">
        <f t="shared" si="85"/>
        <v>29</v>
      </c>
      <c r="E1361">
        <f t="shared" si="86"/>
        <v>8</v>
      </c>
      <c r="F1361">
        <f t="shared" si="87"/>
        <v>0</v>
      </c>
      <c r="G1361">
        <f>VLOOKUP(E1361,Sheet1!$A$2:$B$25,2,FALSE)</f>
        <v>1</v>
      </c>
    </row>
    <row r="1362" spans="1:7" x14ac:dyDescent="0.25">
      <c r="A1362" s="11">
        <v>44590.354166666664</v>
      </c>
      <c r="B1362" s="10">
        <v>333.62</v>
      </c>
      <c r="C1362">
        <f t="shared" si="84"/>
        <v>6</v>
      </c>
      <c r="D1362">
        <f t="shared" si="85"/>
        <v>29</v>
      </c>
      <c r="E1362">
        <f t="shared" si="86"/>
        <v>8</v>
      </c>
      <c r="F1362">
        <f t="shared" si="87"/>
        <v>0</v>
      </c>
      <c r="G1362">
        <f>VLOOKUP(E1362,Sheet1!$A$2:$B$25,2,FALSE)</f>
        <v>1</v>
      </c>
    </row>
    <row r="1363" spans="1:7" x14ac:dyDescent="0.25">
      <c r="A1363" s="11">
        <v>44590.375</v>
      </c>
      <c r="B1363" s="10">
        <v>328.56099999999998</v>
      </c>
      <c r="C1363">
        <f t="shared" si="84"/>
        <v>6</v>
      </c>
      <c r="D1363">
        <f t="shared" si="85"/>
        <v>29</v>
      </c>
      <c r="E1363">
        <f t="shared" si="86"/>
        <v>9</v>
      </c>
      <c r="F1363">
        <f t="shared" si="87"/>
        <v>0</v>
      </c>
      <c r="G1363">
        <f>VLOOKUP(E1363,Sheet1!$A$2:$B$25,2,FALSE)</f>
        <v>1</v>
      </c>
    </row>
    <row r="1364" spans="1:7" x14ac:dyDescent="0.25">
      <c r="A1364" s="11">
        <v>44590.395833333336</v>
      </c>
      <c r="B1364" s="10">
        <v>336.86</v>
      </c>
      <c r="C1364">
        <f t="shared" si="84"/>
        <v>6</v>
      </c>
      <c r="D1364">
        <f t="shared" si="85"/>
        <v>29</v>
      </c>
      <c r="E1364">
        <f t="shared" si="86"/>
        <v>9</v>
      </c>
      <c r="F1364">
        <f t="shared" si="87"/>
        <v>0</v>
      </c>
      <c r="G1364">
        <f>VLOOKUP(E1364,Sheet1!$A$2:$B$25,2,FALSE)</f>
        <v>1</v>
      </c>
    </row>
    <row r="1365" spans="1:7" x14ac:dyDescent="0.25">
      <c r="A1365" s="11">
        <v>44590.416666666664</v>
      </c>
      <c r="B1365" s="10">
        <v>341.15600000000001</v>
      </c>
      <c r="C1365">
        <f t="shared" si="84"/>
        <v>6</v>
      </c>
      <c r="D1365">
        <f t="shared" si="85"/>
        <v>29</v>
      </c>
      <c r="E1365">
        <f t="shared" si="86"/>
        <v>10</v>
      </c>
      <c r="F1365">
        <f t="shared" si="87"/>
        <v>0</v>
      </c>
      <c r="G1365">
        <f>VLOOKUP(E1365,Sheet1!$A$2:$B$25,2,FALSE)</f>
        <v>1</v>
      </c>
    </row>
    <row r="1366" spans="1:7" x14ac:dyDescent="0.25">
      <c r="A1366" s="11">
        <v>44590.4375</v>
      </c>
      <c r="B1366" s="10">
        <v>334.46</v>
      </c>
      <c r="C1366">
        <f t="shared" si="84"/>
        <v>6</v>
      </c>
      <c r="D1366">
        <f t="shared" si="85"/>
        <v>29</v>
      </c>
      <c r="E1366">
        <f t="shared" si="86"/>
        <v>10</v>
      </c>
      <c r="F1366">
        <f t="shared" si="87"/>
        <v>0</v>
      </c>
      <c r="G1366">
        <f>VLOOKUP(E1366,Sheet1!$A$2:$B$25,2,FALSE)</f>
        <v>1</v>
      </c>
    </row>
    <row r="1367" spans="1:7" x14ac:dyDescent="0.25">
      <c r="A1367" s="11">
        <v>44590.458333333336</v>
      </c>
      <c r="B1367" s="10">
        <v>334.10500000000002</v>
      </c>
      <c r="C1367">
        <f t="shared" si="84"/>
        <v>6</v>
      </c>
      <c r="D1367">
        <f t="shared" si="85"/>
        <v>29</v>
      </c>
      <c r="E1367">
        <f t="shared" si="86"/>
        <v>11</v>
      </c>
      <c r="F1367">
        <f t="shared" si="87"/>
        <v>0</v>
      </c>
      <c r="G1367">
        <f>VLOOKUP(E1367,Sheet1!$A$2:$B$25,2,FALSE)</f>
        <v>1</v>
      </c>
    </row>
    <row r="1368" spans="1:7" x14ac:dyDescent="0.25">
      <c r="A1368" s="11">
        <v>44590.479166666664</v>
      </c>
      <c r="B1368" s="10">
        <v>337.7</v>
      </c>
      <c r="C1368">
        <f t="shared" si="84"/>
        <v>6</v>
      </c>
      <c r="D1368">
        <f t="shared" si="85"/>
        <v>29</v>
      </c>
      <c r="E1368">
        <f t="shared" si="86"/>
        <v>11</v>
      </c>
      <c r="F1368">
        <f t="shared" si="87"/>
        <v>0</v>
      </c>
      <c r="G1368">
        <f>VLOOKUP(E1368,Sheet1!$A$2:$B$25,2,FALSE)</f>
        <v>1</v>
      </c>
    </row>
    <row r="1369" spans="1:7" x14ac:dyDescent="0.25">
      <c r="A1369" s="11">
        <v>44590.5</v>
      </c>
      <c r="B1369" s="10">
        <v>328.67599999999999</v>
      </c>
      <c r="C1369">
        <f t="shared" si="84"/>
        <v>6</v>
      </c>
      <c r="D1369">
        <f t="shared" si="85"/>
        <v>29</v>
      </c>
      <c r="E1369">
        <f t="shared" si="86"/>
        <v>12</v>
      </c>
      <c r="F1369">
        <f t="shared" si="87"/>
        <v>0</v>
      </c>
      <c r="G1369">
        <f>VLOOKUP(E1369,Sheet1!$A$2:$B$25,2,FALSE)</f>
        <v>1</v>
      </c>
    </row>
    <row r="1370" spans="1:7" x14ac:dyDescent="0.25">
      <c r="A1370" s="11">
        <v>44590.520833333336</v>
      </c>
      <c r="B1370" s="10">
        <v>328.916</v>
      </c>
      <c r="C1370">
        <f t="shared" si="84"/>
        <v>6</v>
      </c>
      <c r="D1370">
        <f t="shared" si="85"/>
        <v>29</v>
      </c>
      <c r="E1370">
        <f t="shared" si="86"/>
        <v>12</v>
      </c>
      <c r="F1370">
        <f t="shared" si="87"/>
        <v>0</v>
      </c>
      <c r="G1370">
        <f>VLOOKUP(E1370,Sheet1!$A$2:$B$25,2,FALSE)</f>
        <v>1</v>
      </c>
    </row>
    <row r="1371" spans="1:7" x14ac:dyDescent="0.25">
      <c r="A1371" s="11">
        <v>44590.541666666664</v>
      </c>
      <c r="B1371" s="10">
        <v>311.90499999999997</v>
      </c>
      <c r="C1371">
        <f t="shared" si="84"/>
        <v>6</v>
      </c>
      <c r="D1371">
        <f t="shared" si="85"/>
        <v>29</v>
      </c>
      <c r="E1371">
        <f t="shared" si="86"/>
        <v>13</v>
      </c>
      <c r="F1371">
        <f t="shared" si="87"/>
        <v>0</v>
      </c>
      <c r="G1371">
        <f>VLOOKUP(E1371,Sheet1!$A$2:$B$25,2,FALSE)</f>
        <v>1</v>
      </c>
    </row>
    <row r="1372" spans="1:7" x14ac:dyDescent="0.25">
      <c r="A1372" s="11">
        <v>44590.5625</v>
      </c>
      <c r="B1372" s="10">
        <v>318.476</v>
      </c>
      <c r="C1372">
        <f t="shared" si="84"/>
        <v>6</v>
      </c>
      <c r="D1372">
        <f t="shared" si="85"/>
        <v>29</v>
      </c>
      <c r="E1372">
        <f t="shared" si="86"/>
        <v>13</v>
      </c>
      <c r="F1372">
        <f t="shared" si="87"/>
        <v>0</v>
      </c>
      <c r="G1372">
        <f>VLOOKUP(E1372,Sheet1!$A$2:$B$25,2,FALSE)</f>
        <v>1</v>
      </c>
    </row>
    <row r="1373" spans="1:7" x14ac:dyDescent="0.25">
      <c r="A1373" s="11">
        <v>44590.583333333336</v>
      </c>
      <c r="B1373" s="10">
        <v>334.31599999999997</v>
      </c>
      <c r="C1373">
        <f t="shared" si="84"/>
        <v>6</v>
      </c>
      <c r="D1373">
        <f t="shared" si="85"/>
        <v>29</v>
      </c>
      <c r="E1373">
        <f t="shared" si="86"/>
        <v>14</v>
      </c>
      <c r="F1373">
        <f t="shared" si="87"/>
        <v>0</v>
      </c>
      <c r="G1373">
        <f>VLOOKUP(E1373,Sheet1!$A$2:$B$25,2,FALSE)</f>
        <v>1</v>
      </c>
    </row>
    <row r="1374" spans="1:7" x14ac:dyDescent="0.25">
      <c r="A1374" s="11">
        <v>44590.604166666664</v>
      </c>
      <c r="B1374" s="10">
        <v>320.99599999999998</v>
      </c>
      <c r="C1374">
        <f t="shared" si="84"/>
        <v>6</v>
      </c>
      <c r="D1374">
        <f t="shared" si="85"/>
        <v>29</v>
      </c>
      <c r="E1374">
        <f t="shared" si="86"/>
        <v>14</v>
      </c>
      <c r="F1374">
        <f t="shared" si="87"/>
        <v>0</v>
      </c>
      <c r="G1374">
        <f>VLOOKUP(E1374,Sheet1!$A$2:$B$25,2,FALSE)</f>
        <v>1</v>
      </c>
    </row>
    <row r="1375" spans="1:7" x14ac:dyDescent="0.25">
      <c r="A1375" s="11">
        <v>44590.625</v>
      </c>
      <c r="B1375" s="10">
        <v>314.40100000000001</v>
      </c>
      <c r="C1375">
        <f t="shared" si="84"/>
        <v>6</v>
      </c>
      <c r="D1375">
        <f t="shared" si="85"/>
        <v>29</v>
      </c>
      <c r="E1375">
        <f t="shared" si="86"/>
        <v>15</v>
      </c>
      <c r="F1375">
        <f t="shared" si="87"/>
        <v>0</v>
      </c>
      <c r="G1375">
        <f>VLOOKUP(E1375,Sheet1!$A$2:$B$25,2,FALSE)</f>
        <v>1</v>
      </c>
    </row>
    <row r="1376" spans="1:7" x14ac:dyDescent="0.25">
      <c r="A1376" s="11">
        <v>44590.645833333336</v>
      </c>
      <c r="B1376" s="10">
        <v>316.58</v>
      </c>
      <c r="C1376">
        <f t="shared" si="84"/>
        <v>6</v>
      </c>
      <c r="D1376">
        <f t="shared" si="85"/>
        <v>29</v>
      </c>
      <c r="E1376">
        <f t="shared" si="86"/>
        <v>15</v>
      </c>
      <c r="F1376">
        <f t="shared" si="87"/>
        <v>0</v>
      </c>
      <c r="G1376">
        <f>VLOOKUP(E1376,Sheet1!$A$2:$B$25,2,FALSE)</f>
        <v>1</v>
      </c>
    </row>
    <row r="1377" spans="1:7" x14ac:dyDescent="0.25">
      <c r="A1377" s="11">
        <v>44590.666666666664</v>
      </c>
      <c r="B1377" s="10">
        <v>317.77999999999997</v>
      </c>
      <c r="C1377">
        <f t="shared" si="84"/>
        <v>6</v>
      </c>
      <c r="D1377">
        <f t="shared" si="85"/>
        <v>29</v>
      </c>
      <c r="E1377">
        <f t="shared" si="86"/>
        <v>16</v>
      </c>
      <c r="F1377">
        <f t="shared" si="87"/>
        <v>0</v>
      </c>
      <c r="G1377">
        <f>VLOOKUP(E1377,Sheet1!$A$2:$B$25,2,FALSE)</f>
        <v>0</v>
      </c>
    </row>
    <row r="1378" spans="1:7" x14ac:dyDescent="0.25">
      <c r="A1378" s="11">
        <v>44590.6875</v>
      </c>
      <c r="B1378" s="10">
        <v>315.86500000000001</v>
      </c>
      <c r="C1378">
        <f t="shared" si="84"/>
        <v>6</v>
      </c>
      <c r="D1378">
        <f t="shared" si="85"/>
        <v>29</v>
      </c>
      <c r="E1378">
        <f t="shared" si="86"/>
        <v>16</v>
      </c>
      <c r="F1378">
        <f t="shared" si="87"/>
        <v>0</v>
      </c>
      <c r="G1378">
        <f>VLOOKUP(E1378,Sheet1!$A$2:$B$25,2,FALSE)</f>
        <v>0</v>
      </c>
    </row>
    <row r="1379" spans="1:7" x14ac:dyDescent="0.25">
      <c r="A1379" s="11">
        <v>44590.708333333336</v>
      </c>
      <c r="B1379" s="10">
        <v>319.07600000000002</v>
      </c>
      <c r="C1379">
        <f t="shared" si="84"/>
        <v>6</v>
      </c>
      <c r="D1379">
        <f t="shared" si="85"/>
        <v>29</v>
      </c>
      <c r="E1379">
        <f t="shared" si="86"/>
        <v>17</v>
      </c>
      <c r="F1379">
        <f t="shared" si="87"/>
        <v>0</v>
      </c>
      <c r="G1379">
        <f>VLOOKUP(E1379,Sheet1!$A$2:$B$25,2,FALSE)</f>
        <v>0</v>
      </c>
    </row>
    <row r="1380" spans="1:7" x14ac:dyDescent="0.25">
      <c r="A1380" s="11">
        <v>44590.729166666664</v>
      </c>
      <c r="B1380" s="10">
        <v>321.38</v>
      </c>
      <c r="C1380">
        <f t="shared" si="84"/>
        <v>6</v>
      </c>
      <c r="D1380">
        <f t="shared" si="85"/>
        <v>29</v>
      </c>
      <c r="E1380">
        <f t="shared" si="86"/>
        <v>17</v>
      </c>
      <c r="F1380">
        <f t="shared" si="87"/>
        <v>0</v>
      </c>
      <c r="G1380">
        <f>VLOOKUP(E1380,Sheet1!$A$2:$B$25,2,FALSE)</f>
        <v>0</v>
      </c>
    </row>
    <row r="1381" spans="1:7" x14ac:dyDescent="0.25">
      <c r="A1381" s="11">
        <v>44590.75</v>
      </c>
      <c r="B1381" s="10">
        <v>333.71600000000001</v>
      </c>
      <c r="C1381">
        <f t="shared" si="84"/>
        <v>6</v>
      </c>
      <c r="D1381">
        <f t="shared" si="85"/>
        <v>29</v>
      </c>
      <c r="E1381">
        <f t="shared" si="86"/>
        <v>18</v>
      </c>
      <c r="F1381">
        <f t="shared" si="87"/>
        <v>0</v>
      </c>
      <c r="G1381">
        <f>VLOOKUP(E1381,Sheet1!$A$2:$B$25,2,FALSE)</f>
        <v>0</v>
      </c>
    </row>
    <row r="1382" spans="1:7" x14ac:dyDescent="0.25">
      <c r="A1382" s="11">
        <v>44590.770833333336</v>
      </c>
      <c r="B1382" s="10">
        <v>318.26</v>
      </c>
      <c r="C1382">
        <f t="shared" si="84"/>
        <v>6</v>
      </c>
      <c r="D1382">
        <f t="shared" si="85"/>
        <v>29</v>
      </c>
      <c r="E1382">
        <f t="shared" si="86"/>
        <v>18</v>
      </c>
      <c r="F1382">
        <f t="shared" si="87"/>
        <v>0</v>
      </c>
      <c r="G1382">
        <f>VLOOKUP(E1382,Sheet1!$A$2:$B$25,2,FALSE)</f>
        <v>0</v>
      </c>
    </row>
    <row r="1383" spans="1:7" x14ac:dyDescent="0.25">
      <c r="A1383" s="11">
        <v>44590.791666666664</v>
      </c>
      <c r="B1383" s="10">
        <v>306.476</v>
      </c>
      <c r="C1383">
        <f t="shared" si="84"/>
        <v>6</v>
      </c>
      <c r="D1383">
        <f t="shared" si="85"/>
        <v>29</v>
      </c>
      <c r="E1383">
        <f t="shared" si="86"/>
        <v>19</v>
      </c>
      <c r="F1383">
        <f t="shared" si="87"/>
        <v>0</v>
      </c>
      <c r="G1383">
        <f>VLOOKUP(E1383,Sheet1!$A$2:$B$25,2,FALSE)</f>
        <v>0</v>
      </c>
    </row>
    <row r="1384" spans="1:7" x14ac:dyDescent="0.25">
      <c r="A1384" s="11">
        <v>44590.8125</v>
      </c>
      <c r="B1384" s="10">
        <v>305.18</v>
      </c>
      <c r="C1384">
        <f t="shared" si="84"/>
        <v>6</v>
      </c>
      <c r="D1384">
        <f t="shared" si="85"/>
        <v>29</v>
      </c>
      <c r="E1384">
        <f t="shared" si="86"/>
        <v>19</v>
      </c>
      <c r="F1384">
        <f t="shared" si="87"/>
        <v>0</v>
      </c>
      <c r="G1384">
        <f>VLOOKUP(E1384,Sheet1!$A$2:$B$25,2,FALSE)</f>
        <v>0</v>
      </c>
    </row>
    <row r="1385" spans="1:7" x14ac:dyDescent="0.25">
      <c r="A1385" s="11">
        <v>44590.833333333336</v>
      </c>
      <c r="B1385" s="10">
        <v>305.42</v>
      </c>
      <c r="C1385">
        <f t="shared" si="84"/>
        <v>6</v>
      </c>
      <c r="D1385">
        <f t="shared" si="85"/>
        <v>29</v>
      </c>
      <c r="E1385">
        <f t="shared" si="86"/>
        <v>20</v>
      </c>
      <c r="F1385">
        <f t="shared" si="87"/>
        <v>0</v>
      </c>
      <c r="G1385">
        <f>VLOOKUP(E1385,Sheet1!$A$2:$B$25,2,FALSE)</f>
        <v>0</v>
      </c>
    </row>
    <row r="1386" spans="1:7" x14ac:dyDescent="0.25">
      <c r="A1386" s="11">
        <v>44590.854166666664</v>
      </c>
      <c r="B1386" s="10">
        <v>298.67599999999999</v>
      </c>
      <c r="C1386">
        <f t="shared" si="84"/>
        <v>6</v>
      </c>
      <c r="D1386">
        <f t="shared" si="85"/>
        <v>29</v>
      </c>
      <c r="E1386">
        <f t="shared" si="86"/>
        <v>20</v>
      </c>
      <c r="F1386">
        <f t="shared" si="87"/>
        <v>0</v>
      </c>
      <c r="G1386">
        <f>VLOOKUP(E1386,Sheet1!$A$2:$B$25,2,FALSE)</f>
        <v>0</v>
      </c>
    </row>
    <row r="1387" spans="1:7" x14ac:dyDescent="0.25">
      <c r="A1387" s="11">
        <v>44590.875</v>
      </c>
      <c r="B1387" s="10">
        <v>300.625</v>
      </c>
      <c r="C1387">
        <f t="shared" si="84"/>
        <v>6</v>
      </c>
      <c r="D1387">
        <f t="shared" si="85"/>
        <v>29</v>
      </c>
      <c r="E1387">
        <f t="shared" si="86"/>
        <v>21</v>
      </c>
      <c r="F1387">
        <f t="shared" si="87"/>
        <v>0</v>
      </c>
      <c r="G1387">
        <f>VLOOKUP(E1387,Sheet1!$A$2:$B$25,2,FALSE)</f>
        <v>0</v>
      </c>
    </row>
    <row r="1388" spans="1:7" x14ac:dyDescent="0.25">
      <c r="A1388" s="11">
        <v>44590.895833333336</v>
      </c>
      <c r="B1388" s="10">
        <v>298.94</v>
      </c>
      <c r="C1388">
        <f t="shared" si="84"/>
        <v>6</v>
      </c>
      <c r="D1388">
        <f t="shared" si="85"/>
        <v>29</v>
      </c>
      <c r="E1388">
        <f t="shared" si="86"/>
        <v>21</v>
      </c>
      <c r="F1388">
        <f t="shared" si="87"/>
        <v>0</v>
      </c>
      <c r="G1388">
        <f>VLOOKUP(E1388,Sheet1!$A$2:$B$25,2,FALSE)</f>
        <v>0</v>
      </c>
    </row>
    <row r="1389" spans="1:7" x14ac:dyDescent="0.25">
      <c r="A1389" s="11">
        <v>44590.916666666664</v>
      </c>
      <c r="B1389" s="10">
        <v>301.79599999999999</v>
      </c>
      <c r="C1389">
        <f t="shared" si="84"/>
        <v>6</v>
      </c>
      <c r="D1389">
        <f t="shared" si="85"/>
        <v>29</v>
      </c>
      <c r="E1389">
        <f t="shared" si="86"/>
        <v>22</v>
      </c>
      <c r="F1389">
        <f t="shared" si="87"/>
        <v>0</v>
      </c>
      <c r="G1389">
        <f>VLOOKUP(E1389,Sheet1!$A$2:$B$25,2,FALSE)</f>
        <v>0</v>
      </c>
    </row>
    <row r="1390" spans="1:7" x14ac:dyDescent="0.25">
      <c r="A1390" s="11">
        <v>44590.9375</v>
      </c>
      <c r="B1390" s="10">
        <v>308.065</v>
      </c>
      <c r="C1390">
        <f t="shared" si="84"/>
        <v>6</v>
      </c>
      <c r="D1390">
        <f t="shared" si="85"/>
        <v>29</v>
      </c>
      <c r="E1390">
        <f t="shared" si="86"/>
        <v>22</v>
      </c>
      <c r="F1390">
        <f t="shared" si="87"/>
        <v>0</v>
      </c>
      <c r="G1390">
        <f>VLOOKUP(E1390,Sheet1!$A$2:$B$25,2,FALSE)</f>
        <v>0</v>
      </c>
    </row>
    <row r="1391" spans="1:7" x14ac:dyDescent="0.25">
      <c r="A1391" s="11">
        <v>44590.958333333336</v>
      </c>
      <c r="B1391" s="10">
        <v>308.18</v>
      </c>
      <c r="C1391">
        <f t="shared" si="84"/>
        <v>6</v>
      </c>
      <c r="D1391">
        <f t="shared" si="85"/>
        <v>29</v>
      </c>
      <c r="E1391">
        <f t="shared" si="86"/>
        <v>23</v>
      </c>
      <c r="F1391">
        <f t="shared" si="87"/>
        <v>0</v>
      </c>
      <c r="G1391">
        <f>VLOOKUP(E1391,Sheet1!$A$2:$B$25,2,FALSE)</f>
        <v>0</v>
      </c>
    </row>
    <row r="1392" spans="1:7" x14ac:dyDescent="0.25">
      <c r="A1392" s="11">
        <v>44590.979166666664</v>
      </c>
      <c r="B1392" s="10">
        <v>305.036</v>
      </c>
      <c r="C1392">
        <f t="shared" si="84"/>
        <v>6</v>
      </c>
      <c r="D1392">
        <f t="shared" si="85"/>
        <v>29</v>
      </c>
      <c r="E1392">
        <f t="shared" si="86"/>
        <v>23</v>
      </c>
      <c r="F1392">
        <f t="shared" si="87"/>
        <v>0</v>
      </c>
      <c r="G1392">
        <f>VLOOKUP(E1392,Sheet1!$A$2:$B$25,2,FALSE)</f>
        <v>0</v>
      </c>
    </row>
    <row r="1393" spans="1:7" x14ac:dyDescent="0.25">
      <c r="A1393" s="11">
        <v>44591</v>
      </c>
      <c r="B1393" s="10">
        <v>311.041</v>
      </c>
      <c r="C1393">
        <f t="shared" si="84"/>
        <v>7</v>
      </c>
      <c r="D1393">
        <f t="shared" si="85"/>
        <v>30</v>
      </c>
      <c r="E1393">
        <f t="shared" si="86"/>
        <v>0</v>
      </c>
      <c r="F1393">
        <f t="shared" si="87"/>
        <v>0</v>
      </c>
      <c r="G1393">
        <f>VLOOKUP(E1393,Sheet1!$A$2:$B$25,2,FALSE)</f>
        <v>0</v>
      </c>
    </row>
    <row r="1394" spans="1:7" x14ac:dyDescent="0.25">
      <c r="A1394" s="11">
        <v>44591.020833333336</v>
      </c>
      <c r="B1394" s="10">
        <v>309.86</v>
      </c>
      <c r="C1394">
        <f t="shared" si="84"/>
        <v>7</v>
      </c>
      <c r="D1394">
        <f t="shared" si="85"/>
        <v>30</v>
      </c>
      <c r="E1394">
        <f t="shared" si="86"/>
        <v>0</v>
      </c>
      <c r="F1394">
        <f t="shared" si="87"/>
        <v>0</v>
      </c>
      <c r="G1394">
        <f>VLOOKUP(E1394,Sheet1!$A$2:$B$25,2,FALSE)</f>
        <v>0</v>
      </c>
    </row>
    <row r="1395" spans="1:7" x14ac:dyDescent="0.25">
      <c r="A1395" s="11">
        <v>44591.041666666664</v>
      </c>
      <c r="B1395" s="10">
        <v>0</v>
      </c>
      <c r="C1395">
        <f t="shared" si="84"/>
        <v>7</v>
      </c>
      <c r="D1395">
        <f t="shared" si="85"/>
        <v>30</v>
      </c>
      <c r="E1395">
        <f t="shared" si="86"/>
        <v>1</v>
      </c>
      <c r="F1395">
        <f t="shared" si="87"/>
        <v>0</v>
      </c>
      <c r="G1395">
        <f>VLOOKUP(E1395,Sheet1!$A$2:$B$25,2,FALSE)</f>
        <v>0</v>
      </c>
    </row>
    <row r="1396" spans="1:7" x14ac:dyDescent="0.25">
      <c r="A1396" s="11">
        <v>44591.0625</v>
      </c>
      <c r="B1396" s="10">
        <v>0</v>
      </c>
      <c r="C1396">
        <f t="shared" si="84"/>
        <v>7</v>
      </c>
      <c r="D1396">
        <f t="shared" si="85"/>
        <v>30</v>
      </c>
      <c r="E1396">
        <f t="shared" si="86"/>
        <v>1</v>
      </c>
      <c r="F1396">
        <f t="shared" si="87"/>
        <v>0</v>
      </c>
      <c r="G1396">
        <f>VLOOKUP(E1396,Sheet1!$A$2:$B$25,2,FALSE)</f>
        <v>0</v>
      </c>
    </row>
    <row r="1397" spans="1:7" x14ac:dyDescent="0.25">
      <c r="A1397" s="11">
        <v>44591.083333333336</v>
      </c>
      <c r="B1397" s="10">
        <v>0</v>
      </c>
      <c r="C1397">
        <f t="shared" si="84"/>
        <v>7</v>
      </c>
      <c r="D1397">
        <f t="shared" si="85"/>
        <v>30</v>
      </c>
      <c r="E1397">
        <f t="shared" si="86"/>
        <v>2</v>
      </c>
      <c r="F1397">
        <f t="shared" si="87"/>
        <v>0</v>
      </c>
      <c r="G1397">
        <f>VLOOKUP(E1397,Sheet1!$A$2:$B$25,2,FALSE)</f>
        <v>0</v>
      </c>
    </row>
    <row r="1398" spans="1:7" x14ac:dyDescent="0.25">
      <c r="A1398" s="11">
        <v>44591.104166666664</v>
      </c>
      <c r="B1398" s="10">
        <v>0</v>
      </c>
      <c r="C1398">
        <f t="shared" si="84"/>
        <v>7</v>
      </c>
      <c r="D1398">
        <f t="shared" si="85"/>
        <v>30</v>
      </c>
      <c r="E1398">
        <f t="shared" si="86"/>
        <v>2</v>
      </c>
      <c r="F1398">
        <f t="shared" si="87"/>
        <v>0</v>
      </c>
      <c r="G1398">
        <f>VLOOKUP(E1398,Sheet1!$A$2:$B$25,2,FALSE)</f>
        <v>0</v>
      </c>
    </row>
    <row r="1399" spans="1:7" x14ac:dyDescent="0.25">
      <c r="A1399" s="11">
        <v>44591.125</v>
      </c>
      <c r="B1399" s="10">
        <v>0</v>
      </c>
      <c r="C1399">
        <f t="shared" si="84"/>
        <v>7</v>
      </c>
      <c r="D1399">
        <f t="shared" si="85"/>
        <v>30</v>
      </c>
      <c r="E1399">
        <f t="shared" si="86"/>
        <v>3</v>
      </c>
      <c r="F1399">
        <f t="shared" si="87"/>
        <v>0</v>
      </c>
      <c r="G1399">
        <f>VLOOKUP(E1399,Sheet1!$A$2:$B$25,2,FALSE)</f>
        <v>0</v>
      </c>
    </row>
    <row r="1400" spans="1:7" x14ac:dyDescent="0.25">
      <c r="A1400" s="11">
        <v>44591.145833333336</v>
      </c>
      <c r="B1400" s="10">
        <v>0</v>
      </c>
      <c r="C1400">
        <f t="shared" si="84"/>
        <v>7</v>
      </c>
      <c r="D1400">
        <f t="shared" si="85"/>
        <v>30</v>
      </c>
      <c r="E1400">
        <f t="shared" si="86"/>
        <v>3</v>
      </c>
      <c r="F1400">
        <f t="shared" si="87"/>
        <v>0</v>
      </c>
      <c r="G1400">
        <f>VLOOKUP(E1400,Sheet1!$A$2:$B$25,2,FALSE)</f>
        <v>0</v>
      </c>
    </row>
    <row r="1401" spans="1:7" x14ac:dyDescent="0.25">
      <c r="A1401" s="11">
        <v>44591.166666666664</v>
      </c>
      <c r="B1401" s="10">
        <v>0</v>
      </c>
      <c r="C1401">
        <f t="shared" si="84"/>
        <v>7</v>
      </c>
      <c r="D1401">
        <f t="shared" si="85"/>
        <v>30</v>
      </c>
      <c r="E1401">
        <f t="shared" si="86"/>
        <v>4</v>
      </c>
      <c r="F1401">
        <f t="shared" si="87"/>
        <v>0</v>
      </c>
      <c r="G1401">
        <f>VLOOKUP(E1401,Sheet1!$A$2:$B$25,2,FALSE)</f>
        <v>1</v>
      </c>
    </row>
    <row r="1402" spans="1:7" x14ac:dyDescent="0.25">
      <c r="A1402" s="11">
        <v>44591.1875</v>
      </c>
      <c r="B1402" s="10">
        <v>0</v>
      </c>
      <c r="C1402">
        <f t="shared" si="84"/>
        <v>7</v>
      </c>
      <c r="D1402">
        <f t="shared" si="85"/>
        <v>30</v>
      </c>
      <c r="E1402">
        <f t="shared" si="86"/>
        <v>4</v>
      </c>
      <c r="F1402">
        <f t="shared" si="87"/>
        <v>0</v>
      </c>
      <c r="G1402">
        <f>VLOOKUP(E1402,Sheet1!$A$2:$B$25,2,FALSE)</f>
        <v>1</v>
      </c>
    </row>
    <row r="1403" spans="1:7" x14ac:dyDescent="0.25">
      <c r="A1403" s="11">
        <v>44591.208333333336</v>
      </c>
      <c r="B1403" s="10">
        <v>0</v>
      </c>
      <c r="C1403">
        <f t="shared" si="84"/>
        <v>7</v>
      </c>
      <c r="D1403">
        <f t="shared" si="85"/>
        <v>30</v>
      </c>
      <c r="E1403">
        <f t="shared" si="86"/>
        <v>5</v>
      </c>
      <c r="F1403">
        <f t="shared" si="87"/>
        <v>0</v>
      </c>
      <c r="G1403">
        <f>VLOOKUP(E1403,Sheet1!$A$2:$B$25,2,FALSE)</f>
        <v>1</v>
      </c>
    </row>
    <row r="1404" spans="1:7" x14ac:dyDescent="0.25">
      <c r="A1404" s="11">
        <v>44591.229166666664</v>
      </c>
      <c r="B1404" s="10">
        <v>0</v>
      </c>
      <c r="C1404">
        <f t="shared" si="84"/>
        <v>7</v>
      </c>
      <c r="D1404">
        <f t="shared" si="85"/>
        <v>30</v>
      </c>
      <c r="E1404">
        <f t="shared" si="86"/>
        <v>5</v>
      </c>
      <c r="F1404">
        <f t="shared" si="87"/>
        <v>0</v>
      </c>
      <c r="G1404">
        <f>VLOOKUP(E1404,Sheet1!$A$2:$B$25,2,FALSE)</f>
        <v>1</v>
      </c>
    </row>
    <row r="1405" spans="1:7" x14ac:dyDescent="0.25">
      <c r="A1405" s="11">
        <v>44591.25</v>
      </c>
      <c r="B1405" s="10">
        <v>0</v>
      </c>
      <c r="C1405">
        <f t="shared" si="84"/>
        <v>7</v>
      </c>
      <c r="D1405">
        <f t="shared" si="85"/>
        <v>30</v>
      </c>
      <c r="E1405">
        <f t="shared" si="86"/>
        <v>6</v>
      </c>
      <c r="F1405">
        <f t="shared" si="87"/>
        <v>0</v>
      </c>
      <c r="G1405">
        <f>VLOOKUP(E1405,Sheet1!$A$2:$B$25,2,FALSE)</f>
        <v>1</v>
      </c>
    </row>
    <row r="1406" spans="1:7" x14ac:dyDescent="0.25">
      <c r="A1406" s="11">
        <v>44591.270833333336</v>
      </c>
      <c r="B1406" s="10">
        <v>0</v>
      </c>
      <c r="C1406">
        <f t="shared" si="84"/>
        <v>7</v>
      </c>
      <c r="D1406">
        <f t="shared" si="85"/>
        <v>30</v>
      </c>
      <c r="E1406">
        <f t="shared" si="86"/>
        <v>6</v>
      </c>
      <c r="F1406">
        <f t="shared" si="87"/>
        <v>0</v>
      </c>
      <c r="G1406">
        <f>VLOOKUP(E1406,Sheet1!$A$2:$B$25,2,FALSE)</f>
        <v>1</v>
      </c>
    </row>
    <row r="1407" spans="1:7" x14ac:dyDescent="0.25">
      <c r="A1407" s="11">
        <v>44591.291666666664</v>
      </c>
      <c r="B1407" s="10">
        <v>0</v>
      </c>
      <c r="C1407">
        <f t="shared" si="84"/>
        <v>7</v>
      </c>
      <c r="D1407">
        <f t="shared" si="85"/>
        <v>30</v>
      </c>
      <c r="E1407">
        <f t="shared" si="86"/>
        <v>7</v>
      </c>
      <c r="F1407">
        <f t="shared" si="87"/>
        <v>0</v>
      </c>
      <c r="G1407">
        <f>VLOOKUP(E1407,Sheet1!$A$2:$B$25,2,FALSE)</f>
        <v>1</v>
      </c>
    </row>
    <row r="1408" spans="1:7" x14ac:dyDescent="0.25">
      <c r="A1408" s="11">
        <v>44591.3125</v>
      </c>
      <c r="B1408" s="10">
        <v>0</v>
      </c>
      <c r="C1408">
        <f t="shared" si="84"/>
        <v>7</v>
      </c>
      <c r="D1408">
        <f t="shared" si="85"/>
        <v>30</v>
      </c>
      <c r="E1408">
        <f t="shared" si="86"/>
        <v>7</v>
      </c>
      <c r="F1408">
        <f t="shared" si="87"/>
        <v>0</v>
      </c>
      <c r="G1408">
        <f>VLOOKUP(E1408,Sheet1!$A$2:$B$25,2,FALSE)</f>
        <v>1</v>
      </c>
    </row>
    <row r="1409" spans="1:7" x14ac:dyDescent="0.25">
      <c r="A1409" s="11">
        <v>44591.333333333336</v>
      </c>
      <c r="B1409" s="10">
        <v>0</v>
      </c>
      <c r="C1409">
        <f t="shared" si="84"/>
        <v>7</v>
      </c>
      <c r="D1409">
        <f t="shared" si="85"/>
        <v>30</v>
      </c>
      <c r="E1409">
        <f t="shared" si="86"/>
        <v>8</v>
      </c>
      <c r="F1409">
        <f t="shared" si="87"/>
        <v>0</v>
      </c>
      <c r="G1409">
        <f>VLOOKUP(E1409,Sheet1!$A$2:$B$25,2,FALSE)</f>
        <v>1</v>
      </c>
    </row>
    <row r="1410" spans="1:7" x14ac:dyDescent="0.25">
      <c r="A1410" s="11">
        <v>44591.354166666664</v>
      </c>
      <c r="B1410" s="10">
        <v>0</v>
      </c>
      <c r="C1410">
        <f t="shared" ref="C1410:C1441" si="88">WEEKDAY(A1410,2)</f>
        <v>7</v>
      </c>
      <c r="D1410">
        <f t="shared" ref="D1410:D1441" si="89">DAY(A1410)</f>
        <v>30</v>
      </c>
      <c r="E1410">
        <f t="shared" ref="E1410:E1441" si="90">HOUR(A1410)</f>
        <v>8</v>
      </c>
      <c r="F1410">
        <f t="shared" si="87"/>
        <v>0</v>
      </c>
      <c r="G1410">
        <f>VLOOKUP(E1410,Sheet1!$A$2:$B$25,2,FALSE)</f>
        <v>1</v>
      </c>
    </row>
    <row r="1411" spans="1:7" x14ac:dyDescent="0.25">
      <c r="A1411" s="11">
        <v>44591.375</v>
      </c>
      <c r="B1411" s="10">
        <v>0</v>
      </c>
      <c r="C1411">
        <f t="shared" si="88"/>
        <v>7</v>
      </c>
      <c r="D1411">
        <f t="shared" si="89"/>
        <v>30</v>
      </c>
      <c r="E1411">
        <f t="shared" si="90"/>
        <v>9</v>
      </c>
      <c r="F1411">
        <f t="shared" ref="F1411:F1441" si="91">IF(C1411&gt;=6,0,1)</f>
        <v>0</v>
      </c>
      <c r="G1411">
        <f>VLOOKUP(E1411,Sheet1!$A$2:$B$25,2,FALSE)</f>
        <v>1</v>
      </c>
    </row>
    <row r="1412" spans="1:7" x14ac:dyDescent="0.25">
      <c r="A1412" s="11">
        <v>44591.395833333336</v>
      </c>
      <c r="B1412" s="10">
        <v>0</v>
      </c>
      <c r="C1412">
        <f t="shared" si="88"/>
        <v>7</v>
      </c>
      <c r="D1412">
        <f t="shared" si="89"/>
        <v>30</v>
      </c>
      <c r="E1412">
        <f t="shared" si="90"/>
        <v>9</v>
      </c>
      <c r="F1412">
        <f t="shared" si="91"/>
        <v>0</v>
      </c>
      <c r="G1412">
        <f>VLOOKUP(E1412,Sheet1!$A$2:$B$25,2,FALSE)</f>
        <v>1</v>
      </c>
    </row>
    <row r="1413" spans="1:7" x14ac:dyDescent="0.25">
      <c r="A1413" s="11">
        <v>44591.416666666664</v>
      </c>
      <c r="B1413" s="10">
        <v>0</v>
      </c>
      <c r="C1413">
        <f t="shared" si="88"/>
        <v>7</v>
      </c>
      <c r="D1413">
        <f t="shared" si="89"/>
        <v>30</v>
      </c>
      <c r="E1413">
        <f t="shared" si="90"/>
        <v>10</v>
      </c>
      <c r="F1413">
        <f t="shared" si="91"/>
        <v>0</v>
      </c>
      <c r="G1413">
        <f>VLOOKUP(E1413,Sheet1!$A$2:$B$25,2,FALSE)</f>
        <v>1</v>
      </c>
    </row>
    <row r="1414" spans="1:7" x14ac:dyDescent="0.25">
      <c r="A1414" s="11">
        <v>44591.4375</v>
      </c>
      <c r="B1414" s="10">
        <v>0</v>
      </c>
      <c r="C1414">
        <f t="shared" si="88"/>
        <v>7</v>
      </c>
      <c r="D1414">
        <f t="shared" si="89"/>
        <v>30</v>
      </c>
      <c r="E1414">
        <f t="shared" si="90"/>
        <v>10</v>
      </c>
      <c r="F1414">
        <f t="shared" si="91"/>
        <v>0</v>
      </c>
      <c r="G1414">
        <f>VLOOKUP(E1414,Sheet1!$A$2:$B$25,2,FALSE)</f>
        <v>1</v>
      </c>
    </row>
    <row r="1415" spans="1:7" x14ac:dyDescent="0.25">
      <c r="A1415" s="11">
        <v>44591.458333333336</v>
      </c>
      <c r="B1415" s="10">
        <v>0</v>
      </c>
      <c r="C1415">
        <f t="shared" si="88"/>
        <v>7</v>
      </c>
      <c r="D1415">
        <f t="shared" si="89"/>
        <v>30</v>
      </c>
      <c r="E1415">
        <f t="shared" si="90"/>
        <v>11</v>
      </c>
      <c r="F1415">
        <f t="shared" si="91"/>
        <v>0</v>
      </c>
      <c r="G1415">
        <f>VLOOKUP(E1415,Sheet1!$A$2:$B$25,2,FALSE)</f>
        <v>1</v>
      </c>
    </row>
    <row r="1416" spans="1:7" x14ac:dyDescent="0.25">
      <c r="A1416" s="11">
        <v>44591.479166666664</v>
      </c>
      <c r="B1416" s="10">
        <v>0</v>
      </c>
      <c r="C1416">
        <f t="shared" si="88"/>
        <v>7</v>
      </c>
      <c r="D1416">
        <f t="shared" si="89"/>
        <v>30</v>
      </c>
      <c r="E1416">
        <f t="shared" si="90"/>
        <v>11</v>
      </c>
      <c r="F1416">
        <f t="shared" si="91"/>
        <v>0</v>
      </c>
      <c r="G1416">
        <f>VLOOKUP(E1416,Sheet1!$A$2:$B$25,2,FALSE)</f>
        <v>1</v>
      </c>
    </row>
    <row r="1417" spans="1:7" x14ac:dyDescent="0.25">
      <c r="A1417" s="11">
        <v>44591.5</v>
      </c>
      <c r="B1417" s="10">
        <v>0</v>
      </c>
      <c r="C1417">
        <f t="shared" si="88"/>
        <v>7</v>
      </c>
      <c r="D1417">
        <f t="shared" si="89"/>
        <v>30</v>
      </c>
      <c r="E1417">
        <f t="shared" si="90"/>
        <v>12</v>
      </c>
      <c r="F1417">
        <f t="shared" si="91"/>
        <v>0</v>
      </c>
      <c r="G1417">
        <f>VLOOKUP(E1417,Sheet1!$A$2:$B$25,2,FALSE)</f>
        <v>1</v>
      </c>
    </row>
    <row r="1418" spans="1:7" x14ac:dyDescent="0.25">
      <c r="A1418" s="11">
        <v>44591.520833333336</v>
      </c>
      <c r="B1418" s="10">
        <v>0</v>
      </c>
      <c r="C1418">
        <f t="shared" si="88"/>
        <v>7</v>
      </c>
      <c r="D1418">
        <f t="shared" si="89"/>
        <v>30</v>
      </c>
      <c r="E1418">
        <f t="shared" si="90"/>
        <v>12</v>
      </c>
      <c r="F1418">
        <f t="shared" si="91"/>
        <v>0</v>
      </c>
      <c r="G1418">
        <f>VLOOKUP(E1418,Sheet1!$A$2:$B$25,2,FALSE)</f>
        <v>1</v>
      </c>
    </row>
    <row r="1419" spans="1:7" x14ac:dyDescent="0.25">
      <c r="A1419" s="11">
        <v>44591.541666666664</v>
      </c>
      <c r="B1419" s="10">
        <v>0</v>
      </c>
      <c r="C1419">
        <f t="shared" si="88"/>
        <v>7</v>
      </c>
      <c r="D1419">
        <f t="shared" si="89"/>
        <v>30</v>
      </c>
      <c r="E1419">
        <f t="shared" si="90"/>
        <v>13</v>
      </c>
      <c r="F1419">
        <f t="shared" si="91"/>
        <v>0</v>
      </c>
      <c r="G1419">
        <f>VLOOKUP(E1419,Sheet1!$A$2:$B$25,2,FALSE)</f>
        <v>1</v>
      </c>
    </row>
    <row r="1420" spans="1:7" x14ac:dyDescent="0.25">
      <c r="A1420" s="11">
        <v>44591.5625</v>
      </c>
      <c r="B1420" s="10">
        <v>0</v>
      </c>
      <c r="C1420">
        <f t="shared" si="88"/>
        <v>7</v>
      </c>
      <c r="D1420">
        <f t="shared" si="89"/>
        <v>30</v>
      </c>
      <c r="E1420">
        <f t="shared" si="90"/>
        <v>13</v>
      </c>
      <c r="F1420">
        <f t="shared" si="91"/>
        <v>0</v>
      </c>
      <c r="G1420">
        <f>VLOOKUP(E1420,Sheet1!$A$2:$B$25,2,FALSE)</f>
        <v>1</v>
      </c>
    </row>
    <row r="1421" spans="1:7" x14ac:dyDescent="0.25">
      <c r="A1421" s="11">
        <v>44591.583333333336</v>
      </c>
      <c r="B1421" s="10">
        <v>0</v>
      </c>
      <c r="C1421">
        <f t="shared" si="88"/>
        <v>7</v>
      </c>
      <c r="D1421">
        <f t="shared" si="89"/>
        <v>30</v>
      </c>
      <c r="E1421">
        <f t="shared" si="90"/>
        <v>14</v>
      </c>
      <c r="F1421">
        <f t="shared" si="91"/>
        <v>0</v>
      </c>
      <c r="G1421">
        <f>VLOOKUP(E1421,Sheet1!$A$2:$B$25,2,FALSE)</f>
        <v>1</v>
      </c>
    </row>
    <row r="1422" spans="1:7" x14ac:dyDescent="0.25">
      <c r="A1422" s="11">
        <v>44591.604166666664</v>
      </c>
      <c r="B1422" s="10">
        <v>0</v>
      </c>
      <c r="C1422">
        <f t="shared" si="88"/>
        <v>7</v>
      </c>
      <c r="D1422">
        <f t="shared" si="89"/>
        <v>30</v>
      </c>
      <c r="E1422">
        <f t="shared" si="90"/>
        <v>14</v>
      </c>
      <c r="F1422">
        <f t="shared" si="91"/>
        <v>0</v>
      </c>
      <c r="G1422">
        <f>VLOOKUP(E1422,Sheet1!$A$2:$B$25,2,FALSE)</f>
        <v>1</v>
      </c>
    </row>
    <row r="1423" spans="1:7" x14ac:dyDescent="0.25">
      <c r="A1423" s="11">
        <v>44591.625</v>
      </c>
      <c r="B1423" s="10">
        <v>0</v>
      </c>
      <c r="C1423">
        <f t="shared" si="88"/>
        <v>7</v>
      </c>
      <c r="D1423">
        <f t="shared" si="89"/>
        <v>30</v>
      </c>
      <c r="E1423">
        <f t="shared" si="90"/>
        <v>15</v>
      </c>
      <c r="F1423">
        <f t="shared" si="91"/>
        <v>0</v>
      </c>
      <c r="G1423">
        <f>VLOOKUP(E1423,Sheet1!$A$2:$B$25,2,FALSE)</f>
        <v>1</v>
      </c>
    </row>
    <row r="1424" spans="1:7" x14ac:dyDescent="0.25">
      <c r="A1424" s="11">
        <v>44591.645833333336</v>
      </c>
      <c r="B1424" s="10">
        <v>0</v>
      </c>
      <c r="C1424">
        <f t="shared" si="88"/>
        <v>7</v>
      </c>
      <c r="D1424">
        <f t="shared" si="89"/>
        <v>30</v>
      </c>
      <c r="E1424">
        <f t="shared" si="90"/>
        <v>15</v>
      </c>
      <c r="F1424">
        <f t="shared" si="91"/>
        <v>0</v>
      </c>
      <c r="G1424">
        <f>VLOOKUP(E1424,Sheet1!$A$2:$B$25,2,FALSE)</f>
        <v>1</v>
      </c>
    </row>
    <row r="1425" spans="1:7" x14ac:dyDescent="0.25">
      <c r="A1425" s="11">
        <v>44591.666666666664</v>
      </c>
      <c r="B1425" s="10">
        <v>0</v>
      </c>
      <c r="C1425">
        <f t="shared" si="88"/>
        <v>7</v>
      </c>
      <c r="D1425">
        <f t="shared" si="89"/>
        <v>30</v>
      </c>
      <c r="E1425">
        <f t="shared" si="90"/>
        <v>16</v>
      </c>
      <c r="F1425">
        <f t="shared" si="91"/>
        <v>0</v>
      </c>
      <c r="G1425">
        <f>VLOOKUP(E1425,Sheet1!$A$2:$B$25,2,FALSE)</f>
        <v>0</v>
      </c>
    </row>
    <row r="1426" spans="1:7" x14ac:dyDescent="0.25">
      <c r="A1426" s="11">
        <v>44591.6875</v>
      </c>
      <c r="B1426" s="10">
        <v>0</v>
      </c>
      <c r="C1426">
        <f t="shared" si="88"/>
        <v>7</v>
      </c>
      <c r="D1426">
        <f t="shared" si="89"/>
        <v>30</v>
      </c>
      <c r="E1426">
        <f t="shared" si="90"/>
        <v>16</v>
      </c>
      <c r="F1426">
        <f t="shared" si="91"/>
        <v>0</v>
      </c>
      <c r="G1426">
        <f>VLOOKUP(E1426,Sheet1!$A$2:$B$25,2,FALSE)</f>
        <v>0</v>
      </c>
    </row>
    <row r="1427" spans="1:7" x14ac:dyDescent="0.25">
      <c r="A1427" s="11">
        <v>44591.708333333336</v>
      </c>
      <c r="B1427" s="10">
        <v>0</v>
      </c>
      <c r="C1427">
        <f t="shared" si="88"/>
        <v>7</v>
      </c>
      <c r="D1427">
        <f t="shared" si="89"/>
        <v>30</v>
      </c>
      <c r="E1427">
        <f t="shared" si="90"/>
        <v>17</v>
      </c>
      <c r="F1427">
        <f t="shared" si="91"/>
        <v>0</v>
      </c>
      <c r="G1427">
        <f>VLOOKUP(E1427,Sheet1!$A$2:$B$25,2,FALSE)</f>
        <v>0</v>
      </c>
    </row>
    <row r="1428" spans="1:7" x14ac:dyDescent="0.25">
      <c r="A1428" s="11">
        <v>44591.729166666664</v>
      </c>
      <c r="B1428" s="10">
        <v>0</v>
      </c>
      <c r="C1428">
        <f t="shared" si="88"/>
        <v>7</v>
      </c>
      <c r="D1428">
        <f t="shared" si="89"/>
        <v>30</v>
      </c>
      <c r="E1428">
        <f t="shared" si="90"/>
        <v>17</v>
      </c>
      <c r="F1428">
        <f t="shared" si="91"/>
        <v>0</v>
      </c>
      <c r="G1428">
        <f>VLOOKUP(E1428,Sheet1!$A$2:$B$25,2,FALSE)</f>
        <v>0</v>
      </c>
    </row>
    <row r="1429" spans="1:7" x14ac:dyDescent="0.25">
      <c r="A1429" s="11">
        <v>44591.75</v>
      </c>
      <c r="B1429" s="10">
        <v>0</v>
      </c>
      <c r="C1429">
        <f t="shared" si="88"/>
        <v>7</v>
      </c>
      <c r="D1429">
        <f t="shared" si="89"/>
        <v>30</v>
      </c>
      <c r="E1429">
        <f t="shared" si="90"/>
        <v>18</v>
      </c>
      <c r="F1429">
        <f t="shared" si="91"/>
        <v>0</v>
      </c>
      <c r="G1429">
        <f>VLOOKUP(E1429,Sheet1!$A$2:$B$25,2,FALSE)</f>
        <v>0</v>
      </c>
    </row>
    <row r="1430" spans="1:7" x14ac:dyDescent="0.25">
      <c r="A1430" s="11">
        <v>44591.770833333336</v>
      </c>
      <c r="B1430" s="10">
        <v>0</v>
      </c>
      <c r="C1430">
        <f t="shared" si="88"/>
        <v>7</v>
      </c>
      <c r="D1430">
        <f t="shared" si="89"/>
        <v>30</v>
      </c>
      <c r="E1430">
        <f t="shared" si="90"/>
        <v>18</v>
      </c>
      <c r="F1430">
        <f t="shared" si="91"/>
        <v>0</v>
      </c>
      <c r="G1430">
        <f>VLOOKUP(E1430,Sheet1!$A$2:$B$25,2,FALSE)</f>
        <v>0</v>
      </c>
    </row>
    <row r="1431" spans="1:7" x14ac:dyDescent="0.25">
      <c r="A1431" s="11">
        <v>44591.791666666664</v>
      </c>
      <c r="B1431" s="10">
        <v>0</v>
      </c>
      <c r="C1431">
        <f t="shared" si="88"/>
        <v>7</v>
      </c>
      <c r="D1431">
        <f t="shared" si="89"/>
        <v>30</v>
      </c>
      <c r="E1431">
        <f t="shared" si="90"/>
        <v>19</v>
      </c>
      <c r="F1431">
        <f t="shared" si="91"/>
        <v>0</v>
      </c>
      <c r="G1431">
        <f>VLOOKUP(E1431,Sheet1!$A$2:$B$25,2,FALSE)</f>
        <v>0</v>
      </c>
    </row>
    <row r="1432" spans="1:7" x14ac:dyDescent="0.25">
      <c r="A1432" s="11">
        <v>44591.8125</v>
      </c>
      <c r="B1432" s="10">
        <v>0</v>
      </c>
      <c r="C1432">
        <f t="shared" si="88"/>
        <v>7</v>
      </c>
      <c r="D1432">
        <f t="shared" si="89"/>
        <v>30</v>
      </c>
      <c r="E1432">
        <f t="shared" si="90"/>
        <v>19</v>
      </c>
      <c r="F1432">
        <f t="shared" si="91"/>
        <v>0</v>
      </c>
      <c r="G1432">
        <f>VLOOKUP(E1432,Sheet1!$A$2:$B$25,2,FALSE)</f>
        <v>0</v>
      </c>
    </row>
    <row r="1433" spans="1:7" x14ac:dyDescent="0.25">
      <c r="A1433" s="11">
        <v>44591.833333333336</v>
      </c>
      <c r="B1433" s="10">
        <v>0</v>
      </c>
      <c r="C1433">
        <f t="shared" si="88"/>
        <v>7</v>
      </c>
      <c r="D1433">
        <f t="shared" si="89"/>
        <v>30</v>
      </c>
      <c r="E1433">
        <f t="shared" si="90"/>
        <v>20</v>
      </c>
      <c r="F1433">
        <f t="shared" si="91"/>
        <v>0</v>
      </c>
      <c r="G1433">
        <f>VLOOKUP(E1433,Sheet1!$A$2:$B$25,2,FALSE)</f>
        <v>0</v>
      </c>
    </row>
    <row r="1434" spans="1:7" x14ac:dyDescent="0.25">
      <c r="A1434" s="11">
        <v>44591.854166666664</v>
      </c>
      <c r="B1434" s="10">
        <v>0</v>
      </c>
      <c r="C1434">
        <f t="shared" si="88"/>
        <v>7</v>
      </c>
      <c r="D1434">
        <f t="shared" si="89"/>
        <v>30</v>
      </c>
      <c r="E1434">
        <f t="shared" si="90"/>
        <v>20</v>
      </c>
      <c r="F1434">
        <f t="shared" si="91"/>
        <v>0</v>
      </c>
      <c r="G1434">
        <f>VLOOKUP(E1434,Sheet1!$A$2:$B$25,2,FALSE)</f>
        <v>0</v>
      </c>
    </row>
    <row r="1435" spans="1:7" x14ac:dyDescent="0.25">
      <c r="A1435" s="11">
        <v>44591.875</v>
      </c>
      <c r="B1435" s="10">
        <v>0</v>
      </c>
      <c r="C1435">
        <f t="shared" si="88"/>
        <v>7</v>
      </c>
      <c r="D1435">
        <f t="shared" si="89"/>
        <v>30</v>
      </c>
      <c r="E1435">
        <f t="shared" si="90"/>
        <v>21</v>
      </c>
      <c r="F1435">
        <f t="shared" si="91"/>
        <v>0</v>
      </c>
      <c r="G1435">
        <f>VLOOKUP(E1435,Sheet1!$A$2:$B$25,2,FALSE)</f>
        <v>0</v>
      </c>
    </row>
    <row r="1436" spans="1:7" x14ac:dyDescent="0.25">
      <c r="A1436" s="11">
        <v>44591.895833333336</v>
      </c>
      <c r="B1436" s="10">
        <v>0</v>
      </c>
      <c r="C1436">
        <f t="shared" si="88"/>
        <v>7</v>
      </c>
      <c r="D1436">
        <f t="shared" si="89"/>
        <v>30</v>
      </c>
      <c r="E1436">
        <f t="shared" si="90"/>
        <v>21</v>
      </c>
      <c r="F1436">
        <f t="shared" si="91"/>
        <v>0</v>
      </c>
      <c r="G1436">
        <f>VLOOKUP(E1436,Sheet1!$A$2:$B$25,2,FALSE)</f>
        <v>0</v>
      </c>
    </row>
    <row r="1437" spans="1:7" x14ac:dyDescent="0.25">
      <c r="A1437" s="11">
        <v>44591.916666666664</v>
      </c>
      <c r="B1437" s="10">
        <v>0</v>
      </c>
      <c r="C1437">
        <f t="shared" si="88"/>
        <v>7</v>
      </c>
      <c r="D1437">
        <f t="shared" si="89"/>
        <v>30</v>
      </c>
      <c r="E1437">
        <f t="shared" si="90"/>
        <v>22</v>
      </c>
      <c r="F1437">
        <f t="shared" si="91"/>
        <v>0</v>
      </c>
      <c r="G1437">
        <f>VLOOKUP(E1437,Sheet1!$A$2:$B$25,2,FALSE)</f>
        <v>0</v>
      </c>
    </row>
    <row r="1438" spans="1:7" x14ac:dyDescent="0.25">
      <c r="A1438" s="11">
        <v>44591.9375</v>
      </c>
      <c r="B1438" s="10">
        <v>0</v>
      </c>
      <c r="C1438">
        <f t="shared" si="88"/>
        <v>7</v>
      </c>
      <c r="D1438">
        <f t="shared" si="89"/>
        <v>30</v>
      </c>
      <c r="E1438">
        <f t="shared" si="90"/>
        <v>22</v>
      </c>
      <c r="F1438">
        <f t="shared" si="91"/>
        <v>0</v>
      </c>
      <c r="G1438">
        <f>VLOOKUP(E1438,Sheet1!$A$2:$B$25,2,FALSE)</f>
        <v>0</v>
      </c>
    </row>
    <row r="1439" spans="1:7" x14ac:dyDescent="0.25">
      <c r="A1439" s="11">
        <v>44591.958333333336</v>
      </c>
      <c r="B1439" s="10">
        <v>0</v>
      </c>
      <c r="C1439">
        <f t="shared" si="88"/>
        <v>7</v>
      </c>
      <c r="D1439">
        <f t="shared" si="89"/>
        <v>30</v>
      </c>
      <c r="E1439">
        <f t="shared" si="90"/>
        <v>23</v>
      </c>
      <c r="F1439">
        <f t="shared" si="91"/>
        <v>0</v>
      </c>
      <c r="G1439">
        <f>VLOOKUP(E1439,Sheet1!$A$2:$B$25,2,FALSE)</f>
        <v>0</v>
      </c>
    </row>
    <row r="1440" spans="1:7" x14ac:dyDescent="0.25">
      <c r="A1440" s="11">
        <v>44591.979166666664</v>
      </c>
      <c r="B1440" s="10">
        <v>0</v>
      </c>
      <c r="C1440">
        <f t="shared" si="88"/>
        <v>7</v>
      </c>
      <c r="D1440">
        <f t="shared" si="89"/>
        <v>30</v>
      </c>
      <c r="E1440">
        <f t="shared" si="90"/>
        <v>23</v>
      </c>
      <c r="F1440">
        <f t="shared" si="91"/>
        <v>0</v>
      </c>
      <c r="G1440">
        <f>VLOOKUP(E1440,Sheet1!$A$2:$B$25,2,FALSE)</f>
        <v>0</v>
      </c>
    </row>
    <row r="1441" spans="1:7" x14ac:dyDescent="0.25">
      <c r="A1441" s="11">
        <v>44592</v>
      </c>
      <c r="B1441" s="10">
        <v>0</v>
      </c>
      <c r="C1441">
        <f t="shared" si="88"/>
        <v>1</v>
      </c>
      <c r="D1441">
        <f t="shared" si="89"/>
        <v>31</v>
      </c>
      <c r="E1441">
        <f t="shared" si="90"/>
        <v>0</v>
      </c>
      <c r="F1441">
        <f t="shared" si="91"/>
        <v>1</v>
      </c>
      <c r="G1441">
        <f>VLOOKUP(E1441,Sheet1!$A$2:$B$25,2,FALSE)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"/>
  <sheetViews>
    <sheetView workbookViewId="0">
      <selection sqref="A1:B25"/>
    </sheetView>
  </sheetViews>
  <sheetFormatPr defaultRowHeight="15" x14ac:dyDescent="0.25"/>
  <cols>
    <col min="1" max="1" width="9.140625" style="15"/>
    <col min="2" max="2" width="9.140625" style="3"/>
  </cols>
  <sheetData>
    <row r="1" spans="1:2" x14ac:dyDescent="0.25">
      <c r="A1" s="15" t="s">
        <v>1</v>
      </c>
      <c r="B1" s="3" t="s">
        <v>17</v>
      </c>
    </row>
    <row r="2" spans="1:2" x14ac:dyDescent="0.25">
      <c r="A2" s="15">
        <v>0</v>
      </c>
      <c r="B2" s="3">
        <v>0</v>
      </c>
    </row>
    <row r="3" spans="1:2" x14ac:dyDescent="0.25">
      <c r="A3" s="15">
        <v>1</v>
      </c>
      <c r="B3" s="3">
        <v>0</v>
      </c>
    </row>
    <row r="4" spans="1:2" x14ac:dyDescent="0.25">
      <c r="A4" s="15">
        <v>2</v>
      </c>
      <c r="B4" s="3">
        <v>0</v>
      </c>
    </row>
    <row r="5" spans="1:2" x14ac:dyDescent="0.25">
      <c r="A5" s="15">
        <v>3</v>
      </c>
      <c r="B5" s="3">
        <v>0</v>
      </c>
    </row>
    <row r="6" spans="1:2" x14ac:dyDescent="0.25">
      <c r="A6" s="15">
        <v>4</v>
      </c>
      <c r="B6" s="3">
        <v>1</v>
      </c>
    </row>
    <row r="7" spans="1:2" x14ac:dyDescent="0.25">
      <c r="A7" s="15">
        <v>5</v>
      </c>
      <c r="B7" s="3">
        <v>1</v>
      </c>
    </row>
    <row r="8" spans="1:2" x14ac:dyDescent="0.25">
      <c r="A8" s="15">
        <v>6</v>
      </c>
      <c r="B8" s="3">
        <v>1</v>
      </c>
    </row>
    <row r="9" spans="1:2" x14ac:dyDescent="0.25">
      <c r="A9" s="15">
        <v>7</v>
      </c>
      <c r="B9" s="3">
        <v>1</v>
      </c>
    </row>
    <row r="10" spans="1:2" x14ac:dyDescent="0.25">
      <c r="A10" s="15">
        <v>8</v>
      </c>
      <c r="B10" s="3">
        <v>1</v>
      </c>
    </row>
    <row r="11" spans="1:2" x14ac:dyDescent="0.25">
      <c r="A11" s="15">
        <v>9</v>
      </c>
      <c r="B11" s="3">
        <v>1</v>
      </c>
    </row>
    <row r="12" spans="1:2" x14ac:dyDescent="0.25">
      <c r="A12" s="15">
        <v>10</v>
      </c>
      <c r="B12" s="3">
        <v>1</v>
      </c>
    </row>
    <row r="13" spans="1:2" x14ac:dyDescent="0.25">
      <c r="A13" s="15">
        <v>11</v>
      </c>
      <c r="B13" s="3">
        <v>1</v>
      </c>
    </row>
    <row r="14" spans="1:2" x14ac:dyDescent="0.25">
      <c r="A14" s="15">
        <v>12</v>
      </c>
      <c r="B14" s="3">
        <v>1</v>
      </c>
    </row>
    <row r="15" spans="1:2" x14ac:dyDescent="0.25">
      <c r="A15" s="15">
        <v>13</v>
      </c>
      <c r="B15" s="3">
        <v>1</v>
      </c>
    </row>
    <row r="16" spans="1:2" x14ac:dyDescent="0.25">
      <c r="A16" s="15">
        <v>14</v>
      </c>
      <c r="B16" s="3">
        <v>1</v>
      </c>
    </row>
    <row r="17" spans="1:2" x14ac:dyDescent="0.25">
      <c r="A17" s="15">
        <v>15</v>
      </c>
      <c r="B17" s="3">
        <v>1</v>
      </c>
    </row>
    <row r="18" spans="1:2" x14ac:dyDescent="0.25">
      <c r="A18" s="15">
        <v>16</v>
      </c>
      <c r="B18" s="3">
        <v>0</v>
      </c>
    </row>
    <row r="19" spans="1:2" x14ac:dyDescent="0.25">
      <c r="A19" s="15">
        <v>17</v>
      </c>
      <c r="B19" s="3">
        <v>0</v>
      </c>
    </row>
    <row r="20" spans="1:2" x14ac:dyDescent="0.25">
      <c r="A20" s="15">
        <v>18</v>
      </c>
      <c r="B20" s="3">
        <v>0</v>
      </c>
    </row>
    <row r="21" spans="1:2" x14ac:dyDescent="0.25">
      <c r="A21" s="15">
        <v>19</v>
      </c>
      <c r="B21" s="3">
        <v>0</v>
      </c>
    </row>
    <row r="22" spans="1:2" x14ac:dyDescent="0.25">
      <c r="A22" s="15">
        <v>20</v>
      </c>
      <c r="B22" s="3">
        <v>0</v>
      </c>
    </row>
    <row r="23" spans="1:2" x14ac:dyDescent="0.25">
      <c r="A23" s="15">
        <v>21</v>
      </c>
      <c r="B23" s="3">
        <v>0</v>
      </c>
    </row>
    <row r="24" spans="1:2" x14ac:dyDescent="0.25">
      <c r="A24" s="15">
        <v>22</v>
      </c>
      <c r="B24" s="3">
        <v>0</v>
      </c>
    </row>
    <row r="25" spans="1:2" x14ac:dyDescent="0.25">
      <c r="A25" s="15">
        <v>23</v>
      </c>
      <c r="B25" s="3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MEB Report</vt:lpstr>
      <vt:lpstr>Device Report</vt:lpstr>
      <vt:lpstr>Comed Report</vt:lpstr>
      <vt:lpstr>Daily Peaks</vt:lpstr>
      <vt:lpstr>1</vt:lpstr>
      <vt:lpstr>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Goetz, Sebastian</dc:creator>
  <cp:lastModifiedBy>Windows User</cp:lastModifiedBy>
  <dcterms:created xsi:type="dcterms:W3CDTF">2022-02-02T22:01:39Z</dcterms:created>
  <dcterms:modified xsi:type="dcterms:W3CDTF">2022-02-10T16:16:07Z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2022-02-02T20:45:53Z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f9c0e5e0-213a-4d23-a65a-51f65ca25ff6</vt:lpwstr>
  </property>
  <property fmtid="{D5CDD505-2E9C-101B-9397-08002B2CF9AE}" pid="8" name="MSIP_Label_e798273d-f5aa-46da-8e10-241f6dcd5f2d_ContentBits">
    <vt:lpwstr>0</vt:lpwstr>
  </property>
</Properties>
</file>