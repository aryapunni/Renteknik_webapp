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EB Report" sheetId="1" state="visible" r:id="rId2"/>
    <sheet name="Comed Report" sheetId="2" state="visible" r:id="rId3"/>
    <sheet name="1" sheetId="3" state="visible" r:id="rId4"/>
    <sheet name="2" sheetId="4" state="visible" r:id="rId5"/>
    <sheet name="Sheet1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<sst xmlns="http://schemas.openxmlformats.org/spreadsheetml/2006/main" count="32" uniqueCount="21">
  <si>
    <t xml:space="preserve">Date</t>
  </si>
  <si>
    <t xml:space="preserve">Target </t>
  </si>
  <si>
    <t xml:space="preserve">On</t>
  </si>
  <si>
    <t xml:space="preserve">Off</t>
  </si>
  <si>
    <t xml:space="preserve">%</t>
  </si>
  <si>
    <t xml:space="preserve">Note</t>
  </si>
  <si>
    <t xml:space="preserve">Equipment Removed from Shutdown Days (KWH)</t>
  </si>
  <si>
    <t xml:space="preserve">Set by MEB</t>
  </si>
  <si>
    <t xml:space="preserve">Average Peak Load / Month Production Days (KWH)</t>
  </si>
  <si>
    <t xml:space="preserve">Average Peak Load / Month Shutdown Days (KWH)</t>
  </si>
  <si>
    <t xml:space="preserve">Shutdown Days over Production Days</t>
  </si>
  <si>
    <t xml:space="preserve">If greater than 20 Box should be red</t>
  </si>
  <si>
    <t xml:space="preserve">Time stamp</t>
  </si>
  <si>
    <t xml:space="preserve">Total (kWh)</t>
  </si>
  <si>
    <t xml:space="preserve">Week Day #</t>
  </si>
  <si>
    <t xml:space="preserve">Hour</t>
  </si>
  <si>
    <t xml:space="preserve">On/Off Day</t>
  </si>
  <si>
    <t xml:space="preserve">On/Off Hour</t>
  </si>
  <si>
    <t xml:space="preserve">End Date Time</t>
  </si>
  <si>
    <t xml:space="preserve">Demand (kW)</t>
  </si>
  <si>
    <t xml:space="preserve">ON/ OFF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</si>
</sst>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;@"/>
    <numFmt numFmtId="166" formatCode="0.00"/>
    <numFmt numFmtId="167" formatCode="0%"/>
    <numFmt numFmtId="168" formatCode="0.00%"/>
    <numFmt numFmtId="169" formatCode="dd/mm/yyyy\ h:mm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</font>
    <font>
      <sz val="9"/>
      <color rgb="FFD9D9D9"/>
      <name val="Calibri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B8B8B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406FC4"/>
      <rgbColor rgb="FF33CCCC"/>
      <rgbColor rgb="FF7AB85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62626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ndard"/>
        <c:ser>
          <c:idx val="0"/>
          <c:order val="0"/>
          <c:tx>
            <c:strRef>
              <c:f>'MEB Report'!$F$1</c:f>
              <c:strCache>
                <c:ptCount val="1"/>
                <c:pt idx="0">
                  <c:v>Off</c:v>
                </c:pt>
              </c:strCache>
            </c:strRef>
          </c:tx>
          <c:spPr>
            <a:solidFill>
              <a:srgbClr val="406fc4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'MEB Report'!$F$2:$F$32</c:f>
              <c:numCache>
                <c:formatCode>General</c:formatCode>
                <c:ptCount val="31"/>
                <c:pt idx="0">
                  <c:v>99.09125</c:v>
                </c:pt>
                <c:pt idx="1">
                  <c:v>79.1608333333333</c:v>
                </c:pt>
                <c:pt idx="2">
                  <c:v>104.5375</c:v>
                </c:pt>
                <c:pt idx="3">
                  <c:v>104.2625</c:v>
                </c:pt>
                <c:pt idx="4">
                  <c:v>110.35</c:v>
                </c:pt>
                <c:pt idx="5">
                  <c:v>124.034166666667</c:v>
                </c:pt>
                <c:pt idx="6">
                  <c:v>136.5675</c:v>
                </c:pt>
                <c:pt idx="7">
                  <c:v>153.968333333333</c:v>
                </c:pt>
                <c:pt idx="8">
                  <c:v>138.367916666667</c:v>
                </c:pt>
                <c:pt idx="9">
                  <c:v>170.3675</c:v>
                </c:pt>
                <c:pt idx="10">
                  <c:v>166.8125</c:v>
                </c:pt>
                <c:pt idx="11">
                  <c:v>159.893333333333</c:v>
                </c:pt>
                <c:pt idx="12">
                  <c:v>143.165</c:v>
                </c:pt>
                <c:pt idx="13">
                  <c:v>141.464166666667</c:v>
                </c:pt>
                <c:pt idx="14">
                  <c:v>153.56</c:v>
                </c:pt>
                <c:pt idx="15">
                  <c:v>157.812083333333</c:v>
                </c:pt>
                <c:pt idx="16">
                  <c:v>183.224166666667</c:v>
                </c:pt>
                <c:pt idx="17">
                  <c:v>178.881666666667</c:v>
                </c:pt>
                <c:pt idx="18">
                  <c:v>191.918333333333</c:v>
                </c:pt>
                <c:pt idx="19">
                  <c:v>212.995833333333</c:v>
                </c:pt>
                <c:pt idx="20">
                  <c:v>192.891666666667</c:v>
                </c:pt>
                <c:pt idx="21">
                  <c:v>168.277916666667</c:v>
                </c:pt>
                <c:pt idx="22">
                  <c:v>147.434166666667</c:v>
                </c:pt>
                <c:pt idx="23">
                  <c:v>200.98</c:v>
                </c:pt>
                <c:pt idx="24">
                  <c:v>214.194166666667</c:v>
                </c:pt>
                <c:pt idx="25">
                  <c:v>218.93</c:v>
                </c:pt>
                <c:pt idx="26">
                  <c:v>181.82</c:v>
                </c:pt>
                <c:pt idx="27">
                  <c:v>174.778333333333</c:v>
                </c:pt>
                <c:pt idx="28">
                  <c:v>169.997916666667</c:v>
                </c:pt>
                <c:pt idx="29">
                  <c:v>150.765</c:v>
                </c:pt>
                <c:pt idx="30">
                  <c:v>178.406666666667</c:v>
                </c:pt>
              </c:numCache>
            </c:numRef>
          </c:val>
        </c:ser>
        <c:ser>
          <c:idx val="1"/>
          <c:order val="1"/>
          <c:tx>
            <c:strRef>
              <c:f>'MEB Report'!$E$1</c:f>
              <c:strCache>
                <c:ptCount val="1"/>
                <c:pt idx="0">
                  <c:v>On</c:v>
                </c:pt>
              </c:strCache>
            </c:strRef>
          </c:tx>
          <c:spPr>
            <a:solidFill>
              <a:srgbClr val="7ab85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'MEB Report'!$E$2:$E$32</c:f>
              <c:numCache>
                <c:formatCode>General</c:formatCode>
                <c:ptCount val="31"/>
                <c:pt idx="2">
                  <c:v>340.368333333333</c:v>
                </c:pt>
                <c:pt idx="3">
                  <c:v>447.208333333333</c:v>
                </c:pt>
                <c:pt idx="4">
                  <c:v>552.055</c:v>
                </c:pt>
                <c:pt idx="5">
                  <c:v>612.97</c:v>
                </c:pt>
                <c:pt idx="6">
                  <c:v>685.019166666667</c:v>
                </c:pt>
                <c:pt idx="9">
                  <c:v>712.6725</c:v>
                </c:pt>
                <c:pt idx="10">
                  <c:v>688.738333333333</c:v>
                </c:pt>
                <c:pt idx="11">
                  <c:v>674.134166666667</c:v>
                </c:pt>
                <c:pt idx="12">
                  <c:v>499.9075</c:v>
                </c:pt>
                <c:pt idx="13">
                  <c:v>531.284166666667</c:v>
                </c:pt>
                <c:pt idx="16">
                  <c:v>882.239166666667</c:v>
                </c:pt>
                <c:pt idx="17">
                  <c:v>750.808333333333</c:v>
                </c:pt>
                <c:pt idx="18">
                  <c:v>723.4825</c:v>
                </c:pt>
                <c:pt idx="19">
                  <c:v>778.211666666667</c:v>
                </c:pt>
                <c:pt idx="20">
                  <c:v>696.471666666667</c:v>
                </c:pt>
                <c:pt idx="23">
                  <c:v>778.043333333333</c:v>
                </c:pt>
                <c:pt idx="24">
                  <c:v>813.5425</c:v>
                </c:pt>
                <c:pt idx="25">
                  <c:v>752.145</c:v>
                </c:pt>
                <c:pt idx="26">
                  <c:v>805.368333333333</c:v>
                </c:pt>
                <c:pt idx="27">
                  <c:v>695.474166666667</c:v>
                </c:pt>
                <c:pt idx="30">
                  <c:v>792.4425</c:v>
                </c:pt>
              </c:numCache>
            </c:numRef>
          </c:val>
        </c:ser>
        <c:axId val="35875241"/>
        <c:axId val="40194809"/>
      </c:areaChart>
      <c:lineChart>
        <c:grouping val="standard"/>
        <c:varyColors val="0"/>
        <c:ser>
          <c:idx val="2"/>
          <c:order val="2"/>
          <c:tx>
            <c:strRef>
              <c:f>'MEB Report'!$D$1</c:f>
              <c:strCache>
                <c:ptCount val="1"/>
                <c:pt idx="0">
                  <c:v>Target </c:v>
                </c:pt>
              </c:strCache>
            </c:strRef>
          </c:tx>
          <c:spPr>
            <a:solidFill>
              <a:srgbClr val="ff0000"/>
            </a:solidFill>
            <a:ln w="3492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'MEB Report'!$D$2:$D$32</c:f>
              <c:numCache>
                <c:formatCode>General</c:formatCode>
                <c:ptCount val="31"/>
                <c:pt idx="0">
                  <c:v>135.357968253968</c:v>
                </c:pt>
                <c:pt idx="1">
                  <c:v>135.357968253968</c:v>
                </c:pt>
                <c:pt idx="2">
                  <c:v>135.357968253968</c:v>
                </c:pt>
                <c:pt idx="3">
                  <c:v>135.357968253968</c:v>
                </c:pt>
                <c:pt idx="4">
                  <c:v>135.357968253968</c:v>
                </c:pt>
                <c:pt idx="5">
                  <c:v>135.357968253968</c:v>
                </c:pt>
                <c:pt idx="6">
                  <c:v>135.357968253968</c:v>
                </c:pt>
                <c:pt idx="7">
                  <c:v>135.357968253968</c:v>
                </c:pt>
                <c:pt idx="8">
                  <c:v>135.357968253968</c:v>
                </c:pt>
                <c:pt idx="9">
                  <c:v>135.357968253968</c:v>
                </c:pt>
                <c:pt idx="10">
                  <c:v>135.357968253968</c:v>
                </c:pt>
                <c:pt idx="11">
                  <c:v>135.357968253968</c:v>
                </c:pt>
                <c:pt idx="12">
                  <c:v>135.357968253968</c:v>
                </c:pt>
                <c:pt idx="13">
                  <c:v>135.357968253968</c:v>
                </c:pt>
                <c:pt idx="14">
                  <c:v>135.357968253968</c:v>
                </c:pt>
                <c:pt idx="15">
                  <c:v>135.357968253968</c:v>
                </c:pt>
                <c:pt idx="16">
                  <c:v>135.357968253968</c:v>
                </c:pt>
                <c:pt idx="17">
                  <c:v>135.357968253968</c:v>
                </c:pt>
                <c:pt idx="18">
                  <c:v>135.357968253968</c:v>
                </c:pt>
                <c:pt idx="19">
                  <c:v>135.357968253968</c:v>
                </c:pt>
                <c:pt idx="20">
                  <c:v>135.357968253968</c:v>
                </c:pt>
                <c:pt idx="21">
                  <c:v>135.357968253968</c:v>
                </c:pt>
                <c:pt idx="22">
                  <c:v>135.357968253968</c:v>
                </c:pt>
                <c:pt idx="23">
                  <c:v>135.357968253968</c:v>
                </c:pt>
                <c:pt idx="24">
                  <c:v>135.357968253968</c:v>
                </c:pt>
                <c:pt idx="25">
                  <c:v>135.357968253968</c:v>
                </c:pt>
                <c:pt idx="26">
                  <c:v>135.357968253968</c:v>
                </c:pt>
                <c:pt idx="27">
                  <c:v>135.357968253968</c:v>
                </c:pt>
                <c:pt idx="28">
                  <c:v>135.357968253968</c:v>
                </c:pt>
                <c:pt idx="29">
                  <c:v>135.357968253968</c:v>
                </c:pt>
                <c:pt idx="30">
                  <c:v>135.357968253968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35875241"/>
        <c:axId val="40194809"/>
      </c:lineChart>
      <c:catAx>
        <c:axId val="3587524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194809"/>
        <c:auto val="1"/>
        <c:lblAlgn val="ctr"/>
        <c:lblOffset val="100"/>
        <c:noMultiLvlLbl val="0"/>
      </c:catAx>
      <c:valAx>
        <c:axId val="40194809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>
                  <a:alpha val="10000"/>
                </a:srgbClr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d9d9d9"/>
                </a:solidFill>
                <a:latin typeface="Calibri"/>
              </a:defRPr>
            </a:pPr>
          </a:p>
        </c:txPr>
        <c:crossAx val="35875241"/>
        <c:crosses val="autoZero"/>
        <c:crossBetween val="between"/>
      </c:valAx>
      <c:dTable>
        <c:showHorzBorder val="1"/>
        <c:showVertBorder val="1"/>
        <c:showOutline val="1"/>
      </c:dTable>
      <c:spPr>
        <a:noFill/>
        <a:ln>
          <a:noFill/>
        </a:ln>
      </c:spPr>
    </c:plotArea>
    <c:plotVisOnly val="1"/>
    <c:dispBlanksAs val="gap"/>
  </c:chart>
  <c:spPr>
    <a:gradFill>
      <a:gsLst>
        <a:gs pos="0">
          <a:srgbClr val="595959"/>
        </a:gs>
        <a:gs pos="100000">
          <a:srgbClr val="262626"/>
        </a:gs>
      </a:gsLst>
      <a:path path="circle">
        <a:fillToRect l="50000" t="50000" r="50000" b="50000"/>
      </a:path>
    </a:gra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ndard"/>
        <c:ser>
          <c:idx val="0"/>
          <c:order val="0"/>
          <c:tx>
            <c:strRef>
              <c:f>'Comed Report'!$F$1</c:f>
              <c:strCache>
                <c:ptCount val="1"/>
                <c:pt idx="0">
                  <c:v>Off</c:v>
                </c:pt>
              </c:strCache>
            </c:strRef>
          </c:tx>
          <c:spPr>
            <a:solidFill>
              <a:srgbClr val="406fc4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'Comed Report'!$F$2:$F$29</c:f>
              <c:numCache>
                <c:formatCode>General</c:formatCode>
                <c:ptCount val="28"/>
                <c:pt idx="0">
                  <c:v>100.069617021277</c:v>
                </c:pt>
                <c:pt idx="1">
                  <c:v>80.3816458333333</c:v>
                </c:pt>
                <c:pt idx="2">
                  <c:v>109.899666666667</c:v>
                </c:pt>
                <c:pt idx="3">
                  <c:v>109.49925</c:v>
                </c:pt>
                <c:pt idx="4">
                  <c:v>114.475041666667</c:v>
                </c:pt>
                <c:pt idx="5">
                  <c:v>134.393666666667</c:v>
                </c:pt>
                <c:pt idx="6">
                  <c:v>138.004833333333</c:v>
                </c:pt>
                <c:pt idx="7">
                  <c:v>154.819645833333</c:v>
                </c:pt>
                <c:pt idx="8">
                  <c:v>138.7629375</c:v>
                </c:pt>
                <c:pt idx="9">
                  <c:v>171.41125</c:v>
                </c:pt>
                <c:pt idx="10">
                  <c:v>169.01525</c:v>
                </c:pt>
                <c:pt idx="11">
                  <c:v>161.37225</c:v>
                </c:pt>
                <c:pt idx="12">
                  <c:v>145.37425</c:v>
                </c:pt>
                <c:pt idx="13">
                  <c:v>142.925041666667</c:v>
                </c:pt>
                <c:pt idx="14">
                  <c:v>153.810041666667</c:v>
                </c:pt>
                <c:pt idx="15">
                  <c:v>158.96775</c:v>
                </c:pt>
                <c:pt idx="16">
                  <c:v>192.56825</c:v>
                </c:pt>
                <c:pt idx="17">
                  <c:v>183.525458333333</c:v>
                </c:pt>
                <c:pt idx="18">
                  <c:v>194.240041666667</c:v>
                </c:pt>
                <c:pt idx="19">
                  <c:v>211.110458333333</c:v>
                </c:pt>
                <c:pt idx="20">
                  <c:v>194.700666666667</c:v>
                </c:pt>
                <c:pt idx="21">
                  <c:v>169.539041666667</c:v>
                </c:pt>
                <c:pt idx="22">
                  <c:v>147.3404375</c:v>
                </c:pt>
                <c:pt idx="23">
                  <c:v>207.061458333333</c:v>
                </c:pt>
                <c:pt idx="24">
                  <c:v>213.343458333333</c:v>
                </c:pt>
                <c:pt idx="25">
                  <c:v>224.906666666667</c:v>
                </c:pt>
                <c:pt idx="26">
                  <c:v>183.030291666667</c:v>
                </c:pt>
                <c:pt idx="27">
                  <c:v>176.400458333333</c:v>
                </c:pt>
              </c:numCache>
            </c:numRef>
          </c:val>
        </c:ser>
        <c:ser>
          <c:idx val="1"/>
          <c:order val="1"/>
          <c:tx>
            <c:strRef>
              <c:f>'Comed Report'!$E$1</c:f>
              <c:strCache>
                <c:ptCount val="1"/>
                <c:pt idx="0">
                  <c:v>On</c:v>
                </c:pt>
              </c:strCache>
            </c:strRef>
          </c:tx>
          <c:spPr>
            <a:solidFill>
              <a:srgbClr val="7ab85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'Comed Report'!$E$2:$E$29</c:f>
              <c:numCache>
                <c:formatCode>General</c:formatCode>
                <c:ptCount val="28"/>
                <c:pt idx="2">
                  <c:v>340.368333333333</c:v>
                </c:pt>
                <c:pt idx="3">
                  <c:v>447.208333333333</c:v>
                </c:pt>
                <c:pt idx="4">
                  <c:v>552.055</c:v>
                </c:pt>
                <c:pt idx="5">
                  <c:v>612.97</c:v>
                </c:pt>
                <c:pt idx="6">
                  <c:v>685.019166666667</c:v>
                </c:pt>
                <c:pt idx="9">
                  <c:v>712.6725</c:v>
                </c:pt>
                <c:pt idx="10">
                  <c:v>688.738333333333</c:v>
                </c:pt>
                <c:pt idx="11">
                  <c:v>674.134166666667</c:v>
                </c:pt>
                <c:pt idx="12">
                  <c:v>499.9075</c:v>
                </c:pt>
                <c:pt idx="13">
                  <c:v>531.284166666667</c:v>
                </c:pt>
                <c:pt idx="16">
                  <c:v>882.239166666667</c:v>
                </c:pt>
                <c:pt idx="17">
                  <c:v>750.808333333333</c:v>
                </c:pt>
                <c:pt idx="18">
                  <c:v>723.4825</c:v>
                </c:pt>
                <c:pt idx="19">
                  <c:v>778.211666666667</c:v>
                </c:pt>
                <c:pt idx="20">
                  <c:v>696.471666666667</c:v>
                </c:pt>
                <c:pt idx="23">
                  <c:v>778.043333333333</c:v>
                </c:pt>
                <c:pt idx="24">
                  <c:v>813.5425</c:v>
                </c:pt>
                <c:pt idx="25">
                  <c:v>752.145</c:v>
                </c:pt>
                <c:pt idx="26">
                  <c:v>805.368333333333</c:v>
                </c:pt>
                <c:pt idx="27">
                  <c:v>695.474166666667</c:v>
                </c:pt>
              </c:numCache>
            </c:numRef>
          </c:val>
        </c:ser>
        <c:axId val="91605253"/>
        <c:axId val="7181761"/>
      </c:areaChart>
      <c:lineChart>
        <c:grouping val="standard"/>
        <c:varyColors val="0"/>
        <c:ser>
          <c:idx val="2"/>
          <c:order val="2"/>
          <c:tx>
            <c:strRef>
              <c:f>'Comed Report'!$D$1</c:f>
              <c:strCache>
                <c:ptCount val="1"/>
                <c:pt idx="0">
                  <c:v>Target </c:v>
                </c:pt>
              </c:strCache>
            </c:strRef>
          </c:tx>
          <c:spPr>
            <a:solidFill>
              <a:srgbClr val="ff0000"/>
            </a:solidFill>
            <a:ln w="3492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'MEB Report'!$D$2:$D$30</c:f>
              <c:numCache>
                <c:formatCode>General</c:formatCode>
                <c:ptCount val="29"/>
                <c:pt idx="0">
                  <c:v>135.357968253968</c:v>
                </c:pt>
                <c:pt idx="1">
                  <c:v>135.357968253968</c:v>
                </c:pt>
                <c:pt idx="2">
                  <c:v>135.357968253968</c:v>
                </c:pt>
                <c:pt idx="3">
                  <c:v>135.357968253968</c:v>
                </c:pt>
                <c:pt idx="4">
                  <c:v>135.357968253968</c:v>
                </c:pt>
                <c:pt idx="5">
                  <c:v>135.357968253968</c:v>
                </c:pt>
                <c:pt idx="6">
                  <c:v>135.357968253968</c:v>
                </c:pt>
                <c:pt idx="7">
                  <c:v>135.357968253968</c:v>
                </c:pt>
                <c:pt idx="8">
                  <c:v>135.357968253968</c:v>
                </c:pt>
                <c:pt idx="9">
                  <c:v>135.357968253968</c:v>
                </c:pt>
                <c:pt idx="10">
                  <c:v>135.357968253968</c:v>
                </c:pt>
                <c:pt idx="11">
                  <c:v>135.357968253968</c:v>
                </c:pt>
                <c:pt idx="12">
                  <c:v>135.357968253968</c:v>
                </c:pt>
                <c:pt idx="13">
                  <c:v>135.357968253968</c:v>
                </c:pt>
                <c:pt idx="14">
                  <c:v>135.357968253968</c:v>
                </c:pt>
                <c:pt idx="15">
                  <c:v>135.357968253968</c:v>
                </c:pt>
                <c:pt idx="16">
                  <c:v>135.357968253968</c:v>
                </c:pt>
                <c:pt idx="17">
                  <c:v>135.357968253968</c:v>
                </c:pt>
                <c:pt idx="18">
                  <c:v>135.357968253968</c:v>
                </c:pt>
                <c:pt idx="19">
                  <c:v>135.357968253968</c:v>
                </c:pt>
                <c:pt idx="20">
                  <c:v>135.357968253968</c:v>
                </c:pt>
                <c:pt idx="21">
                  <c:v>135.357968253968</c:v>
                </c:pt>
                <c:pt idx="22">
                  <c:v>135.357968253968</c:v>
                </c:pt>
                <c:pt idx="23">
                  <c:v>135.357968253968</c:v>
                </c:pt>
                <c:pt idx="24">
                  <c:v>135.357968253968</c:v>
                </c:pt>
                <c:pt idx="25">
                  <c:v>135.357968253968</c:v>
                </c:pt>
                <c:pt idx="26">
                  <c:v>135.357968253968</c:v>
                </c:pt>
                <c:pt idx="27">
                  <c:v>135.357968253968</c:v>
                </c:pt>
                <c:pt idx="28">
                  <c:v>135.357968253968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91605253"/>
        <c:axId val="7181761"/>
      </c:lineChart>
      <c:catAx>
        <c:axId val="9160525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81761"/>
        <c:auto val="1"/>
        <c:lblAlgn val="ctr"/>
        <c:lblOffset val="100"/>
        <c:noMultiLvlLbl val="0"/>
      </c:catAx>
      <c:valAx>
        <c:axId val="7181761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>
                  <a:alpha val="10000"/>
                </a:srgbClr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d9d9d9"/>
                </a:solidFill>
                <a:latin typeface="Calibri"/>
              </a:defRPr>
            </a:pPr>
          </a:p>
        </c:txPr>
        <c:crossAx val="91605253"/>
        <c:crosses val="autoZero"/>
        <c:crossBetween val="between"/>
      </c:valAx>
      <c:dTable>
        <c:showHorzBorder val="1"/>
        <c:showVertBorder val="1"/>
        <c:showOutline val="1"/>
      </c:dTable>
      <c:spPr>
        <a:noFill/>
        <a:ln>
          <a:noFill/>
        </a:ln>
      </c:spPr>
    </c:plotArea>
    <c:plotVisOnly val="1"/>
    <c:dispBlanksAs val="gap"/>
  </c:chart>
  <c:spPr>
    <a:gradFill>
      <a:gsLst>
        <a:gs pos="0">
          <a:srgbClr val="595959"/>
        </a:gs>
        <a:gs pos="100000">
          <a:srgbClr val="262626"/>
        </a:gs>
      </a:gsLst>
      <a:path path="circle">
        <a:fillToRect l="50000" t="50000" r="50000" b="50000"/>
      </a:path>
    </a:gra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401760</xdr:colOff>
      <xdr:row>2</xdr:row>
      <xdr:rowOff>38160</xdr:rowOff>
    </xdr:from>
    <xdr:to>
      <xdr:col>33</xdr:col>
      <xdr:colOff>5760</xdr:colOff>
      <xdr:row>29</xdr:row>
      <xdr:rowOff>123480</xdr:rowOff>
    </xdr:to>
    <xdr:graphicFrame>
      <xdr:nvGraphicFramePr>
        <xdr:cNvPr id="0" name="Chart 1"/>
        <xdr:cNvGraphicFramePr/>
      </xdr:nvGraphicFramePr>
      <xdr:xfrm>
        <a:off x="6383880" y="419040"/>
        <a:ext cx="19333440" cy="5228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19080</xdr:colOff>
      <xdr:row>0</xdr:row>
      <xdr:rowOff>152280</xdr:rowOff>
    </xdr:from>
    <xdr:to>
      <xdr:col>33</xdr:col>
      <xdr:colOff>116280</xdr:colOff>
      <xdr:row>28</xdr:row>
      <xdr:rowOff>47160</xdr:rowOff>
    </xdr:to>
    <xdr:graphicFrame>
      <xdr:nvGraphicFramePr>
        <xdr:cNvPr id="1" name="Chart 1"/>
        <xdr:cNvGraphicFramePr/>
      </xdr:nvGraphicFramePr>
      <xdr:xfrm>
        <a:off x="4572000" y="152280"/>
        <a:ext cx="19067760" cy="5228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41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D15" activeCellId="0" sqref="D15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5.71"/>
    <col collapsed="false" customWidth="true" hidden="false" outlineLevel="0" max="2" min="2" style="0" width="3"/>
    <col collapsed="false" customWidth="true" hidden="false" outlineLevel="0" max="3" min="3" style="0" width="2"/>
    <col collapsed="false" customWidth="true" hidden="false" outlineLevel="0" max="4" min="4" style="0" width="22"/>
    <col collapsed="false" customWidth="true" hidden="false" outlineLevel="0" max="5" min="5" style="2" width="6.57"/>
    <col collapsed="false" customWidth="true" hidden="false" outlineLevel="0" max="6" min="6" style="2" width="9.57"/>
    <col collapsed="false" customWidth="true" hidden="false" outlineLevel="0" max="7" min="7" style="0" width="8.43"/>
  </cols>
  <sheetData>
    <row r="1" customFormat="false" ht="15" hidden="false" customHeight="false" outlineLevel="0" collapsed="false">
      <c r="A1" s="1" t="s">
        <v>0</v>
      </c>
      <c r="D1" s="0" t="s">
        <v>1</v>
      </c>
      <c r="E1" s="2" t="s">
        <v>2</v>
      </c>
      <c r="F1" s="2" t="s">
        <v>3</v>
      </c>
      <c r="G1" s="0" t="s">
        <v>4</v>
      </c>
    </row>
    <row r="2" customFormat="false" ht="15" hidden="false" customHeight="false" outlineLevel="0" collapsed="false">
      <c r="A2" s="1" t="n">
        <v>44562</v>
      </c>
      <c r="B2" s="0" t="n">
        <v>1</v>
      </c>
      <c r="C2" s="0" t="n">
        <f aca="false">WEEKDAY(A2,2)</f>
        <v>6</v>
      </c>
      <c r="D2" s="3" t="n">
        <f aca="false">$E$33*0.2</f>
        <v>135.357968253968</v>
      </c>
      <c r="E2" s="4" t="str">
        <f aca="false">IF(C2&gt;=6,"",AVERAGEIFS('1'!B:B,'1'!D:D,B2,'1'!G:G,1))</f>
        <v/>
      </c>
      <c r="F2" s="4" t="n">
        <f aca="false">IF(C2&gt;=6,AVERAGEIFS('1'!B:B,'1'!D:D,'MEB Report'!B2,'1'!F:F,0),AVERAGEIFS('1'!B:B,'1'!D:D,'MEB Report'!B2,'1'!G:G,0))-$E$38</f>
        <v>99.09125</v>
      </c>
      <c r="G2" s="5" t="n">
        <f aca="false">IFERROR(F2/$E$33,"")</f>
        <v>0.146413619055035</v>
      </c>
    </row>
    <row r="3" customFormat="false" ht="15" hidden="false" customHeight="false" outlineLevel="0" collapsed="false">
      <c r="A3" s="1" t="n">
        <v>44563</v>
      </c>
      <c r="B3" s="0" t="n">
        <v>2</v>
      </c>
      <c r="C3" s="0" t="n">
        <f aca="false">WEEKDAY(A3,2)</f>
        <v>7</v>
      </c>
      <c r="D3" s="3" t="n">
        <f aca="false">$E$33*0.2</f>
        <v>135.357968253968</v>
      </c>
      <c r="E3" s="4" t="str">
        <f aca="false">IF(C3&gt;=6,"",AVERAGEIFS('1'!B:B,'1'!D:D,B3,'1'!G:G,1))</f>
        <v/>
      </c>
      <c r="F3" s="4" t="n">
        <f aca="false">IF(C3&gt;=6,AVERAGEIFS('1'!B:B,'1'!D:D,'MEB Report'!B3,'1'!F:F,0),AVERAGEIFS('1'!B:B,'1'!D:D,'MEB Report'!B3,'1'!G:G,0))-$E$38</f>
        <v>79.1608333333333</v>
      </c>
      <c r="G3" s="5" t="n">
        <f aca="false">IFERROR(F3/$E$33,"")</f>
        <v>0.116965161865914</v>
      </c>
    </row>
    <row r="4" customFormat="false" ht="15" hidden="false" customHeight="false" outlineLevel="0" collapsed="false">
      <c r="A4" s="1" t="n">
        <v>44564</v>
      </c>
      <c r="B4" s="0" t="n">
        <v>3</v>
      </c>
      <c r="C4" s="0" t="n">
        <f aca="false">WEEKDAY(A4,2)</f>
        <v>1</v>
      </c>
      <c r="D4" s="3" t="n">
        <f aca="false">$E$33*0.2</f>
        <v>135.357968253968</v>
      </c>
      <c r="E4" s="4" t="n">
        <f aca="false">IF(C4&gt;=6,"",AVERAGEIFS('1'!B:B,'1'!D:D,B4,'1'!G:G,1))</f>
        <v>340.368333333333</v>
      </c>
      <c r="F4" s="4" t="n">
        <f aca="false">IF(C4&gt;=6,AVERAGEIFS('1'!B:B,'1'!D:D,'MEB Report'!B4,'1'!F:F,0),AVERAGEIFS('1'!B:B,'1'!D:D,'MEB Report'!B4,'1'!G:G,0))-$E$38</f>
        <v>104.5375</v>
      </c>
      <c r="G4" s="5" t="n">
        <f aca="false">IFERROR(F4/$E$33,"")</f>
        <v>0.154460799535435</v>
      </c>
    </row>
    <row r="5" customFormat="false" ht="15" hidden="false" customHeight="false" outlineLevel="0" collapsed="false">
      <c r="A5" s="1" t="n">
        <v>44565</v>
      </c>
      <c r="B5" s="0" t="n">
        <v>4</v>
      </c>
      <c r="C5" s="0" t="n">
        <f aca="false">WEEKDAY(A5,2)</f>
        <v>2</v>
      </c>
      <c r="D5" s="3" t="n">
        <f aca="false">$E$33*0.2</f>
        <v>135.357968253968</v>
      </c>
      <c r="E5" s="4" t="n">
        <f aca="false">IF(C5&gt;=6,"",AVERAGEIFS('1'!B:B,'1'!D:D,B5,'1'!G:G,1))</f>
        <v>447.208333333333</v>
      </c>
      <c r="F5" s="4" t="n">
        <f aca="false">IF(C5&gt;=6,AVERAGEIFS('1'!B:B,'1'!D:D,'MEB Report'!B5,'1'!F:F,0),AVERAGEIFS('1'!B:B,'1'!D:D,'MEB Report'!B5,'1'!G:G,0))-$E$38</f>
        <v>104.2625</v>
      </c>
      <c r="G5" s="5" t="n">
        <f aca="false">IFERROR(F5/$E$33,"")</f>
        <v>0.154054469559377</v>
      </c>
    </row>
    <row r="6" customFormat="false" ht="15" hidden="false" customHeight="false" outlineLevel="0" collapsed="false">
      <c r="A6" s="1" t="n">
        <v>44566</v>
      </c>
      <c r="B6" s="0" t="n">
        <v>5</v>
      </c>
      <c r="C6" s="0" t="n">
        <f aca="false">WEEKDAY(A6,2)</f>
        <v>3</v>
      </c>
      <c r="D6" s="3" t="n">
        <f aca="false">$E$33*0.2</f>
        <v>135.357968253968</v>
      </c>
      <c r="E6" s="4" t="n">
        <f aca="false">IF(C6&gt;=6,"",AVERAGEIFS('1'!B:B,'1'!D:D,B6,'1'!G:G,1))</f>
        <v>552.055</v>
      </c>
      <c r="F6" s="4" t="n">
        <f aca="false">IF(C6&gt;=6,AVERAGEIFS('1'!B:B,'1'!D:D,'MEB Report'!B6,'1'!F:F,0),AVERAGEIFS('1'!B:B,'1'!D:D,'MEB Report'!B6,'1'!G:G,0))-$E$38</f>
        <v>110.35</v>
      </c>
      <c r="G6" s="5" t="n">
        <f aca="false">IFERROR(F6/$E$33,"")</f>
        <v>0.163049137665769</v>
      </c>
    </row>
    <row r="7" customFormat="false" ht="15" hidden="false" customHeight="false" outlineLevel="0" collapsed="false">
      <c r="A7" s="1" t="n">
        <v>44567</v>
      </c>
      <c r="B7" s="0" t="n">
        <v>6</v>
      </c>
      <c r="C7" s="0" t="n">
        <f aca="false">WEEKDAY(A7,2)</f>
        <v>4</v>
      </c>
      <c r="D7" s="3" t="n">
        <f aca="false">$E$33*0.2</f>
        <v>135.357968253968</v>
      </c>
      <c r="E7" s="4" t="n">
        <f aca="false">IF(C7&gt;=6,"",AVERAGEIFS('1'!B:B,'1'!D:D,B7,'1'!G:G,1))</f>
        <v>612.97</v>
      </c>
      <c r="F7" s="4" t="n">
        <f aca="false">IF(C7&gt;=6,AVERAGEIFS('1'!B:B,'1'!D:D,'MEB Report'!B7,'1'!F:F,0),AVERAGEIFS('1'!B:B,'1'!D:D,'MEB Report'!B7,'1'!G:G,0))-$E$38</f>
        <v>124.034166666667</v>
      </c>
      <c r="G7" s="5" t="n">
        <f aca="false">IFERROR(F7/$E$33,"")</f>
        <v>0.183268363535045</v>
      </c>
    </row>
    <row r="8" customFormat="false" ht="15" hidden="false" customHeight="false" outlineLevel="0" collapsed="false">
      <c r="A8" s="1" t="n">
        <v>44568</v>
      </c>
      <c r="B8" s="0" t="n">
        <v>7</v>
      </c>
      <c r="C8" s="0" t="n">
        <f aca="false">WEEKDAY(A8,2)</f>
        <v>5</v>
      </c>
      <c r="D8" s="3" t="n">
        <f aca="false">$E$33*0.2</f>
        <v>135.357968253968</v>
      </c>
      <c r="E8" s="4" t="n">
        <f aca="false">IF(C8&gt;=6,"",AVERAGEIFS('1'!B:B,'1'!D:D,B8,'1'!G:G,1))</f>
        <v>685.019166666667</v>
      </c>
      <c r="F8" s="4" t="n">
        <f aca="false">IF(C8&gt;=6,AVERAGEIFS('1'!B:B,'1'!D:D,'MEB Report'!B8,'1'!F:F,0),AVERAGEIFS('1'!B:B,'1'!D:D,'MEB Report'!B8,'1'!G:G,0))-$E$38</f>
        <v>136.5675</v>
      </c>
      <c r="G8" s="5" t="n">
        <f aca="false">IFERROR(F8/$E$33,"")</f>
        <v>0.201787160019663</v>
      </c>
    </row>
    <row r="9" customFormat="false" ht="15" hidden="false" customHeight="false" outlineLevel="0" collapsed="false">
      <c r="A9" s="1" t="n">
        <v>44569</v>
      </c>
      <c r="B9" s="0" t="n">
        <v>8</v>
      </c>
      <c r="C9" s="0" t="n">
        <f aca="false">WEEKDAY(A9,2)</f>
        <v>6</v>
      </c>
      <c r="D9" s="3" t="n">
        <f aca="false">$E$33*0.2</f>
        <v>135.357968253968</v>
      </c>
      <c r="E9" s="4" t="str">
        <f aca="false">IF(C9&gt;=6,"",AVERAGEIFS('1'!B:B,'1'!D:D,B9,'1'!G:G,1))</f>
        <v/>
      </c>
      <c r="F9" s="4" t="n">
        <f aca="false">IF(C9&gt;=6,AVERAGEIFS('1'!B:B,'1'!D:D,'MEB Report'!B9,'1'!F:F,0),AVERAGEIFS('1'!B:B,'1'!D:D,'MEB Report'!B9,'1'!G:G,0))-$E$38</f>
        <v>153.968333333333</v>
      </c>
      <c r="G9" s="5" t="n">
        <f aca="false">IFERROR(F9/$E$33,"")</f>
        <v>0.227497997080522</v>
      </c>
    </row>
    <row r="10" customFormat="false" ht="15" hidden="false" customHeight="false" outlineLevel="0" collapsed="false">
      <c r="A10" s="1" t="n">
        <v>44570</v>
      </c>
      <c r="B10" s="0" t="n">
        <v>9</v>
      </c>
      <c r="C10" s="0" t="n">
        <f aca="false">WEEKDAY(A10,2)</f>
        <v>7</v>
      </c>
      <c r="D10" s="3" t="n">
        <f aca="false">$E$33*0.2</f>
        <v>135.357968253968</v>
      </c>
      <c r="E10" s="4" t="str">
        <f aca="false">IF(C10&gt;=6,"",AVERAGEIFS('1'!B:B,'1'!D:D,B10,'1'!G:G,1))</f>
        <v/>
      </c>
      <c r="F10" s="4" t="n">
        <f aca="false">IF(C10&gt;=6,AVERAGEIFS('1'!B:B,'1'!D:D,'MEB Report'!B10,'1'!F:F,0),AVERAGEIFS('1'!B:B,'1'!D:D,'MEB Report'!B10,'1'!G:G,0))-$E$38</f>
        <v>138.367916666667</v>
      </c>
      <c r="G10" s="5" t="n">
        <f aca="false">IFERROR(F10/$E$33,"")</f>
        <v>0.204447390059891</v>
      </c>
    </row>
    <row r="11" customFormat="false" ht="15" hidden="false" customHeight="false" outlineLevel="0" collapsed="false">
      <c r="A11" s="1" t="n">
        <v>44571</v>
      </c>
      <c r="B11" s="0" t="n">
        <v>10</v>
      </c>
      <c r="C11" s="0" t="n">
        <f aca="false">WEEKDAY(A11,2)</f>
        <v>1</v>
      </c>
      <c r="D11" s="3" t="n">
        <f aca="false">$E$33*0.2</f>
        <v>135.357968253968</v>
      </c>
      <c r="E11" s="4" t="n">
        <f aca="false">IF(C11&gt;=6,"",AVERAGEIFS('1'!B:B,'1'!D:D,B11,'1'!G:G,1))</f>
        <v>712.6725</v>
      </c>
      <c r="F11" s="4" t="n">
        <f aca="false">IF(C11&gt;=6,AVERAGEIFS('1'!B:B,'1'!D:D,'MEB Report'!B11,'1'!F:F,0),AVERAGEIFS('1'!B:B,'1'!D:D,'MEB Report'!B11,'1'!G:G,0))-$E$38</f>
        <v>170.3675</v>
      </c>
      <c r="G11" s="5" t="n">
        <f aca="false">IFERROR(F11/$E$33,"")</f>
        <v>0.251728807986161</v>
      </c>
    </row>
    <row r="12" customFormat="false" ht="15" hidden="false" customHeight="false" outlineLevel="0" collapsed="false">
      <c r="A12" s="1" t="n">
        <v>44572</v>
      </c>
      <c r="B12" s="0" t="n">
        <v>11</v>
      </c>
      <c r="C12" s="0" t="n">
        <f aca="false">WEEKDAY(A12,2)</f>
        <v>2</v>
      </c>
      <c r="D12" s="3" t="n">
        <f aca="false">$E$33*0.2</f>
        <v>135.357968253968</v>
      </c>
      <c r="E12" s="4" t="n">
        <f aca="false">IF(C12&gt;=6,"",AVERAGEIFS('1'!B:B,'1'!D:D,B12,'1'!G:G,1))</f>
        <v>688.738333333333</v>
      </c>
      <c r="F12" s="4" t="n">
        <f aca="false">IF(C12&gt;=6,AVERAGEIFS('1'!B:B,'1'!D:D,'MEB Report'!B12,'1'!F:F,0),AVERAGEIFS('1'!B:B,'1'!D:D,'MEB Report'!B12,'1'!G:G,0))-$E$38</f>
        <v>166.8125</v>
      </c>
      <c r="G12" s="5" t="n">
        <f aca="false">IFERROR(F12/$E$33,"")</f>
        <v>0.246476069568383</v>
      </c>
    </row>
    <row r="13" customFormat="false" ht="15" hidden="false" customHeight="false" outlineLevel="0" collapsed="false">
      <c r="A13" s="1" t="n">
        <v>44573</v>
      </c>
      <c r="B13" s="0" t="n">
        <v>12</v>
      </c>
      <c r="C13" s="0" t="n">
        <f aca="false">WEEKDAY(A13,2)</f>
        <v>3</v>
      </c>
      <c r="D13" s="3" t="n">
        <f aca="false">$E$33*0.2</f>
        <v>135.357968253968</v>
      </c>
      <c r="E13" s="4" t="n">
        <f aca="false">IF(C13&gt;=6,"",AVERAGEIFS('1'!B:B,'1'!D:D,B13,'1'!G:G,1))</f>
        <v>674.134166666667</v>
      </c>
      <c r="F13" s="4" t="n">
        <f aca="false">IF(C13&gt;=6,AVERAGEIFS('1'!B:B,'1'!D:D,'MEB Report'!B13,'1'!F:F,0),AVERAGEIFS('1'!B:B,'1'!D:D,'MEB Report'!B13,'1'!G:G,0))-$E$38</f>
        <v>159.893333333333</v>
      </c>
      <c r="G13" s="5" t="n">
        <f aca="false">IFERROR(F13/$E$33,"")</f>
        <v>0.236252561110152</v>
      </c>
    </row>
    <row r="14" customFormat="false" ht="15" hidden="false" customHeight="false" outlineLevel="0" collapsed="false">
      <c r="A14" s="1" t="n">
        <v>44574</v>
      </c>
      <c r="B14" s="0" t="n">
        <v>13</v>
      </c>
      <c r="C14" s="0" t="n">
        <f aca="false">WEEKDAY(A14,2)</f>
        <v>4</v>
      </c>
      <c r="D14" s="3" t="n">
        <f aca="false">$E$33*0.2</f>
        <v>135.357968253968</v>
      </c>
      <c r="E14" s="4" t="n">
        <f aca="false">IF(C14&gt;=6,"",AVERAGEIFS('1'!B:B,'1'!D:D,B14,'1'!G:G,1))</f>
        <v>499.9075</v>
      </c>
      <c r="F14" s="4" t="n">
        <f aca="false">IF(C14&gt;=6,AVERAGEIFS('1'!B:B,'1'!D:D,'MEB Report'!B14,'1'!F:F,0),AVERAGEIFS('1'!B:B,'1'!D:D,'MEB Report'!B14,'1'!G:G,0))-$E$38</f>
        <v>143.165</v>
      </c>
      <c r="G14" s="5" t="n">
        <f aca="false">IFERROR(F14/$E$33,"")</f>
        <v>0.211535385536201</v>
      </c>
    </row>
    <row r="15" customFormat="false" ht="15" hidden="false" customHeight="false" outlineLevel="0" collapsed="false">
      <c r="A15" s="1" t="n">
        <v>44575</v>
      </c>
      <c r="B15" s="0" t="n">
        <v>14</v>
      </c>
      <c r="C15" s="0" t="n">
        <f aca="false">WEEKDAY(A15,2)</f>
        <v>5</v>
      </c>
      <c r="D15" s="3" t="n">
        <f aca="false">$E$33*0.2</f>
        <v>135.357968253968</v>
      </c>
      <c r="E15" s="4" t="n">
        <f aca="false">IF(C15&gt;=6,"",AVERAGEIFS('1'!B:B,'1'!D:D,B15,'1'!G:G,1))</f>
        <v>531.284166666667</v>
      </c>
      <c r="F15" s="4" t="n">
        <f aca="false">IF(C15&gt;=6,AVERAGEIFS('1'!B:B,'1'!D:D,'MEB Report'!B15,'1'!F:F,0),AVERAGEIFS('1'!B:B,'1'!D:D,'MEB Report'!B15,'1'!G:G,0))-$E$38</f>
        <v>141.464166666667</v>
      </c>
      <c r="G15" s="5" t="n">
        <f aca="false">IFERROR(F15/$E$33,"")</f>
        <v>0.209022296199425</v>
      </c>
    </row>
    <row r="16" customFormat="false" ht="15" hidden="false" customHeight="false" outlineLevel="0" collapsed="false">
      <c r="A16" s="1" t="n">
        <v>44576</v>
      </c>
      <c r="B16" s="0" t="n">
        <v>15</v>
      </c>
      <c r="C16" s="0" t="n">
        <f aca="false">WEEKDAY(A16,2)</f>
        <v>6</v>
      </c>
      <c r="D16" s="3" t="n">
        <f aca="false">$E$33*0.2</f>
        <v>135.357968253968</v>
      </c>
      <c r="E16" s="4" t="str">
        <f aca="false">IF(C16&gt;=6,"",AVERAGEIFS('1'!B:B,'1'!D:D,B16,'1'!G:G,1))</f>
        <v/>
      </c>
      <c r="F16" s="4" t="n">
        <f aca="false">IF(C16&gt;=6,AVERAGEIFS('1'!B:B,'1'!D:D,'MEB Report'!B16,'1'!F:F,0),AVERAGEIFS('1'!B:B,'1'!D:D,'MEB Report'!B16,'1'!G:G,0))-$E$38</f>
        <v>153.56</v>
      </c>
      <c r="G16" s="5" t="n">
        <f aca="false">IFERROR(F16/$E$33,"")</f>
        <v>0.226894658631223</v>
      </c>
    </row>
    <row r="17" customFormat="false" ht="15" hidden="false" customHeight="false" outlineLevel="0" collapsed="false">
      <c r="A17" s="1" t="n">
        <v>44577</v>
      </c>
      <c r="B17" s="0" t="n">
        <v>16</v>
      </c>
      <c r="C17" s="0" t="n">
        <f aca="false">WEEKDAY(A17,2)</f>
        <v>7</v>
      </c>
      <c r="D17" s="3" t="n">
        <f aca="false">$E$33*0.2</f>
        <v>135.357968253968</v>
      </c>
      <c r="E17" s="4" t="str">
        <f aca="false">IF(C17&gt;=6,"",AVERAGEIFS('1'!B:B,'1'!D:D,B17,'1'!G:G,1))</f>
        <v/>
      </c>
      <c r="F17" s="4" t="n">
        <f aca="false">IF(C17&gt;=6,AVERAGEIFS('1'!B:B,'1'!D:D,'MEB Report'!B17,'1'!F:F,0),AVERAGEIFS('1'!B:B,'1'!D:D,'MEB Report'!B17,'1'!G:G,0))-$E$38</f>
        <v>157.812083333333</v>
      </c>
      <c r="G17" s="5" t="n">
        <f aca="false">IFERROR(F17/$E$33,"")</f>
        <v>0.233177381973162</v>
      </c>
    </row>
    <row r="18" customFormat="false" ht="15" hidden="false" customHeight="false" outlineLevel="0" collapsed="false">
      <c r="A18" s="1" t="n">
        <v>44578</v>
      </c>
      <c r="B18" s="0" t="n">
        <v>17</v>
      </c>
      <c r="C18" s="0" t="n">
        <f aca="false">WEEKDAY(A18,2)</f>
        <v>1</v>
      </c>
      <c r="D18" s="3" t="n">
        <f aca="false">$E$33*0.2</f>
        <v>135.357968253968</v>
      </c>
      <c r="E18" s="4" t="n">
        <f aca="false">IF(C18&gt;=6,"",AVERAGEIFS('1'!B:B,'1'!D:D,B18,'1'!G:G,1))</f>
        <v>882.239166666667</v>
      </c>
      <c r="F18" s="4" t="n">
        <f aca="false">IF(C18&gt;=6,AVERAGEIFS('1'!B:B,'1'!D:D,'MEB Report'!B18,'1'!F:F,0),AVERAGEIFS('1'!B:B,'1'!D:D,'MEB Report'!B18,'1'!G:G,0))-$E$38</f>
        <v>183.224166666667</v>
      </c>
      <c r="G18" s="5" t="n">
        <f aca="false">IFERROR(F18/$E$33,"")</f>
        <v>0.270725350018388</v>
      </c>
    </row>
    <row r="19" customFormat="false" ht="15" hidden="false" customHeight="false" outlineLevel="0" collapsed="false">
      <c r="A19" s="1" t="n">
        <v>44579</v>
      </c>
      <c r="B19" s="0" t="n">
        <v>18</v>
      </c>
      <c r="C19" s="0" t="n">
        <f aca="false">WEEKDAY(A19,2)</f>
        <v>2</v>
      </c>
      <c r="D19" s="3" t="n">
        <f aca="false">$E$33*0.2</f>
        <v>135.357968253968</v>
      </c>
      <c r="E19" s="4" t="n">
        <f aca="false">IF(C19&gt;=6,"",AVERAGEIFS('1'!B:B,'1'!D:D,B19,'1'!G:G,1))</f>
        <v>750.808333333333</v>
      </c>
      <c r="F19" s="4" t="n">
        <f aca="false">IF(C19&gt;=6,AVERAGEIFS('1'!B:B,'1'!D:D,'MEB Report'!B19,'1'!F:F,0),AVERAGEIFS('1'!B:B,'1'!D:D,'MEB Report'!B19,'1'!G:G,0))-$E$38</f>
        <v>178.881666666667</v>
      </c>
      <c r="G19" s="5" t="n">
        <f aca="false">IFERROR(F19/$E$33,"")</f>
        <v>0.264309030305532</v>
      </c>
    </row>
    <row r="20" customFormat="false" ht="15" hidden="false" customHeight="false" outlineLevel="0" collapsed="false">
      <c r="A20" s="1" t="n">
        <v>44580</v>
      </c>
      <c r="B20" s="0" t="n">
        <v>19</v>
      </c>
      <c r="C20" s="0" t="n">
        <f aca="false">WEEKDAY(A20,2)</f>
        <v>3</v>
      </c>
      <c r="D20" s="3" t="n">
        <f aca="false">$E$33*0.2</f>
        <v>135.357968253968</v>
      </c>
      <c r="E20" s="4" t="n">
        <f aca="false">IF(C20&gt;=6,"",AVERAGEIFS('1'!B:B,'1'!D:D,B20,'1'!G:G,1))</f>
        <v>723.4825</v>
      </c>
      <c r="F20" s="4" t="n">
        <f aca="false">IF(C20&gt;=6,AVERAGEIFS('1'!B:B,'1'!D:D,'MEB Report'!B20,'1'!F:F,0),AVERAGEIFS('1'!B:B,'1'!D:D,'MEB Report'!B20,'1'!G:G,0))-$E$38</f>
        <v>191.918333333333</v>
      </c>
      <c r="G20" s="5" t="n">
        <f aca="false">IFERROR(F20/$E$33,"")</f>
        <v>0.283571533776634</v>
      </c>
    </row>
    <row r="21" customFormat="false" ht="15" hidden="false" customHeight="false" outlineLevel="0" collapsed="false">
      <c r="A21" s="1" t="n">
        <v>44581</v>
      </c>
      <c r="B21" s="0" t="n">
        <v>20</v>
      </c>
      <c r="C21" s="0" t="n">
        <f aca="false">WEEKDAY(A21,2)</f>
        <v>4</v>
      </c>
      <c r="D21" s="3" t="n">
        <f aca="false">$E$33*0.2</f>
        <v>135.357968253968</v>
      </c>
      <c r="E21" s="4" t="n">
        <f aca="false">IF(C21&gt;=6,"",AVERAGEIFS('1'!B:B,'1'!D:D,B21,'1'!G:G,1))</f>
        <v>778.211666666667</v>
      </c>
      <c r="F21" s="4" t="n">
        <f aca="false">IF(C21&gt;=6,AVERAGEIFS('1'!B:B,'1'!D:D,'MEB Report'!B21,'1'!F:F,0),AVERAGEIFS('1'!B:B,'1'!D:D,'MEB Report'!B21,'1'!G:G,0))-$E$38</f>
        <v>212.995833333333</v>
      </c>
      <c r="G21" s="5" t="n">
        <f aca="false">IFERROR(F21/$E$33,"")</f>
        <v>0.314714879487103</v>
      </c>
    </row>
    <row r="22" customFormat="false" ht="15" hidden="false" customHeight="false" outlineLevel="0" collapsed="false">
      <c r="A22" s="1" t="n">
        <v>44582</v>
      </c>
      <c r="B22" s="0" t="n">
        <v>21</v>
      </c>
      <c r="C22" s="0" t="n">
        <f aca="false">WEEKDAY(A22,2)</f>
        <v>5</v>
      </c>
      <c r="D22" s="3" t="n">
        <f aca="false">$E$33*0.2</f>
        <v>135.357968253968</v>
      </c>
      <c r="E22" s="4" t="n">
        <f aca="false">IF(C22&gt;=6,"",AVERAGEIFS('1'!B:B,'1'!D:D,B22,'1'!G:G,1))</f>
        <v>696.471666666667</v>
      </c>
      <c r="F22" s="4" t="n">
        <f aca="false">IF(C22&gt;=6,AVERAGEIFS('1'!B:B,'1'!D:D,'MEB Report'!B22,'1'!F:F,0),AVERAGEIFS('1'!B:B,'1'!D:D,'MEB Report'!B22,'1'!G:G,0))-$E$38</f>
        <v>192.891666666667</v>
      </c>
      <c r="G22" s="5" t="n">
        <f aca="false">IFERROR(F22/$E$33,"")</f>
        <v>0.28500969563129</v>
      </c>
    </row>
    <row r="23" customFormat="false" ht="15" hidden="false" customHeight="false" outlineLevel="0" collapsed="false">
      <c r="A23" s="1" t="n">
        <v>44583</v>
      </c>
      <c r="B23" s="0" t="n">
        <v>22</v>
      </c>
      <c r="C23" s="0" t="n">
        <f aca="false">WEEKDAY(A23,2)</f>
        <v>6</v>
      </c>
      <c r="D23" s="3" t="n">
        <f aca="false">$E$33*0.2</f>
        <v>135.357968253968</v>
      </c>
      <c r="E23" s="4" t="str">
        <f aca="false">IF(C23&gt;=6,"",AVERAGEIFS('1'!B:B,'1'!D:D,B23,'1'!G:G,1))</f>
        <v/>
      </c>
      <c r="F23" s="4" t="n">
        <f aca="false">IF(C23&gt;=6,AVERAGEIFS('1'!B:B,'1'!D:D,'MEB Report'!B23,'1'!F:F,0),AVERAGEIFS('1'!B:B,'1'!D:D,'MEB Report'!B23,'1'!G:G,0))-$E$38</f>
        <v>168.277916666667</v>
      </c>
      <c r="G23" s="5" t="n">
        <f aca="false">IFERROR(F23/$E$33,"")</f>
        <v>0.248641315819593</v>
      </c>
    </row>
    <row r="24" customFormat="false" ht="15" hidden="false" customHeight="false" outlineLevel="0" collapsed="false">
      <c r="A24" s="1" t="n">
        <v>44584</v>
      </c>
      <c r="B24" s="0" t="n">
        <v>23</v>
      </c>
      <c r="C24" s="0" t="n">
        <f aca="false">WEEKDAY(A24,2)</f>
        <v>7</v>
      </c>
      <c r="D24" s="3" t="n">
        <f aca="false">$E$33*0.2</f>
        <v>135.357968253968</v>
      </c>
      <c r="E24" s="4" t="str">
        <f aca="false">IF(C24&gt;=6,"",AVERAGEIFS('1'!B:B,'1'!D:D,B24,'1'!G:G,1))</f>
        <v/>
      </c>
      <c r="F24" s="4" t="n">
        <f aca="false">IF(C24&gt;=6,AVERAGEIFS('1'!B:B,'1'!D:D,'MEB Report'!B24,'1'!F:F,0),AVERAGEIFS('1'!B:B,'1'!D:D,'MEB Report'!B24,'1'!G:G,0))-$E$38</f>
        <v>147.434166666667</v>
      </c>
      <c r="G24" s="5" t="n">
        <f aca="false">IFERROR(F24/$E$33,"")</f>
        <v>0.217843350588774</v>
      </c>
    </row>
    <row r="25" customFormat="false" ht="15" hidden="false" customHeight="false" outlineLevel="0" collapsed="false">
      <c r="A25" s="1" t="n">
        <v>44585</v>
      </c>
      <c r="B25" s="0" t="n">
        <v>24</v>
      </c>
      <c r="C25" s="0" t="n">
        <f aca="false">WEEKDAY(A25,2)</f>
        <v>1</v>
      </c>
      <c r="D25" s="3" t="n">
        <f aca="false">$E$33*0.2</f>
        <v>135.357968253968</v>
      </c>
      <c r="E25" s="4" t="n">
        <f aca="false">IF(C25&gt;=6,"",AVERAGEIFS('1'!B:B,'1'!D:D,B25,'1'!G:G,1))</f>
        <v>778.043333333333</v>
      </c>
      <c r="F25" s="4" t="n">
        <f aca="false">IF(C25&gt;=6,AVERAGEIFS('1'!B:B,'1'!D:D,'MEB Report'!B25,'1'!F:F,0),AVERAGEIFS('1'!B:B,'1'!D:D,'MEB Report'!B25,'1'!G:G,0))-$E$38</f>
        <v>200.98</v>
      </c>
      <c r="G25" s="5" t="n">
        <f aca="false">IFERROR(F25/$E$33,"")</f>
        <v>0.296960722139249</v>
      </c>
    </row>
    <row r="26" customFormat="false" ht="15" hidden="false" customHeight="false" outlineLevel="0" collapsed="false">
      <c r="A26" s="1" t="n">
        <v>44586</v>
      </c>
      <c r="B26" s="0" t="n">
        <v>25</v>
      </c>
      <c r="C26" s="0" t="n">
        <f aca="false">WEEKDAY(A26,2)</f>
        <v>2</v>
      </c>
      <c r="D26" s="3" t="n">
        <f aca="false">$E$33*0.2</f>
        <v>135.357968253968</v>
      </c>
      <c r="E26" s="4" t="n">
        <f aca="false">IF(C26&gt;=6,"",AVERAGEIFS('1'!B:B,'1'!D:D,B26,'1'!G:G,1))</f>
        <v>813.5425</v>
      </c>
      <c r="F26" s="4" t="n">
        <f aca="false">IF(C26&gt;=6,AVERAGEIFS('1'!B:B,'1'!D:D,'MEB Report'!B26,'1'!F:F,0),AVERAGEIFS('1'!B:B,'1'!D:D,'MEB Report'!B26,'1'!G:G,0))-$E$38</f>
        <v>214.194166666667</v>
      </c>
      <c r="G26" s="5" t="n">
        <f aca="false">IFERROR(F26/$E$33,"")</f>
        <v>0.316485493140353</v>
      </c>
    </row>
    <row r="27" customFormat="false" ht="15" hidden="false" customHeight="false" outlineLevel="0" collapsed="false">
      <c r="A27" s="1" t="n">
        <v>44587</v>
      </c>
      <c r="B27" s="0" t="n">
        <v>26</v>
      </c>
      <c r="C27" s="0" t="n">
        <f aca="false">WEEKDAY(A27,2)</f>
        <v>3</v>
      </c>
      <c r="D27" s="3" t="n">
        <f aca="false">$E$33*0.2</f>
        <v>135.357968253968</v>
      </c>
      <c r="E27" s="4" t="n">
        <f aca="false">IF(C27&gt;=6,"",AVERAGEIFS('1'!B:B,'1'!D:D,B27,'1'!G:G,1))</f>
        <v>752.145</v>
      </c>
      <c r="F27" s="4" t="n">
        <f aca="false">IF(C27&gt;=6,AVERAGEIFS('1'!B:B,'1'!D:D,'MEB Report'!B27,'1'!F:F,0),AVERAGEIFS('1'!B:B,'1'!D:D,'MEB Report'!B27,'1'!G:G,0))-$E$38</f>
        <v>218.93</v>
      </c>
      <c r="G27" s="5" t="n">
        <f aca="false">IFERROR(F27/$E$33,"")</f>
        <v>0.323482987849268</v>
      </c>
    </row>
    <row r="28" customFormat="false" ht="15" hidden="false" customHeight="false" outlineLevel="0" collapsed="false">
      <c r="A28" s="1" t="n">
        <v>44588</v>
      </c>
      <c r="B28" s="0" t="n">
        <v>27</v>
      </c>
      <c r="C28" s="0" t="n">
        <f aca="false">WEEKDAY(A28,2)</f>
        <v>4</v>
      </c>
      <c r="D28" s="3" t="n">
        <f aca="false">$E$33*0.2</f>
        <v>135.357968253968</v>
      </c>
      <c r="E28" s="4" t="n">
        <f aca="false">IF(C28&gt;=6,"",AVERAGEIFS('1'!B:B,'1'!D:D,B28,'1'!G:G,1))</f>
        <v>805.368333333333</v>
      </c>
      <c r="F28" s="4" t="n">
        <f aca="false">IF(C28&gt;=6,AVERAGEIFS('1'!B:B,'1'!D:D,'MEB Report'!B28,'1'!F:F,0),AVERAGEIFS('1'!B:B,'1'!D:D,'MEB Report'!B28,'1'!G:G,0))-$E$38</f>
        <v>181.82</v>
      </c>
      <c r="G28" s="5" t="n">
        <f aca="false">IFERROR(F28/$E$33,"")</f>
        <v>0.268650604534572</v>
      </c>
    </row>
    <row r="29" customFormat="false" ht="15" hidden="false" customHeight="false" outlineLevel="0" collapsed="false">
      <c r="A29" s="1" t="n">
        <v>44589</v>
      </c>
      <c r="B29" s="0" t="n">
        <v>28</v>
      </c>
      <c r="C29" s="0" t="n">
        <f aca="false">WEEKDAY(A29,2)</f>
        <v>5</v>
      </c>
      <c r="D29" s="3" t="n">
        <f aca="false">$E$33*0.2</f>
        <v>135.357968253968</v>
      </c>
      <c r="E29" s="4" t="n">
        <f aca="false">IF(C29&gt;=6,"",AVERAGEIFS('1'!B:B,'1'!D:D,B29,'1'!G:G,1))</f>
        <v>695.474166666667</v>
      </c>
      <c r="F29" s="4" t="n">
        <f aca="false">IF(C29&gt;=6,AVERAGEIFS('1'!B:B,'1'!D:D,'MEB Report'!B29,'1'!F:F,0),AVERAGEIFS('1'!B:B,'1'!D:D,'MEB Report'!B29,'1'!G:G,0))-$E$38</f>
        <v>174.778333333333</v>
      </c>
      <c r="G29" s="5" t="n">
        <f aca="false">IFERROR(F29/$E$33,"")</f>
        <v>0.258246094541552</v>
      </c>
    </row>
    <row r="30" customFormat="false" ht="15" hidden="false" customHeight="false" outlineLevel="0" collapsed="false">
      <c r="A30" s="1" t="n">
        <v>44590</v>
      </c>
      <c r="B30" s="0" t="n">
        <v>29</v>
      </c>
      <c r="C30" s="0" t="n">
        <f aca="false">WEEKDAY(A30,2)</f>
        <v>6</v>
      </c>
      <c r="D30" s="3" t="n">
        <f aca="false">$E$33*0.2</f>
        <v>135.357968253968</v>
      </c>
      <c r="E30" s="4" t="str">
        <f aca="false">IF(C30&gt;=6,"",AVERAGEIFS('1'!B:B,'1'!D:D,B30,'1'!G:G,1))</f>
        <v/>
      </c>
      <c r="F30" s="4" t="n">
        <f aca="false">IF(C30&gt;=6,AVERAGEIFS('1'!B:B,'1'!D:D,'MEB Report'!B30,'1'!F:F,0),AVERAGEIFS('1'!B:B,'1'!D:D,'MEB Report'!B30,'1'!G:G,0))-$E$38</f>
        <v>169.997916666667</v>
      </c>
      <c r="G30" s="5" t="n">
        <f aca="false">IFERROR(F30/$E$33,"")</f>
        <v>0.251182725124397</v>
      </c>
    </row>
    <row r="31" customFormat="false" ht="15" hidden="false" customHeight="false" outlineLevel="0" collapsed="false">
      <c r="A31" s="1" t="n">
        <v>44591</v>
      </c>
      <c r="B31" s="0" t="n">
        <v>30</v>
      </c>
      <c r="C31" s="0" t="n">
        <f aca="false">WEEKDAY(A31,2)</f>
        <v>7</v>
      </c>
      <c r="D31" s="3" t="n">
        <f aca="false">$E$33*0.2</f>
        <v>135.357968253968</v>
      </c>
      <c r="E31" s="4" t="str">
        <f aca="false">IF(C31&gt;=6,"",AVERAGEIFS('1'!B:B,'1'!D:D,B31,'1'!G:G,1))</f>
        <v/>
      </c>
      <c r="F31" s="4" t="n">
        <f aca="false">IF(C31&gt;=6,AVERAGEIFS('1'!B:B,'1'!D:D,'MEB Report'!B31,'1'!F:F,0),AVERAGEIFS('1'!B:B,'1'!D:D,'MEB Report'!B31,'1'!G:G,0))-$E$38</f>
        <v>150.765</v>
      </c>
      <c r="G31" s="5" t="n">
        <f aca="false">IFERROR(F31/$E$33,"")</f>
        <v>0.222764868510916</v>
      </c>
    </row>
    <row r="32" customFormat="false" ht="15" hidden="false" customHeight="false" outlineLevel="0" collapsed="false">
      <c r="A32" s="1" t="n">
        <v>44592</v>
      </c>
      <c r="B32" s="0" t="n">
        <v>31</v>
      </c>
      <c r="C32" s="0" t="n">
        <f aca="false">WEEKDAY(A32,2)</f>
        <v>1</v>
      </c>
      <c r="D32" s="3" t="n">
        <f aca="false">$E$33*0.2</f>
        <v>135.357968253968</v>
      </c>
      <c r="E32" s="4" t="n">
        <f aca="false">IF(C32&gt;=6,"",AVERAGEIFS('1'!B:B,'1'!D:D,B32,'1'!G:G,1))</f>
        <v>792.4425</v>
      </c>
      <c r="F32" s="4" t="n">
        <f aca="false">IF(C32&gt;=6,AVERAGEIFS('1'!B:B,'1'!D:D,'MEB Report'!B32,'1'!F:F,0),AVERAGEIFS('1'!B:B,'1'!D:D,'MEB Report'!B32,'1'!G:G,0))-$E$38</f>
        <v>178.406666666667</v>
      </c>
      <c r="G32" s="5" t="n">
        <f aca="false">IFERROR(F32/$E$33,"")</f>
        <v>0.263607187619612</v>
      </c>
    </row>
    <row r="33" customFormat="false" ht="15" hidden="false" customHeight="false" outlineLevel="0" collapsed="false">
      <c r="E33" s="4" t="n">
        <f aca="false">AVERAGE(E2:E32)</f>
        <v>676.789841269841</v>
      </c>
      <c r="F33" s="4" t="n">
        <f aca="false">AVERAGE(F2:F32)</f>
        <v>158.351948924731</v>
      </c>
      <c r="G33" s="6" t="n">
        <f aca="false">IFERROR(F33/E33,0.2)</f>
        <v>0.233975067692535</v>
      </c>
    </row>
    <row r="37" customFormat="false" ht="15" hidden="false" customHeight="false" outlineLevel="0" collapsed="false">
      <c r="F37" s="2" t="s">
        <v>5</v>
      </c>
    </row>
    <row r="38" customFormat="false" ht="45" hidden="false" customHeight="false" outlineLevel="0" collapsed="false">
      <c r="D38" s="7" t="s">
        <v>6</v>
      </c>
      <c r="E38" s="7" t="n">
        <v>150</v>
      </c>
      <c r="F38" s="7" t="s">
        <v>7</v>
      </c>
    </row>
    <row r="39" customFormat="false" ht="45" hidden="false" customHeight="false" outlineLevel="0" collapsed="false">
      <c r="D39" s="7" t="s">
        <v>8</v>
      </c>
      <c r="E39" s="8" t="n">
        <f aca="false">AVERAGE(E2:E33)</f>
        <v>676.789841269841</v>
      </c>
      <c r="F39" s="7"/>
    </row>
    <row r="40" customFormat="false" ht="45" hidden="false" customHeight="false" outlineLevel="0" collapsed="false">
      <c r="D40" s="7" t="s">
        <v>9</v>
      </c>
      <c r="E40" s="8" t="n">
        <f aca="false">AVERAGE(F2:F33)</f>
        <v>158.351948924731</v>
      </c>
      <c r="F40" s="7"/>
    </row>
    <row r="41" customFormat="false" ht="75" hidden="false" customHeight="false" outlineLevel="0" collapsed="false">
      <c r="D41" s="7" t="s">
        <v>10</v>
      </c>
      <c r="E41" s="9" t="n">
        <f aca="false">E40/E39</f>
        <v>0.233975067692535</v>
      </c>
      <c r="F41" s="7" t="s">
        <v>11</v>
      </c>
    </row>
  </sheetData>
  <conditionalFormatting sqref="G2:G32">
    <cfRule type="cellIs" priority="2" operator="greaterThan" aboveAverage="0" equalAverage="0" bottom="0" percent="0" rank="0" text="" dxfId="0">
      <formula>0.2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5"/>
  <sheetViews>
    <sheetView showFormulas="false" showGridLines="true" showRowColHeaders="true" showZeros="true" rightToLeft="false" tabSelected="false" showOutlineSymbols="true" defaultGridColor="true" view="normal" topLeftCell="A23" colorId="64" zoomScale="100" zoomScaleNormal="100" zoomScalePageLayoutView="100" workbookViewId="0">
      <selection pane="topLeft" activeCell="E2" activeCellId="0" sqref="E2"/>
    </sheetView>
  </sheetViews>
  <sheetFormatPr defaultColWidth="8.5390625" defaultRowHeight="15" zeroHeight="false" outlineLevelRow="0" outlineLevelCol="0"/>
  <cols>
    <col collapsed="false" customWidth="true" hidden="true" outlineLevel="0" max="3" min="2" style="0" width="9.14"/>
  </cols>
  <sheetData>
    <row r="1" customFormat="false" ht="15" hidden="false" customHeight="false" outlineLevel="0" collapsed="false">
      <c r="A1" s="1"/>
      <c r="D1" s="0" t="s">
        <v>1</v>
      </c>
      <c r="E1" s="2" t="s">
        <v>2</v>
      </c>
      <c r="F1" s="2" t="s">
        <v>3</v>
      </c>
      <c r="G1" s="0" t="s">
        <v>4</v>
      </c>
    </row>
    <row r="2" customFormat="false" ht="15" hidden="false" customHeight="false" outlineLevel="0" collapsed="false">
      <c r="A2" s="1" t="n">
        <v>44562</v>
      </c>
      <c r="B2" s="0" t="n">
        <v>1</v>
      </c>
      <c r="C2" s="0" t="n">
        <f aca="false">WEEKDAY(A2,2)</f>
        <v>6</v>
      </c>
      <c r="D2" s="3" t="n">
        <f aca="false">$E$30*0.2</f>
        <v>134.201441666667</v>
      </c>
      <c r="E2" s="4" t="str">
        <f aca="false">IF(C2&gt;=6,"",AVERAGEIFS('1'!B:B,'1'!D:D,B2,'1'!G:G,1))</f>
        <v/>
      </c>
      <c r="F2" s="4" t="n">
        <f aca="false">IF(C2&gt;=6,AVERAGEIFS('2'!B:B,'2'!D:D,B2,'2'!F:F,0),AVERAGEIFS('2'!B:B,'2'!D:D,B2,'2'!G:G,0))-$E$35</f>
        <v>100.069617021277</v>
      </c>
      <c r="G2" s="5" t="str">
        <f aca="false">IFERROR(F2/E2,"")</f>
        <v/>
      </c>
    </row>
    <row r="3" customFormat="false" ht="15" hidden="false" customHeight="false" outlineLevel="0" collapsed="false">
      <c r="A3" s="1" t="n">
        <v>44563</v>
      </c>
      <c r="B3" s="0" t="n">
        <v>2</v>
      </c>
      <c r="C3" s="0" t="n">
        <f aca="false">WEEKDAY(A3,2)</f>
        <v>7</v>
      </c>
      <c r="D3" s="3" t="n">
        <f aca="false">$E$30*0.2</f>
        <v>134.201441666667</v>
      </c>
      <c r="E3" s="4" t="str">
        <f aca="false">IF(C3&gt;=6,"",AVERAGEIFS('1'!B:B,'1'!D:D,B3,'1'!G:G,1))</f>
        <v/>
      </c>
      <c r="F3" s="4" t="n">
        <f aca="false">IF(C3&gt;=6,AVERAGEIFS('2'!B:B,'2'!D:D,B3,'2'!F:F,0),AVERAGEIFS('2'!B:B,'2'!D:D,B3,'2'!G:G,0))-$E$35</f>
        <v>80.3816458333333</v>
      </c>
      <c r="G3" s="5" t="str">
        <f aca="false">IFERROR(F3/E3,"")</f>
        <v/>
      </c>
    </row>
    <row r="4" customFormat="false" ht="15" hidden="false" customHeight="false" outlineLevel="0" collapsed="false">
      <c r="A4" s="1" t="n">
        <v>44564</v>
      </c>
      <c r="B4" s="0" t="n">
        <v>3</v>
      </c>
      <c r="C4" s="0" t="n">
        <f aca="false">WEEKDAY(A4,2)</f>
        <v>1</v>
      </c>
      <c r="D4" s="3" t="n">
        <f aca="false">$E$30*0.2</f>
        <v>134.201441666667</v>
      </c>
      <c r="E4" s="4" t="n">
        <f aca="false">IF(C4&gt;=6,"",AVERAGEIFS('1'!B:B,'1'!D:D,B4,'1'!G:G,1))</f>
        <v>340.368333333333</v>
      </c>
      <c r="F4" s="4" t="n">
        <f aca="false">IF(C4&gt;=6,AVERAGEIFS('2'!B:B,'2'!D:D,B4,'2'!F:F,0),AVERAGEIFS('2'!B:B,'2'!D:D,B4,'2'!G:G,0))-$E$35</f>
        <v>109.899666666667</v>
      </c>
      <c r="G4" s="5" t="n">
        <f aca="false">IFERROR(F4/E4,"")</f>
        <v>0.322884522159817</v>
      </c>
    </row>
    <row r="5" customFormat="false" ht="15" hidden="false" customHeight="false" outlineLevel="0" collapsed="false">
      <c r="A5" s="1" t="n">
        <v>44565</v>
      </c>
      <c r="B5" s="0" t="n">
        <v>4</v>
      </c>
      <c r="C5" s="0" t="n">
        <f aca="false">WEEKDAY(A5,2)</f>
        <v>2</v>
      </c>
      <c r="D5" s="3" t="n">
        <f aca="false">$E$30*0.2</f>
        <v>134.201441666667</v>
      </c>
      <c r="E5" s="4" t="n">
        <f aca="false">IF(C5&gt;=6,"",AVERAGEIFS('1'!B:B,'1'!D:D,B5,'1'!G:G,1))</f>
        <v>447.208333333333</v>
      </c>
      <c r="F5" s="4" t="n">
        <f aca="false">IF(C5&gt;=6,AVERAGEIFS('2'!B:B,'2'!D:D,B5,'2'!F:F,0),AVERAGEIFS('2'!B:B,'2'!D:D,B5,'2'!G:G,0))-$E$35</f>
        <v>109.49925</v>
      </c>
      <c r="G5" s="5" t="n">
        <f aca="false">IFERROR(F5/E5,"")</f>
        <v>0.244850647535638</v>
      </c>
    </row>
    <row r="6" customFormat="false" ht="15" hidden="false" customHeight="false" outlineLevel="0" collapsed="false">
      <c r="A6" s="1" t="n">
        <v>44566</v>
      </c>
      <c r="B6" s="0" t="n">
        <v>5</v>
      </c>
      <c r="C6" s="0" t="n">
        <f aca="false">WEEKDAY(A6,2)</f>
        <v>3</v>
      </c>
      <c r="D6" s="3" t="n">
        <f aca="false">$E$30*0.2</f>
        <v>134.201441666667</v>
      </c>
      <c r="E6" s="4" t="n">
        <f aca="false">IF(C6&gt;=6,"",AVERAGEIFS('1'!B:B,'1'!D:D,B6,'1'!G:G,1))</f>
        <v>552.055</v>
      </c>
      <c r="F6" s="4" t="n">
        <f aca="false">IF(C6&gt;=6,AVERAGEIFS('2'!B:B,'2'!D:D,B6,'2'!F:F,0),AVERAGEIFS('2'!B:B,'2'!D:D,B6,'2'!G:G,0))-$E$35</f>
        <v>114.475041666667</v>
      </c>
      <c r="G6" s="5" t="n">
        <f aca="false">IFERROR(F6/E6,"")</f>
        <v>0.207361660824857</v>
      </c>
    </row>
    <row r="7" customFormat="false" ht="15" hidden="false" customHeight="false" outlineLevel="0" collapsed="false">
      <c r="A7" s="1" t="n">
        <v>44567</v>
      </c>
      <c r="B7" s="0" t="n">
        <v>6</v>
      </c>
      <c r="C7" s="0" t="n">
        <f aca="false">WEEKDAY(A7,2)</f>
        <v>4</v>
      </c>
      <c r="D7" s="3" t="n">
        <f aca="false">$E$30*0.2</f>
        <v>134.201441666667</v>
      </c>
      <c r="E7" s="4" t="n">
        <f aca="false">IF(C7&gt;=6,"",AVERAGEIFS('1'!B:B,'1'!D:D,B7,'1'!G:G,1))</f>
        <v>612.97</v>
      </c>
      <c r="F7" s="4" t="n">
        <f aca="false">IF(C7&gt;=6,AVERAGEIFS('2'!B:B,'2'!D:D,B7,'2'!F:F,0),AVERAGEIFS('2'!B:B,'2'!D:D,B7,'2'!G:G,0))-$E$35</f>
        <v>134.393666666667</v>
      </c>
      <c r="G7" s="5" t="n">
        <f aca="false">IFERROR(F7/E7,"")</f>
        <v>0.219249990483493</v>
      </c>
    </row>
    <row r="8" customFormat="false" ht="15" hidden="false" customHeight="false" outlineLevel="0" collapsed="false">
      <c r="A8" s="1" t="n">
        <v>44568</v>
      </c>
      <c r="B8" s="0" t="n">
        <v>7</v>
      </c>
      <c r="C8" s="0" t="n">
        <f aca="false">WEEKDAY(A8,2)</f>
        <v>5</v>
      </c>
      <c r="D8" s="3" t="n">
        <f aca="false">$E$30*0.2</f>
        <v>134.201441666667</v>
      </c>
      <c r="E8" s="4" t="n">
        <f aca="false">IF(C8&gt;=6,"",AVERAGEIFS('1'!B:B,'1'!D:D,B8,'1'!G:G,1))</f>
        <v>685.019166666667</v>
      </c>
      <c r="F8" s="4" t="n">
        <f aca="false">IF(C8&gt;=6,AVERAGEIFS('2'!B:B,'2'!D:D,B8,'2'!F:F,0),AVERAGEIFS('2'!B:B,'2'!D:D,B8,'2'!G:G,0))-$E$35</f>
        <v>138.004833333333</v>
      </c>
      <c r="G8" s="5" t="n">
        <f aca="false">IFERROR(F8/E8,"")</f>
        <v>0.201461272981413</v>
      </c>
    </row>
    <row r="9" customFormat="false" ht="15" hidden="false" customHeight="false" outlineLevel="0" collapsed="false">
      <c r="A9" s="1" t="n">
        <v>44569</v>
      </c>
      <c r="B9" s="0" t="n">
        <v>8</v>
      </c>
      <c r="C9" s="0" t="n">
        <f aca="false">WEEKDAY(A9,2)</f>
        <v>6</v>
      </c>
      <c r="D9" s="3" t="n">
        <f aca="false">$E$30*0.2</f>
        <v>134.201441666667</v>
      </c>
      <c r="E9" s="4" t="str">
        <f aca="false">IF(C9&gt;=6,"",AVERAGEIFS('1'!B:B,'1'!D:D,B9,'1'!G:G,1))</f>
        <v/>
      </c>
      <c r="F9" s="4" t="n">
        <f aca="false">IF(C9&gt;=6,AVERAGEIFS('2'!B:B,'2'!D:D,B9,'2'!F:F,0),AVERAGEIFS('2'!B:B,'2'!D:D,B9,'2'!G:G,0))-$E$35</f>
        <v>154.819645833333</v>
      </c>
      <c r="G9" s="5" t="str">
        <f aca="false">IFERROR(F9/E9,"")</f>
        <v/>
      </c>
    </row>
    <row r="10" customFormat="false" ht="15" hidden="false" customHeight="false" outlineLevel="0" collapsed="false">
      <c r="A10" s="1" t="n">
        <v>44570</v>
      </c>
      <c r="B10" s="0" t="n">
        <v>9</v>
      </c>
      <c r="C10" s="0" t="n">
        <f aca="false">WEEKDAY(A10,2)</f>
        <v>7</v>
      </c>
      <c r="D10" s="3" t="n">
        <f aca="false">$E$30*0.2</f>
        <v>134.201441666667</v>
      </c>
      <c r="E10" s="4" t="str">
        <f aca="false">IF(C10&gt;=6,"",AVERAGEIFS('1'!B:B,'1'!D:D,B10,'1'!G:G,1))</f>
        <v/>
      </c>
      <c r="F10" s="4" t="n">
        <f aca="false">IF(C10&gt;=6,AVERAGEIFS('2'!B:B,'2'!D:D,B10,'2'!F:F,0),AVERAGEIFS('2'!B:B,'2'!D:D,B10,'2'!G:G,0))-$E$35</f>
        <v>138.7629375</v>
      </c>
      <c r="G10" s="5" t="str">
        <f aca="false">IFERROR(F10/E10,"")</f>
        <v/>
      </c>
    </row>
    <row r="11" customFormat="false" ht="15" hidden="false" customHeight="false" outlineLevel="0" collapsed="false">
      <c r="A11" s="1" t="n">
        <v>44571</v>
      </c>
      <c r="B11" s="0" t="n">
        <v>10</v>
      </c>
      <c r="C11" s="0" t="n">
        <f aca="false">WEEKDAY(A11,2)</f>
        <v>1</v>
      </c>
      <c r="D11" s="3" t="n">
        <f aca="false">$E$30*0.2</f>
        <v>134.201441666667</v>
      </c>
      <c r="E11" s="4" t="n">
        <f aca="false">IF(C11&gt;=6,"",AVERAGEIFS('1'!B:B,'1'!D:D,B11,'1'!G:G,1))</f>
        <v>712.6725</v>
      </c>
      <c r="F11" s="4" t="n">
        <f aca="false">IF(C11&gt;=6,AVERAGEIFS('2'!B:B,'2'!D:D,B11,'2'!F:F,0),AVERAGEIFS('2'!B:B,'2'!D:D,B11,'2'!G:G,0))-$E$35</f>
        <v>171.41125</v>
      </c>
      <c r="G11" s="5" t="n">
        <f aca="false">IFERROR(F11/E11,"")</f>
        <v>0.240518962075848</v>
      </c>
    </row>
    <row r="12" customFormat="false" ht="15" hidden="false" customHeight="false" outlineLevel="0" collapsed="false">
      <c r="A12" s="1" t="n">
        <v>44572</v>
      </c>
      <c r="B12" s="0" t="n">
        <v>11</v>
      </c>
      <c r="C12" s="0" t="n">
        <f aca="false">WEEKDAY(A12,2)</f>
        <v>2</v>
      </c>
      <c r="D12" s="3" t="n">
        <f aca="false">$E$30*0.2</f>
        <v>134.201441666667</v>
      </c>
      <c r="E12" s="4" t="n">
        <f aca="false">IF(C12&gt;=6,"",AVERAGEIFS('1'!B:B,'1'!D:D,B12,'1'!G:G,1))</f>
        <v>688.738333333333</v>
      </c>
      <c r="F12" s="4" t="n">
        <f aca="false">IF(C12&gt;=6,AVERAGEIFS('2'!B:B,'2'!D:D,B12,'2'!F:F,0),AVERAGEIFS('2'!B:B,'2'!D:D,B12,'2'!G:G,0))-$E$35</f>
        <v>169.01525</v>
      </c>
      <c r="G12" s="5" t="n">
        <f aca="false">IFERROR(F12/E12,"")</f>
        <v>0.24539834915534</v>
      </c>
    </row>
    <row r="13" customFormat="false" ht="15" hidden="false" customHeight="false" outlineLevel="0" collapsed="false">
      <c r="A13" s="1" t="n">
        <v>44573</v>
      </c>
      <c r="B13" s="0" t="n">
        <v>12</v>
      </c>
      <c r="C13" s="0" t="n">
        <f aca="false">WEEKDAY(A13,2)</f>
        <v>3</v>
      </c>
      <c r="D13" s="3" t="n">
        <f aca="false">$E$30*0.2</f>
        <v>134.201441666667</v>
      </c>
      <c r="E13" s="4" t="n">
        <f aca="false">IF(C13&gt;=6,"",AVERAGEIFS('1'!B:B,'1'!D:D,B13,'1'!G:G,1))</f>
        <v>674.134166666667</v>
      </c>
      <c r="F13" s="4" t="n">
        <f aca="false">IF(C13&gt;=6,AVERAGEIFS('2'!B:B,'2'!D:D,B13,'2'!F:F,0),AVERAGEIFS('2'!B:B,'2'!D:D,B13,'2'!G:G,0))-$E$35</f>
        <v>161.37225</v>
      </c>
      <c r="G13" s="5" t="n">
        <f aca="false">IFERROR(F13/E13,"")</f>
        <v>0.239377052787464</v>
      </c>
    </row>
    <row r="14" customFormat="false" ht="15" hidden="false" customHeight="false" outlineLevel="0" collapsed="false">
      <c r="A14" s="1" t="n">
        <v>44574</v>
      </c>
      <c r="B14" s="0" t="n">
        <v>13</v>
      </c>
      <c r="C14" s="0" t="n">
        <f aca="false">WEEKDAY(A14,2)</f>
        <v>4</v>
      </c>
      <c r="D14" s="3" t="n">
        <f aca="false">$E$30*0.2</f>
        <v>134.201441666667</v>
      </c>
      <c r="E14" s="4" t="n">
        <f aca="false">IF(C14&gt;=6,"",AVERAGEIFS('1'!B:B,'1'!D:D,B14,'1'!G:G,1))</f>
        <v>499.9075</v>
      </c>
      <c r="F14" s="4" t="n">
        <f aca="false">IF(C14&gt;=6,AVERAGEIFS('2'!B:B,'2'!D:D,B14,'2'!F:F,0),AVERAGEIFS('2'!B:B,'2'!D:D,B14,'2'!G:G,0))-$E$35</f>
        <v>145.37425</v>
      </c>
      <c r="G14" s="5" t="n">
        <f aca="false">IFERROR(F14/E14,"")</f>
        <v>0.290802298425209</v>
      </c>
    </row>
    <row r="15" customFormat="false" ht="15" hidden="false" customHeight="false" outlineLevel="0" collapsed="false">
      <c r="A15" s="1" t="n">
        <v>44575</v>
      </c>
      <c r="B15" s="0" t="n">
        <v>14</v>
      </c>
      <c r="C15" s="0" t="n">
        <f aca="false">WEEKDAY(A15,2)</f>
        <v>5</v>
      </c>
      <c r="D15" s="3" t="n">
        <f aca="false">$E$30*0.2</f>
        <v>134.201441666667</v>
      </c>
      <c r="E15" s="4" t="n">
        <f aca="false">IF(C15&gt;=6,"",AVERAGEIFS('1'!B:B,'1'!D:D,B15,'1'!G:G,1))</f>
        <v>531.284166666667</v>
      </c>
      <c r="F15" s="4" t="n">
        <f aca="false">IF(C15&gt;=6,AVERAGEIFS('2'!B:B,'2'!D:D,B15,'2'!F:F,0),AVERAGEIFS('2'!B:B,'2'!D:D,B15,'2'!G:G,0))-$E$35</f>
        <v>142.925041666667</v>
      </c>
      <c r="G15" s="5" t="n">
        <f aca="false">IFERROR(F15/E15,"")</f>
        <v>0.26901807099465</v>
      </c>
    </row>
    <row r="16" customFormat="false" ht="15" hidden="false" customHeight="false" outlineLevel="0" collapsed="false">
      <c r="A16" s="1" t="n">
        <v>44576</v>
      </c>
      <c r="B16" s="0" t="n">
        <v>15</v>
      </c>
      <c r="C16" s="0" t="n">
        <f aca="false">WEEKDAY(A16,2)</f>
        <v>6</v>
      </c>
      <c r="D16" s="3" t="n">
        <f aca="false">$E$30*0.2</f>
        <v>134.201441666667</v>
      </c>
      <c r="E16" s="4" t="str">
        <f aca="false">IF(C16&gt;=6,"",AVERAGEIFS('1'!B:B,'1'!D:D,B16,'1'!G:G,1))</f>
        <v/>
      </c>
      <c r="F16" s="4" t="n">
        <f aca="false">IF(C16&gt;=6,AVERAGEIFS('2'!B:B,'2'!D:D,B16,'2'!F:F,0),AVERAGEIFS('2'!B:B,'2'!D:D,B16,'2'!G:G,0))-$E$35</f>
        <v>153.810041666667</v>
      </c>
      <c r="G16" s="5" t="str">
        <f aca="false">IFERROR(F16/E16,"")</f>
        <v/>
      </c>
    </row>
    <row r="17" customFormat="false" ht="15" hidden="false" customHeight="false" outlineLevel="0" collapsed="false">
      <c r="A17" s="1" t="n">
        <v>44577</v>
      </c>
      <c r="B17" s="0" t="n">
        <v>16</v>
      </c>
      <c r="C17" s="0" t="n">
        <f aca="false">WEEKDAY(A17,2)</f>
        <v>7</v>
      </c>
      <c r="D17" s="3" t="n">
        <f aca="false">$E$30*0.2</f>
        <v>134.201441666667</v>
      </c>
      <c r="E17" s="4" t="str">
        <f aca="false">IF(C17&gt;=6,"",AVERAGEIFS('1'!B:B,'1'!D:D,B17,'1'!G:G,1))</f>
        <v/>
      </c>
      <c r="F17" s="4" t="n">
        <f aca="false">IF(C17&gt;=6,AVERAGEIFS('2'!B:B,'2'!D:D,B17,'2'!F:F,0),AVERAGEIFS('2'!B:B,'2'!D:D,B17,'2'!G:G,0))-$E$35</f>
        <v>158.96775</v>
      </c>
      <c r="G17" s="5" t="str">
        <f aca="false">IFERROR(F17/E17,"")</f>
        <v/>
      </c>
    </row>
    <row r="18" customFormat="false" ht="15" hidden="false" customHeight="false" outlineLevel="0" collapsed="false">
      <c r="A18" s="1" t="n">
        <v>44578</v>
      </c>
      <c r="B18" s="0" t="n">
        <v>17</v>
      </c>
      <c r="C18" s="0" t="n">
        <f aca="false">WEEKDAY(A18,2)</f>
        <v>1</v>
      </c>
      <c r="D18" s="3" t="n">
        <f aca="false">$E$30*0.2</f>
        <v>134.201441666667</v>
      </c>
      <c r="E18" s="4" t="n">
        <f aca="false">IF(C18&gt;=6,"",AVERAGEIFS('1'!B:B,'1'!D:D,B18,'1'!G:G,1))</f>
        <v>882.239166666667</v>
      </c>
      <c r="F18" s="4" t="n">
        <f aca="false">IF(C18&gt;=6,AVERAGEIFS('2'!B:B,'2'!D:D,B18,'2'!F:F,0),AVERAGEIFS('2'!B:B,'2'!D:D,B18,'2'!G:G,0))-$E$35</f>
        <v>192.56825</v>
      </c>
      <c r="G18" s="5" t="n">
        <f aca="false">IFERROR(F18/E18,"")</f>
        <v>0.218272161649288</v>
      </c>
    </row>
    <row r="19" customFormat="false" ht="15" hidden="false" customHeight="false" outlineLevel="0" collapsed="false">
      <c r="A19" s="1" t="n">
        <v>44579</v>
      </c>
      <c r="B19" s="0" t="n">
        <v>18</v>
      </c>
      <c r="C19" s="0" t="n">
        <f aca="false">WEEKDAY(A19,2)</f>
        <v>2</v>
      </c>
      <c r="D19" s="3" t="n">
        <f aca="false">$E$30*0.2</f>
        <v>134.201441666667</v>
      </c>
      <c r="E19" s="4" t="n">
        <f aca="false">IF(C19&gt;=6,"",AVERAGEIFS('1'!B:B,'1'!D:D,B19,'1'!G:G,1))</f>
        <v>750.808333333333</v>
      </c>
      <c r="F19" s="4" t="n">
        <f aca="false">IF(C19&gt;=6,AVERAGEIFS('2'!B:B,'2'!D:D,B19,'2'!F:F,0),AVERAGEIFS('2'!B:B,'2'!D:D,B19,'2'!G:G,0))-$E$35</f>
        <v>183.525458333333</v>
      </c>
      <c r="G19" s="5" t="n">
        <f aca="false">IFERROR(F19/E19,"")</f>
        <v>0.244437162169661</v>
      </c>
    </row>
    <row r="20" customFormat="false" ht="15" hidden="false" customHeight="false" outlineLevel="0" collapsed="false">
      <c r="A20" s="1" t="n">
        <v>44580</v>
      </c>
      <c r="B20" s="0" t="n">
        <v>19</v>
      </c>
      <c r="C20" s="0" t="n">
        <f aca="false">WEEKDAY(A20,2)</f>
        <v>3</v>
      </c>
      <c r="D20" s="3" t="n">
        <f aca="false">$E$30*0.2</f>
        <v>134.201441666667</v>
      </c>
      <c r="E20" s="4" t="n">
        <f aca="false">IF(C20&gt;=6,"",AVERAGEIFS('1'!B:B,'1'!D:D,B20,'1'!G:G,1))</f>
        <v>723.4825</v>
      </c>
      <c r="F20" s="4" t="n">
        <f aca="false">IF(C20&gt;=6,AVERAGEIFS('2'!B:B,'2'!D:D,B20,'2'!F:F,0),AVERAGEIFS('2'!B:B,'2'!D:D,B20,'2'!G:G,0))-$E$35</f>
        <v>194.240041666667</v>
      </c>
      <c r="G20" s="5" t="n">
        <f aca="false">IFERROR(F20/E20,"")</f>
        <v>0.26847925370229</v>
      </c>
    </row>
    <row r="21" customFormat="false" ht="15" hidden="false" customHeight="false" outlineLevel="0" collapsed="false">
      <c r="A21" s="1" t="n">
        <v>44581</v>
      </c>
      <c r="B21" s="0" t="n">
        <v>20</v>
      </c>
      <c r="C21" s="0" t="n">
        <f aca="false">WEEKDAY(A21,2)</f>
        <v>4</v>
      </c>
      <c r="D21" s="3" t="n">
        <f aca="false">$E$30*0.2</f>
        <v>134.201441666667</v>
      </c>
      <c r="E21" s="4" t="n">
        <f aca="false">IF(C21&gt;=6,"",AVERAGEIFS('1'!B:B,'1'!D:D,B21,'1'!G:G,1))</f>
        <v>778.211666666667</v>
      </c>
      <c r="F21" s="4" t="n">
        <f aca="false">IF(C21&gt;=6,AVERAGEIFS('2'!B:B,'2'!D:D,B21,'2'!F:F,0),AVERAGEIFS('2'!B:B,'2'!D:D,B21,'2'!G:G,0))-$E$35</f>
        <v>211.110458333333</v>
      </c>
      <c r="G21" s="5" t="n">
        <f aca="false">IFERROR(F21/E21,"")</f>
        <v>0.271276398666173</v>
      </c>
    </row>
    <row r="22" customFormat="false" ht="15" hidden="false" customHeight="false" outlineLevel="0" collapsed="false">
      <c r="A22" s="1" t="n">
        <v>44582</v>
      </c>
      <c r="B22" s="0" t="n">
        <v>21</v>
      </c>
      <c r="C22" s="0" t="n">
        <f aca="false">WEEKDAY(A22,2)</f>
        <v>5</v>
      </c>
      <c r="D22" s="3" t="n">
        <f aca="false">$E$30*0.2</f>
        <v>134.201441666667</v>
      </c>
      <c r="E22" s="4" t="n">
        <f aca="false">IF(C22&gt;=6,"",AVERAGEIFS('1'!B:B,'1'!D:D,B22,'1'!G:G,1))</f>
        <v>696.471666666667</v>
      </c>
      <c r="F22" s="4" t="n">
        <f aca="false">IF(C22&gt;=6,AVERAGEIFS('2'!B:B,'2'!D:D,B22,'2'!F:F,0),AVERAGEIFS('2'!B:B,'2'!D:D,B22,'2'!G:G,0))-$E$35</f>
        <v>194.700666666667</v>
      </c>
      <c r="G22" s="5" t="n">
        <f aca="false">IFERROR(F22/E22,"")</f>
        <v>0.27955288920583</v>
      </c>
    </row>
    <row r="23" customFormat="false" ht="15" hidden="false" customHeight="false" outlineLevel="0" collapsed="false">
      <c r="A23" s="1" t="n">
        <v>44583</v>
      </c>
      <c r="B23" s="0" t="n">
        <v>22</v>
      </c>
      <c r="C23" s="0" t="n">
        <f aca="false">WEEKDAY(A23,2)</f>
        <v>6</v>
      </c>
      <c r="D23" s="3" t="n">
        <f aca="false">$E$30*0.2</f>
        <v>134.201441666667</v>
      </c>
      <c r="E23" s="4" t="str">
        <f aca="false">IF(C23&gt;=6,"",AVERAGEIFS('1'!B:B,'1'!D:D,B23,'1'!G:G,1))</f>
        <v/>
      </c>
      <c r="F23" s="4" t="n">
        <f aca="false">IF(C23&gt;=6,AVERAGEIFS('2'!B:B,'2'!D:D,B23,'2'!F:F,0),AVERAGEIFS('2'!B:B,'2'!D:D,B23,'2'!G:G,0))-$E$35</f>
        <v>169.539041666667</v>
      </c>
      <c r="G23" s="5" t="str">
        <f aca="false">IFERROR(F23/E23,"")</f>
        <v/>
      </c>
    </row>
    <row r="24" customFormat="false" ht="15" hidden="false" customHeight="false" outlineLevel="0" collapsed="false">
      <c r="A24" s="1" t="n">
        <v>44584</v>
      </c>
      <c r="B24" s="0" t="n">
        <v>23</v>
      </c>
      <c r="C24" s="0" t="n">
        <f aca="false">WEEKDAY(A24,2)</f>
        <v>7</v>
      </c>
      <c r="D24" s="3" t="n">
        <f aca="false">$E$30*0.2</f>
        <v>134.201441666667</v>
      </c>
      <c r="E24" s="4" t="str">
        <f aca="false">IF(C24&gt;=6,"",AVERAGEIFS('1'!B:B,'1'!D:D,B24,'1'!G:G,1))</f>
        <v/>
      </c>
      <c r="F24" s="4" t="n">
        <f aca="false">IF(C24&gt;=6,AVERAGEIFS('2'!B:B,'2'!D:D,B24,'2'!F:F,0),AVERAGEIFS('2'!B:B,'2'!D:D,B24,'2'!G:G,0))-$E$35</f>
        <v>147.3404375</v>
      </c>
      <c r="G24" s="5" t="str">
        <f aca="false">IFERROR(F24/E24,"")</f>
        <v/>
      </c>
    </row>
    <row r="25" customFormat="false" ht="15" hidden="false" customHeight="false" outlineLevel="0" collapsed="false">
      <c r="A25" s="1" t="n">
        <v>44585</v>
      </c>
      <c r="B25" s="0" t="n">
        <v>24</v>
      </c>
      <c r="C25" s="0" t="n">
        <f aca="false">WEEKDAY(A25,2)</f>
        <v>1</v>
      </c>
      <c r="D25" s="3" t="n">
        <f aca="false">$E$30*0.2</f>
        <v>134.201441666667</v>
      </c>
      <c r="E25" s="4" t="n">
        <f aca="false">IF(C25&gt;=6,"",AVERAGEIFS('1'!B:B,'1'!D:D,B25,'1'!G:G,1))</f>
        <v>778.043333333333</v>
      </c>
      <c r="F25" s="4" t="n">
        <f aca="false">IF(C25&gt;=6,AVERAGEIFS('2'!B:B,'2'!D:D,B25,'2'!F:F,0),AVERAGEIFS('2'!B:B,'2'!D:D,B25,'2'!G:G,0))-$E$35</f>
        <v>207.061458333333</v>
      </c>
      <c r="G25" s="5" t="n">
        <f aca="false">IFERROR(F25/E25,"")</f>
        <v>0.266131010269351</v>
      </c>
    </row>
    <row r="26" customFormat="false" ht="15" hidden="false" customHeight="false" outlineLevel="0" collapsed="false">
      <c r="A26" s="1" t="n">
        <v>44586</v>
      </c>
      <c r="B26" s="0" t="n">
        <v>25</v>
      </c>
      <c r="C26" s="0" t="n">
        <f aca="false">WEEKDAY(A26,2)</f>
        <v>2</v>
      </c>
      <c r="D26" s="3" t="n">
        <f aca="false">$E$30*0.2</f>
        <v>134.201441666667</v>
      </c>
      <c r="E26" s="4" t="n">
        <f aca="false">IF(C26&gt;=6,"",AVERAGEIFS('1'!B:B,'1'!D:D,B26,'1'!G:G,1))</f>
        <v>813.5425</v>
      </c>
      <c r="F26" s="4" t="n">
        <f aca="false">IF(C26&gt;=6,AVERAGEIFS('2'!B:B,'2'!D:D,B26,'2'!F:F,0),AVERAGEIFS('2'!B:B,'2'!D:D,B26,'2'!G:G,0))-$E$35</f>
        <v>213.343458333333</v>
      </c>
      <c r="G26" s="5" t="n">
        <f aca="false">IFERROR(F26/E26,"")</f>
        <v>0.262240089894914</v>
      </c>
    </row>
    <row r="27" customFormat="false" ht="15" hidden="false" customHeight="false" outlineLevel="0" collapsed="false">
      <c r="A27" s="1" t="n">
        <v>44587</v>
      </c>
      <c r="B27" s="0" t="n">
        <v>26</v>
      </c>
      <c r="C27" s="0" t="n">
        <f aca="false">WEEKDAY(A27,2)</f>
        <v>3</v>
      </c>
      <c r="D27" s="3" t="n">
        <f aca="false">$E$30*0.2</f>
        <v>134.201441666667</v>
      </c>
      <c r="E27" s="4" t="n">
        <f aca="false">IF(C27&gt;=6,"",AVERAGEIFS('1'!B:B,'1'!D:D,B27,'1'!G:G,1))</f>
        <v>752.145</v>
      </c>
      <c r="F27" s="4" t="n">
        <f aca="false">IF(C27&gt;=6,AVERAGEIFS('2'!B:B,'2'!D:D,B27,'2'!F:F,0),AVERAGEIFS('2'!B:B,'2'!D:D,B27,'2'!G:G,0))-$E$35</f>
        <v>224.906666666667</v>
      </c>
      <c r="G27" s="5" t="n">
        <f aca="false">IFERROR(F27/E27,"")</f>
        <v>0.299020357333582</v>
      </c>
    </row>
    <row r="28" customFormat="false" ht="15" hidden="false" customHeight="false" outlineLevel="0" collapsed="false">
      <c r="A28" s="1" t="n">
        <v>44588</v>
      </c>
      <c r="B28" s="0" t="n">
        <v>27</v>
      </c>
      <c r="C28" s="0" t="n">
        <f aca="false">WEEKDAY(A28,2)</f>
        <v>4</v>
      </c>
      <c r="D28" s="3" t="n">
        <f aca="false">$E$30*0.2</f>
        <v>134.201441666667</v>
      </c>
      <c r="E28" s="4" t="n">
        <f aca="false">IF(C28&gt;=6,"",AVERAGEIFS('1'!B:B,'1'!D:D,B28,'1'!G:G,1))</f>
        <v>805.368333333333</v>
      </c>
      <c r="F28" s="4" t="n">
        <f aca="false">IF(C28&gt;=6,AVERAGEIFS('2'!B:B,'2'!D:D,B28,'2'!F:F,0),AVERAGEIFS('2'!B:B,'2'!D:D,B28,'2'!G:G,0))-$E$35</f>
        <v>183.030291666667</v>
      </c>
      <c r="G28" s="5" t="n">
        <f aca="false">IFERROR(F28/E28,"")</f>
        <v>0.227262836259186</v>
      </c>
    </row>
    <row r="29" customFormat="false" ht="15" hidden="false" customHeight="false" outlineLevel="0" collapsed="false">
      <c r="A29" s="1" t="n">
        <v>44589</v>
      </c>
      <c r="B29" s="0" t="n">
        <v>28</v>
      </c>
      <c r="C29" s="0" t="n">
        <f aca="false">WEEKDAY(A29,2)</f>
        <v>5</v>
      </c>
      <c r="D29" s="3" t="n">
        <f aca="false">$E$30*0.2</f>
        <v>134.201441666667</v>
      </c>
      <c r="E29" s="4" t="n">
        <f aca="false">IF(C29&gt;=6,"",AVERAGEIFS('1'!B:B,'1'!D:D,B29,'1'!G:G,1))</f>
        <v>695.474166666667</v>
      </c>
      <c r="F29" s="4" t="n">
        <f aca="false">IF(C29&gt;=6,AVERAGEIFS('2'!B:B,'2'!D:D,B29,'2'!F:F,0),AVERAGEIFS('2'!B:B,'2'!D:D,B29,'2'!G:G,0))-$E$35</f>
        <v>176.400458333333</v>
      </c>
      <c r="G29" s="5" t="n">
        <f aca="false">IFERROR(F29/E29,"")</f>
        <v>0.253640561775</v>
      </c>
    </row>
    <row r="30" customFormat="false" ht="15" hidden="false" customHeight="false" outlineLevel="0" collapsed="false">
      <c r="E30" s="4" t="n">
        <f aca="false">AVERAGE(E2:E29)</f>
        <v>671.007208333333</v>
      </c>
      <c r="F30" s="4" t="n">
        <f aca="false">AVERAGE(F2:F29)</f>
        <v>160.033886619808</v>
      </c>
    </row>
    <row r="35" customFormat="false" ht="15" hidden="false" customHeight="false" outlineLevel="0" collapsed="false">
      <c r="E35" s="0" t="n">
        <v>150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85"/>
    <col collapsed="false" customWidth="true" hidden="false" outlineLevel="0" max="3" min="2" style="0" width="11.28"/>
    <col collapsed="false" customWidth="true" hidden="false" outlineLevel="0" max="4" min="4" style="0" width="5.14"/>
    <col collapsed="false" customWidth="true" hidden="false" outlineLevel="0" max="5" min="5" style="0" width="5.28"/>
    <col collapsed="false" customWidth="true" hidden="false" outlineLevel="0" max="6" min="6" style="0" width="11"/>
    <col collapsed="false" customWidth="true" hidden="false" outlineLevel="0" max="7" min="7" style="0" width="11.85"/>
  </cols>
  <sheetData>
    <row r="1" customFormat="false" ht="15" hidden="false" customHeight="false" outlineLevel="0" collapsed="false">
      <c r="A1" s="10" t="s">
        <v>12</v>
      </c>
      <c r="B1" s="10" t="s">
        <v>13</v>
      </c>
      <c r="C1" s="10" t="s">
        <v>14</v>
      </c>
      <c r="D1" s="10" t="s">
        <v>0</v>
      </c>
      <c r="E1" s="10" t="s">
        <v>15</v>
      </c>
      <c r="F1" s="10" t="s">
        <v>16</v>
      </c>
      <c r="G1" s="10" t="s">
        <v>17</v>
      </c>
    </row>
    <row r="2" customFormat="false" ht="15" hidden="false" customHeight="false" outlineLevel="0" collapsed="false">
      <c r="A2" s="11" t="n">
        <v>44562</v>
      </c>
      <c r="B2" s="0" t="n">
        <v>249.76</v>
      </c>
      <c r="C2" s="0" t="n">
        <f aca="false">WEEKDAY(A2,2)</f>
        <v>6</v>
      </c>
      <c r="D2" s="0" t="n">
        <f aca="false">DAY(A2)</f>
        <v>1</v>
      </c>
      <c r="E2" s="0" t="n">
        <f aca="false">HOUR(A2)</f>
        <v>0</v>
      </c>
      <c r="F2" s="0" t="n">
        <f aca="false">IF(C2&gt;=6,0,1)</f>
        <v>0</v>
      </c>
      <c r="G2" s="0" t="n">
        <f aca="false">VLOOKUP(E2,Sheet1!$A$2:$B$25,2,0)</f>
        <v>0</v>
      </c>
    </row>
    <row r="3" customFormat="false" ht="15" hidden="false" customHeight="false" outlineLevel="0" collapsed="false">
      <c r="A3" s="11" t="n">
        <v>44562.0416666667</v>
      </c>
      <c r="B3" s="0" t="n">
        <v>246.64</v>
      </c>
      <c r="C3" s="0" t="n">
        <f aca="false">WEEKDAY(A3,2)</f>
        <v>6</v>
      </c>
      <c r="D3" s="0" t="n">
        <f aca="false">DAY(A3)</f>
        <v>1</v>
      </c>
      <c r="E3" s="0" t="n">
        <f aca="false">HOUR(A3)</f>
        <v>1</v>
      </c>
      <c r="F3" s="0" t="n">
        <f aca="false">IF(C3&gt;=6,0,1)</f>
        <v>0</v>
      </c>
      <c r="G3" s="0" t="n">
        <f aca="false">VLOOKUP(E3,Sheet1!$A$2:$B$25,2,0)</f>
        <v>0</v>
      </c>
    </row>
    <row r="4" customFormat="false" ht="15" hidden="false" customHeight="false" outlineLevel="0" collapsed="false">
      <c r="A4" s="11" t="n">
        <v>44562.0833333333</v>
      </c>
      <c r="B4" s="0" t="n">
        <v>246.42</v>
      </c>
      <c r="C4" s="0" t="n">
        <f aca="false">WEEKDAY(A4,2)</f>
        <v>6</v>
      </c>
      <c r="D4" s="0" t="n">
        <f aca="false">DAY(A4)</f>
        <v>1</v>
      </c>
      <c r="E4" s="0" t="n">
        <f aca="false">HOUR(A4)</f>
        <v>2</v>
      </c>
      <c r="F4" s="0" t="n">
        <f aca="false">IF(C4&gt;=6,0,1)</f>
        <v>0</v>
      </c>
      <c r="G4" s="0" t="n">
        <f aca="false">VLOOKUP(E4,Sheet1!$A$2:$B$25,2,0)</f>
        <v>0</v>
      </c>
    </row>
    <row r="5" customFormat="false" ht="15" hidden="false" customHeight="false" outlineLevel="0" collapsed="false">
      <c r="A5" s="11" t="n">
        <v>44562.125</v>
      </c>
      <c r="B5" s="0" t="n">
        <v>252.57</v>
      </c>
      <c r="C5" s="0" t="n">
        <f aca="false">WEEKDAY(A5,2)</f>
        <v>6</v>
      </c>
      <c r="D5" s="0" t="n">
        <f aca="false">DAY(A5)</f>
        <v>1</v>
      </c>
      <c r="E5" s="0" t="n">
        <f aca="false">HOUR(A5)</f>
        <v>3</v>
      </c>
      <c r="F5" s="0" t="n">
        <f aca="false">IF(C5&gt;=6,0,1)</f>
        <v>0</v>
      </c>
      <c r="G5" s="0" t="n">
        <f aca="false">VLOOKUP(E5,Sheet1!$A$2:$B$25,2,0)</f>
        <v>0</v>
      </c>
    </row>
    <row r="6" customFormat="false" ht="15" hidden="false" customHeight="false" outlineLevel="0" collapsed="false">
      <c r="A6" s="11" t="n">
        <v>44562.1666666667</v>
      </c>
      <c r="B6" s="0" t="n">
        <v>257.31</v>
      </c>
      <c r="C6" s="0" t="n">
        <f aca="false">WEEKDAY(A6,2)</f>
        <v>6</v>
      </c>
      <c r="D6" s="0" t="n">
        <f aca="false">DAY(A6)</f>
        <v>1</v>
      </c>
      <c r="E6" s="0" t="n">
        <f aca="false">HOUR(A6)</f>
        <v>4</v>
      </c>
      <c r="F6" s="0" t="n">
        <f aca="false">IF(C6&gt;=6,0,1)</f>
        <v>0</v>
      </c>
      <c r="G6" s="0" t="n">
        <f aca="false">VLOOKUP(E6,Sheet1!$A$2:$B$25,2,0)</f>
        <v>1</v>
      </c>
    </row>
    <row r="7" customFormat="false" ht="15" hidden="false" customHeight="false" outlineLevel="0" collapsed="false">
      <c r="A7" s="11" t="n">
        <v>44562.2083333333</v>
      </c>
      <c r="B7" s="0" t="n">
        <v>258.58</v>
      </c>
      <c r="C7" s="0" t="n">
        <f aca="false">WEEKDAY(A7,2)</f>
        <v>6</v>
      </c>
      <c r="D7" s="0" t="n">
        <f aca="false">DAY(A7)</f>
        <v>1</v>
      </c>
      <c r="E7" s="0" t="n">
        <f aca="false">HOUR(A7)</f>
        <v>5</v>
      </c>
      <c r="F7" s="0" t="n">
        <f aca="false">IF(C7&gt;=6,0,1)</f>
        <v>0</v>
      </c>
      <c r="G7" s="0" t="n">
        <f aca="false">VLOOKUP(E7,Sheet1!$A$2:$B$25,2,0)</f>
        <v>1</v>
      </c>
    </row>
    <row r="8" customFormat="false" ht="15" hidden="false" customHeight="false" outlineLevel="0" collapsed="false">
      <c r="A8" s="11" t="n">
        <v>44562.25</v>
      </c>
      <c r="B8" s="0" t="n">
        <v>255.46</v>
      </c>
      <c r="C8" s="0" t="n">
        <f aca="false">WEEKDAY(A8,2)</f>
        <v>6</v>
      </c>
      <c r="D8" s="0" t="n">
        <f aca="false">DAY(A8)</f>
        <v>1</v>
      </c>
      <c r="E8" s="0" t="n">
        <f aca="false">HOUR(A8)</f>
        <v>6</v>
      </c>
      <c r="F8" s="0" t="n">
        <f aca="false">IF(C8&gt;=6,0,1)</f>
        <v>0</v>
      </c>
      <c r="G8" s="0" t="n">
        <f aca="false">VLOOKUP(E8,Sheet1!$A$2:$B$25,2,0)</f>
        <v>1</v>
      </c>
    </row>
    <row r="9" customFormat="false" ht="15" hidden="false" customHeight="false" outlineLevel="0" collapsed="false">
      <c r="A9" s="11" t="n">
        <v>44562.2916666667</v>
      </c>
      <c r="B9" s="0" t="n">
        <v>250.62</v>
      </c>
      <c r="C9" s="0" t="n">
        <f aca="false">WEEKDAY(A9,2)</f>
        <v>6</v>
      </c>
      <c r="D9" s="0" t="n">
        <f aca="false">DAY(A9)</f>
        <v>1</v>
      </c>
      <c r="E9" s="0" t="n">
        <f aca="false">HOUR(A9)</f>
        <v>7</v>
      </c>
      <c r="F9" s="0" t="n">
        <f aca="false">IF(C9&gt;=6,0,1)</f>
        <v>0</v>
      </c>
      <c r="G9" s="0" t="n">
        <f aca="false">VLOOKUP(E9,Sheet1!$A$2:$B$25,2,0)</f>
        <v>1</v>
      </c>
    </row>
    <row r="10" customFormat="false" ht="15" hidden="false" customHeight="false" outlineLevel="0" collapsed="false">
      <c r="A10" s="11" t="n">
        <v>44562.3333333333</v>
      </c>
      <c r="B10" s="0" t="n">
        <v>244.61</v>
      </c>
      <c r="C10" s="0" t="n">
        <f aca="false">WEEKDAY(A10,2)</f>
        <v>6</v>
      </c>
      <c r="D10" s="0" t="n">
        <f aca="false">DAY(A10)</f>
        <v>1</v>
      </c>
      <c r="E10" s="0" t="n">
        <f aca="false">HOUR(A10)</f>
        <v>8</v>
      </c>
      <c r="F10" s="0" t="n">
        <f aca="false">IF(C10&gt;=6,0,1)</f>
        <v>0</v>
      </c>
      <c r="G10" s="0" t="n">
        <f aca="false">VLOOKUP(E10,Sheet1!$A$2:$B$25,2,0)</f>
        <v>1</v>
      </c>
    </row>
    <row r="11" customFormat="false" ht="15" hidden="false" customHeight="false" outlineLevel="0" collapsed="false">
      <c r="A11" s="11" t="n">
        <v>44562.375</v>
      </c>
      <c r="B11" s="0" t="n">
        <v>240.78</v>
      </c>
      <c r="C11" s="0" t="n">
        <f aca="false">WEEKDAY(A11,2)</f>
        <v>6</v>
      </c>
      <c r="D11" s="0" t="n">
        <f aca="false">DAY(A11)</f>
        <v>1</v>
      </c>
      <c r="E11" s="0" t="n">
        <f aca="false">HOUR(A11)</f>
        <v>9</v>
      </c>
      <c r="F11" s="0" t="n">
        <f aca="false">IF(C11&gt;=6,0,1)</f>
        <v>0</v>
      </c>
      <c r="G11" s="0" t="n">
        <f aca="false">VLOOKUP(E11,Sheet1!$A$2:$B$25,2,0)</f>
        <v>1</v>
      </c>
    </row>
    <row r="12" customFormat="false" ht="15" hidden="false" customHeight="false" outlineLevel="0" collapsed="false">
      <c r="A12" s="11" t="n">
        <v>44562.4166666667</v>
      </c>
      <c r="B12" s="0" t="n">
        <v>245.13</v>
      </c>
      <c r="C12" s="0" t="n">
        <f aca="false">WEEKDAY(A12,2)</f>
        <v>6</v>
      </c>
      <c r="D12" s="0" t="n">
        <f aca="false">DAY(A12)</f>
        <v>1</v>
      </c>
      <c r="E12" s="0" t="n">
        <f aca="false">HOUR(A12)</f>
        <v>10</v>
      </c>
      <c r="F12" s="0" t="n">
        <f aca="false">IF(C12&gt;=6,0,1)</f>
        <v>0</v>
      </c>
      <c r="G12" s="0" t="n">
        <f aca="false">VLOOKUP(E12,Sheet1!$A$2:$B$25,2,0)</f>
        <v>1</v>
      </c>
    </row>
    <row r="13" customFormat="false" ht="15" hidden="false" customHeight="false" outlineLevel="0" collapsed="false">
      <c r="A13" s="11" t="n">
        <v>44562.4583333333</v>
      </c>
      <c r="B13" s="0" t="n">
        <v>241.93</v>
      </c>
      <c r="C13" s="0" t="n">
        <f aca="false">WEEKDAY(A13,2)</f>
        <v>6</v>
      </c>
      <c r="D13" s="0" t="n">
        <f aca="false">DAY(A13)</f>
        <v>1</v>
      </c>
      <c r="E13" s="0" t="n">
        <f aca="false">HOUR(A13)</f>
        <v>11</v>
      </c>
      <c r="F13" s="0" t="n">
        <f aca="false">IF(C13&gt;=6,0,1)</f>
        <v>0</v>
      </c>
      <c r="G13" s="0" t="n">
        <f aca="false">VLOOKUP(E13,Sheet1!$A$2:$B$25,2,0)</f>
        <v>1</v>
      </c>
    </row>
    <row r="14" customFormat="false" ht="15" hidden="false" customHeight="false" outlineLevel="0" collapsed="false">
      <c r="A14" s="11" t="n">
        <v>44562.5</v>
      </c>
      <c r="B14" s="0" t="n">
        <v>241.25</v>
      </c>
      <c r="C14" s="0" t="n">
        <f aca="false">WEEKDAY(A14,2)</f>
        <v>6</v>
      </c>
      <c r="D14" s="0" t="n">
        <f aca="false">DAY(A14)</f>
        <v>1</v>
      </c>
      <c r="E14" s="0" t="n">
        <f aca="false">HOUR(A14)</f>
        <v>12</v>
      </c>
      <c r="F14" s="0" t="n">
        <f aca="false">IF(C14&gt;=6,0,1)</f>
        <v>0</v>
      </c>
      <c r="G14" s="0" t="n">
        <f aca="false">VLOOKUP(E14,Sheet1!$A$2:$B$25,2,0)</f>
        <v>1</v>
      </c>
    </row>
    <row r="15" customFormat="false" ht="15" hidden="false" customHeight="false" outlineLevel="0" collapsed="false">
      <c r="A15" s="11" t="n">
        <v>44562.5416666667</v>
      </c>
      <c r="B15" s="0" t="n">
        <v>240.4</v>
      </c>
      <c r="C15" s="0" t="n">
        <f aca="false">WEEKDAY(A15,2)</f>
        <v>6</v>
      </c>
      <c r="D15" s="0" t="n">
        <f aca="false">DAY(A15)</f>
        <v>1</v>
      </c>
      <c r="E15" s="0" t="n">
        <f aca="false">HOUR(A15)</f>
        <v>13</v>
      </c>
      <c r="F15" s="0" t="n">
        <f aca="false">IF(C15&gt;=6,0,1)</f>
        <v>0</v>
      </c>
      <c r="G15" s="0" t="n">
        <f aca="false">VLOOKUP(E15,Sheet1!$A$2:$B$25,2,0)</f>
        <v>1</v>
      </c>
    </row>
    <row r="16" customFormat="false" ht="15" hidden="false" customHeight="false" outlineLevel="0" collapsed="false">
      <c r="A16" s="11" t="n">
        <v>44562.5833333333</v>
      </c>
      <c r="B16" s="0" t="n">
        <v>236.97</v>
      </c>
      <c r="C16" s="0" t="n">
        <f aca="false">WEEKDAY(A16,2)</f>
        <v>6</v>
      </c>
      <c r="D16" s="0" t="n">
        <f aca="false">DAY(A16)</f>
        <v>1</v>
      </c>
      <c r="E16" s="0" t="n">
        <f aca="false">HOUR(A16)</f>
        <v>14</v>
      </c>
      <c r="F16" s="0" t="n">
        <f aca="false">IF(C16&gt;=6,0,1)</f>
        <v>0</v>
      </c>
      <c r="G16" s="0" t="n">
        <f aca="false">VLOOKUP(E16,Sheet1!$A$2:$B$25,2,0)</f>
        <v>1</v>
      </c>
    </row>
    <row r="17" customFormat="false" ht="15" hidden="false" customHeight="false" outlineLevel="0" collapsed="false">
      <c r="A17" s="11" t="n">
        <v>44562.625</v>
      </c>
      <c r="B17" s="0" t="n">
        <v>241.56</v>
      </c>
      <c r="C17" s="0" t="n">
        <f aca="false">WEEKDAY(A17,2)</f>
        <v>6</v>
      </c>
      <c r="D17" s="0" t="n">
        <f aca="false">DAY(A17)</f>
        <v>1</v>
      </c>
      <c r="E17" s="0" t="n">
        <f aca="false">HOUR(A17)</f>
        <v>15</v>
      </c>
      <c r="F17" s="0" t="n">
        <f aca="false">IF(C17&gt;=6,0,1)</f>
        <v>0</v>
      </c>
      <c r="G17" s="0" t="n">
        <f aca="false">VLOOKUP(E17,Sheet1!$A$2:$B$25,2,0)</f>
        <v>1</v>
      </c>
    </row>
    <row r="18" customFormat="false" ht="15" hidden="false" customHeight="false" outlineLevel="0" collapsed="false">
      <c r="A18" s="11" t="n">
        <v>44562.6666666667</v>
      </c>
      <c r="B18" s="0" t="n">
        <v>242.85</v>
      </c>
      <c r="C18" s="0" t="n">
        <f aca="false">WEEKDAY(A18,2)</f>
        <v>6</v>
      </c>
      <c r="D18" s="0" t="n">
        <f aca="false">DAY(A18)</f>
        <v>1</v>
      </c>
      <c r="E18" s="0" t="n">
        <f aca="false">HOUR(A18)</f>
        <v>16</v>
      </c>
      <c r="F18" s="0" t="n">
        <f aca="false">IF(C18&gt;=6,0,1)</f>
        <v>0</v>
      </c>
      <c r="G18" s="0" t="n">
        <f aca="false">VLOOKUP(E18,Sheet1!$A$2:$B$25,2,0)</f>
        <v>0</v>
      </c>
    </row>
    <row r="19" customFormat="false" ht="15" hidden="false" customHeight="false" outlineLevel="0" collapsed="false">
      <c r="A19" s="11" t="n">
        <v>44562.7083333333</v>
      </c>
      <c r="B19" s="0" t="n">
        <v>257.5</v>
      </c>
      <c r="C19" s="0" t="n">
        <f aca="false">WEEKDAY(A19,2)</f>
        <v>6</v>
      </c>
      <c r="D19" s="0" t="n">
        <f aca="false">DAY(A19)</f>
        <v>1</v>
      </c>
      <c r="E19" s="0" t="n">
        <f aca="false">HOUR(A19)</f>
        <v>17</v>
      </c>
      <c r="F19" s="0" t="n">
        <f aca="false">IF(C19&gt;=6,0,1)</f>
        <v>0</v>
      </c>
      <c r="G19" s="0" t="n">
        <f aca="false">VLOOKUP(E19,Sheet1!$A$2:$B$25,2,0)</f>
        <v>0</v>
      </c>
    </row>
    <row r="20" customFormat="false" ht="15" hidden="false" customHeight="false" outlineLevel="0" collapsed="false">
      <c r="A20" s="11" t="n">
        <v>44562.75</v>
      </c>
      <c r="B20" s="0" t="n">
        <v>254.19</v>
      </c>
      <c r="C20" s="0" t="n">
        <f aca="false">WEEKDAY(A20,2)</f>
        <v>6</v>
      </c>
      <c r="D20" s="0" t="n">
        <f aca="false">DAY(A20)</f>
        <v>1</v>
      </c>
      <c r="E20" s="0" t="n">
        <f aca="false">HOUR(A20)</f>
        <v>18</v>
      </c>
      <c r="F20" s="0" t="n">
        <f aca="false">IF(C20&gt;=6,0,1)</f>
        <v>0</v>
      </c>
      <c r="G20" s="0" t="n">
        <f aca="false">VLOOKUP(E20,Sheet1!$A$2:$B$25,2,0)</f>
        <v>0</v>
      </c>
    </row>
    <row r="21" customFormat="false" ht="15" hidden="false" customHeight="false" outlineLevel="0" collapsed="false">
      <c r="A21" s="11" t="n">
        <v>44562.7916666667</v>
      </c>
      <c r="B21" s="0" t="n">
        <v>248.41</v>
      </c>
      <c r="C21" s="0" t="n">
        <f aca="false">WEEKDAY(A21,2)</f>
        <v>6</v>
      </c>
      <c r="D21" s="0" t="n">
        <f aca="false">DAY(A21)</f>
        <v>1</v>
      </c>
      <c r="E21" s="0" t="n">
        <f aca="false">HOUR(A21)</f>
        <v>19</v>
      </c>
      <c r="F21" s="0" t="n">
        <f aca="false">IF(C21&gt;=6,0,1)</f>
        <v>0</v>
      </c>
      <c r="G21" s="0" t="n">
        <f aca="false">VLOOKUP(E21,Sheet1!$A$2:$B$25,2,0)</f>
        <v>0</v>
      </c>
    </row>
    <row r="22" customFormat="false" ht="15" hidden="false" customHeight="false" outlineLevel="0" collapsed="false">
      <c r="A22" s="11" t="n">
        <v>44562.8333333333</v>
      </c>
      <c r="B22" s="0" t="n">
        <v>262.31</v>
      </c>
      <c r="C22" s="0" t="n">
        <f aca="false">WEEKDAY(A22,2)</f>
        <v>6</v>
      </c>
      <c r="D22" s="0" t="n">
        <f aca="false">DAY(A22)</f>
        <v>1</v>
      </c>
      <c r="E22" s="0" t="n">
        <f aca="false">HOUR(A22)</f>
        <v>20</v>
      </c>
      <c r="F22" s="0" t="n">
        <f aca="false">IF(C22&gt;=6,0,1)</f>
        <v>0</v>
      </c>
      <c r="G22" s="0" t="n">
        <f aca="false">VLOOKUP(E22,Sheet1!$A$2:$B$25,2,0)</f>
        <v>0</v>
      </c>
    </row>
    <row r="23" customFormat="false" ht="15" hidden="false" customHeight="false" outlineLevel="0" collapsed="false">
      <c r="A23" s="11" t="n">
        <v>44562.875</v>
      </c>
      <c r="B23" s="0" t="n">
        <v>252.57</v>
      </c>
      <c r="C23" s="0" t="n">
        <f aca="false">WEEKDAY(A23,2)</f>
        <v>6</v>
      </c>
      <c r="D23" s="0" t="n">
        <f aca="false">DAY(A23)</f>
        <v>1</v>
      </c>
      <c r="E23" s="0" t="n">
        <f aca="false">HOUR(A23)</f>
        <v>21</v>
      </c>
      <c r="F23" s="0" t="n">
        <f aca="false">IF(C23&gt;=6,0,1)</f>
        <v>0</v>
      </c>
      <c r="G23" s="0" t="n">
        <f aca="false">VLOOKUP(E23,Sheet1!$A$2:$B$25,2,0)</f>
        <v>0</v>
      </c>
    </row>
    <row r="24" customFormat="false" ht="15" hidden="false" customHeight="false" outlineLevel="0" collapsed="false">
      <c r="A24" s="11" t="n">
        <v>44562.9166666667</v>
      </c>
      <c r="B24" s="0" t="n">
        <v>256.54</v>
      </c>
      <c r="C24" s="0" t="n">
        <f aca="false">WEEKDAY(A24,2)</f>
        <v>6</v>
      </c>
      <c r="D24" s="0" t="n">
        <f aca="false">DAY(A24)</f>
        <v>1</v>
      </c>
      <c r="E24" s="0" t="n">
        <f aca="false">HOUR(A24)</f>
        <v>22</v>
      </c>
      <c r="F24" s="0" t="n">
        <f aca="false">IF(C24&gt;=6,0,1)</f>
        <v>0</v>
      </c>
      <c r="G24" s="0" t="n">
        <f aca="false">VLOOKUP(E24,Sheet1!$A$2:$B$25,2,0)</f>
        <v>0</v>
      </c>
    </row>
    <row r="25" customFormat="false" ht="15" hidden="false" customHeight="false" outlineLevel="0" collapsed="false">
      <c r="A25" s="11" t="n">
        <v>44562.9583333333</v>
      </c>
      <c r="B25" s="0" t="n">
        <v>253.83</v>
      </c>
      <c r="C25" s="0" t="n">
        <f aca="false">WEEKDAY(A25,2)</f>
        <v>6</v>
      </c>
      <c r="D25" s="0" t="n">
        <f aca="false">DAY(A25)</f>
        <v>1</v>
      </c>
      <c r="E25" s="0" t="n">
        <f aca="false">HOUR(A25)</f>
        <v>23</v>
      </c>
      <c r="F25" s="0" t="n">
        <f aca="false">IF(C25&gt;=6,0,1)</f>
        <v>0</v>
      </c>
      <c r="G25" s="0" t="n">
        <f aca="false">VLOOKUP(E25,Sheet1!$A$2:$B$25,2,0)</f>
        <v>0</v>
      </c>
    </row>
    <row r="26" customFormat="false" ht="15" hidden="false" customHeight="false" outlineLevel="0" collapsed="false">
      <c r="A26" s="11" t="n">
        <v>44563</v>
      </c>
      <c r="B26" s="0" t="n">
        <v>254.08</v>
      </c>
      <c r="C26" s="0" t="n">
        <f aca="false">WEEKDAY(A26,2)</f>
        <v>7</v>
      </c>
      <c r="D26" s="0" t="n">
        <f aca="false">DAY(A26)</f>
        <v>2</v>
      </c>
      <c r="E26" s="0" t="n">
        <f aca="false">HOUR(A26)</f>
        <v>0</v>
      </c>
      <c r="F26" s="0" t="n">
        <f aca="false">IF(C26&gt;=6,0,1)</f>
        <v>0</v>
      </c>
      <c r="G26" s="0" t="n">
        <f aca="false">VLOOKUP(E26,Sheet1!$A$2:$B$25,2,0)</f>
        <v>0</v>
      </c>
    </row>
    <row r="27" customFormat="false" ht="15" hidden="false" customHeight="false" outlineLevel="0" collapsed="false">
      <c r="A27" s="11" t="n">
        <v>44563.0416666667</v>
      </c>
      <c r="B27" s="0" t="n">
        <v>254.34</v>
      </c>
      <c r="C27" s="0" t="n">
        <f aca="false">WEEKDAY(A27,2)</f>
        <v>7</v>
      </c>
      <c r="D27" s="0" t="n">
        <f aca="false">DAY(A27)</f>
        <v>2</v>
      </c>
      <c r="E27" s="0" t="n">
        <f aca="false">HOUR(A27)</f>
        <v>1</v>
      </c>
      <c r="F27" s="0" t="n">
        <f aca="false">IF(C27&gt;=6,0,1)</f>
        <v>0</v>
      </c>
      <c r="G27" s="0" t="n">
        <f aca="false">VLOOKUP(E27,Sheet1!$A$2:$B$25,2,0)</f>
        <v>0</v>
      </c>
    </row>
    <row r="28" customFormat="false" ht="15" hidden="false" customHeight="false" outlineLevel="0" collapsed="false">
      <c r="A28" s="11" t="n">
        <v>44563.0833333333</v>
      </c>
      <c r="B28" s="0" t="n">
        <v>240.87</v>
      </c>
      <c r="C28" s="0" t="n">
        <f aca="false">WEEKDAY(A28,2)</f>
        <v>7</v>
      </c>
      <c r="D28" s="0" t="n">
        <f aca="false">DAY(A28)</f>
        <v>2</v>
      </c>
      <c r="E28" s="0" t="n">
        <f aca="false">HOUR(A28)</f>
        <v>2</v>
      </c>
      <c r="F28" s="0" t="n">
        <f aca="false">IF(C28&gt;=6,0,1)</f>
        <v>0</v>
      </c>
      <c r="G28" s="0" t="n">
        <f aca="false">VLOOKUP(E28,Sheet1!$A$2:$B$25,2,0)</f>
        <v>0</v>
      </c>
    </row>
    <row r="29" customFormat="false" ht="15" hidden="false" customHeight="false" outlineLevel="0" collapsed="false">
      <c r="A29" s="11" t="n">
        <v>44563.125</v>
      </c>
      <c r="B29" s="0" t="n">
        <v>242.45</v>
      </c>
      <c r="C29" s="0" t="n">
        <f aca="false">WEEKDAY(A29,2)</f>
        <v>7</v>
      </c>
      <c r="D29" s="0" t="n">
        <f aca="false">DAY(A29)</f>
        <v>2</v>
      </c>
      <c r="E29" s="0" t="n">
        <f aca="false">HOUR(A29)</f>
        <v>3</v>
      </c>
      <c r="F29" s="0" t="n">
        <f aca="false">IF(C29&gt;=6,0,1)</f>
        <v>0</v>
      </c>
      <c r="G29" s="0" t="n">
        <f aca="false">VLOOKUP(E29,Sheet1!$A$2:$B$25,2,0)</f>
        <v>0</v>
      </c>
    </row>
    <row r="30" customFormat="false" ht="15" hidden="false" customHeight="false" outlineLevel="0" collapsed="false">
      <c r="A30" s="11" t="n">
        <v>44563.1666666667</v>
      </c>
      <c r="B30" s="0" t="n">
        <v>244.75</v>
      </c>
      <c r="C30" s="0" t="n">
        <f aca="false">WEEKDAY(A30,2)</f>
        <v>7</v>
      </c>
      <c r="D30" s="0" t="n">
        <f aca="false">DAY(A30)</f>
        <v>2</v>
      </c>
      <c r="E30" s="0" t="n">
        <f aca="false">HOUR(A30)</f>
        <v>4</v>
      </c>
      <c r="F30" s="0" t="n">
        <f aca="false">IF(C30&gt;=6,0,1)</f>
        <v>0</v>
      </c>
      <c r="G30" s="0" t="n">
        <f aca="false">VLOOKUP(E30,Sheet1!$A$2:$B$25,2,0)</f>
        <v>1</v>
      </c>
    </row>
    <row r="31" customFormat="false" ht="15" hidden="false" customHeight="false" outlineLevel="0" collapsed="false">
      <c r="A31" s="11" t="n">
        <v>44563.2083333333</v>
      </c>
      <c r="B31" s="0" t="n">
        <v>241.12</v>
      </c>
      <c r="C31" s="0" t="n">
        <f aca="false">WEEKDAY(A31,2)</f>
        <v>7</v>
      </c>
      <c r="D31" s="0" t="n">
        <f aca="false">DAY(A31)</f>
        <v>2</v>
      </c>
      <c r="E31" s="0" t="n">
        <f aca="false">HOUR(A31)</f>
        <v>5</v>
      </c>
      <c r="F31" s="0" t="n">
        <f aca="false">IF(C31&gt;=6,0,1)</f>
        <v>0</v>
      </c>
      <c r="G31" s="0" t="n">
        <f aca="false">VLOOKUP(E31,Sheet1!$A$2:$B$25,2,0)</f>
        <v>1</v>
      </c>
    </row>
    <row r="32" customFormat="false" ht="15" hidden="false" customHeight="false" outlineLevel="0" collapsed="false">
      <c r="A32" s="11" t="n">
        <v>44563.25</v>
      </c>
      <c r="B32" s="0" t="n">
        <v>237.98</v>
      </c>
      <c r="C32" s="0" t="n">
        <f aca="false">WEEKDAY(A32,2)</f>
        <v>7</v>
      </c>
      <c r="D32" s="0" t="n">
        <f aca="false">DAY(A32)</f>
        <v>2</v>
      </c>
      <c r="E32" s="0" t="n">
        <f aca="false">HOUR(A32)</f>
        <v>6</v>
      </c>
      <c r="F32" s="0" t="n">
        <f aca="false">IF(C32&gt;=6,0,1)</f>
        <v>0</v>
      </c>
      <c r="G32" s="0" t="n">
        <f aca="false">VLOOKUP(E32,Sheet1!$A$2:$B$25,2,0)</f>
        <v>1</v>
      </c>
    </row>
    <row r="33" customFormat="false" ht="15" hidden="false" customHeight="false" outlineLevel="0" collapsed="false">
      <c r="A33" s="11" t="n">
        <v>44563.2916666667</v>
      </c>
      <c r="B33" s="0" t="n">
        <v>229.02</v>
      </c>
      <c r="C33" s="0" t="n">
        <f aca="false">WEEKDAY(A33,2)</f>
        <v>7</v>
      </c>
      <c r="D33" s="0" t="n">
        <f aca="false">DAY(A33)</f>
        <v>2</v>
      </c>
      <c r="E33" s="0" t="n">
        <f aca="false">HOUR(A33)</f>
        <v>7</v>
      </c>
      <c r="F33" s="0" t="n">
        <f aca="false">IF(C33&gt;=6,0,1)</f>
        <v>0</v>
      </c>
      <c r="G33" s="0" t="n">
        <f aca="false">VLOOKUP(E33,Sheet1!$A$2:$B$25,2,0)</f>
        <v>1</v>
      </c>
    </row>
    <row r="34" customFormat="false" ht="15" hidden="false" customHeight="false" outlineLevel="0" collapsed="false">
      <c r="A34" s="11" t="n">
        <v>44563.3333333333</v>
      </c>
      <c r="B34" s="0" t="n">
        <v>210.4</v>
      </c>
      <c r="C34" s="0" t="n">
        <f aca="false">WEEKDAY(A34,2)</f>
        <v>7</v>
      </c>
      <c r="D34" s="0" t="n">
        <f aca="false">DAY(A34)</f>
        <v>2</v>
      </c>
      <c r="E34" s="0" t="n">
        <f aca="false">HOUR(A34)</f>
        <v>8</v>
      </c>
      <c r="F34" s="0" t="n">
        <f aca="false">IF(C34&gt;=6,0,1)</f>
        <v>0</v>
      </c>
      <c r="G34" s="0" t="n">
        <f aca="false">VLOOKUP(E34,Sheet1!$A$2:$B$25,2,0)</f>
        <v>1</v>
      </c>
    </row>
    <row r="35" customFormat="false" ht="15" hidden="false" customHeight="false" outlineLevel="0" collapsed="false">
      <c r="A35" s="11" t="n">
        <v>44563.375</v>
      </c>
      <c r="B35" s="0" t="n">
        <v>215.64</v>
      </c>
      <c r="C35" s="0" t="n">
        <f aca="false">WEEKDAY(A35,2)</f>
        <v>7</v>
      </c>
      <c r="D35" s="0" t="n">
        <f aca="false">DAY(A35)</f>
        <v>2</v>
      </c>
      <c r="E35" s="0" t="n">
        <f aca="false">HOUR(A35)</f>
        <v>9</v>
      </c>
      <c r="F35" s="0" t="n">
        <f aca="false">IF(C35&gt;=6,0,1)</f>
        <v>0</v>
      </c>
      <c r="G35" s="0" t="n">
        <f aca="false">VLOOKUP(E35,Sheet1!$A$2:$B$25,2,0)</f>
        <v>1</v>
      </c>
    </row>
    <row r="36" customFormat="false" ht="15" hidden="false" customHeight="false" outlineLevel="0" collapsed="false">
      <c r="A36" s="11" t="n">
        <v>44563.4166666667</v>
      </c>
      <c r="B36" s="0" t="n">
        <v>216.4</v>
      </c>
      <c r="C36" s="0" t="n">
        <f aca="false">WEEKDAY(A36,2)</f>
        <v>7</v>
      </c>
      <c r="D36" s="0" t="n">
        <f aca="false">DAY(A36)</f>
        <v>2</v>
      </c>
      <c r="E36" s="0" t="n">
        <f aca="false">HOUR(A36)</f>
        <v>10</v>
      </c>
      <c r="F36" s="0" t="n">
        <f aca="false">IF(C36&gt;=6,0,1)</f>
        <v>0</v>
      </c>
      <c r="G36" s="0" t="n">
        <f aca="false">VLOOKUP(E36,Sheet1!$A$2:$B$25,2,0)</f>
        <v>1</v>
      </c>
    </row>
    <row r="37" customFormat="false" ht="15" hidden="false" customHeight="false" outlineLevel="0" collapsed="false">
      <c r="A37" s="11" t="n">
        <v>44563.4583333333</v>
      </c>
      <c r="B37" s="0" t="n">
        <v>220.39</v>
      </c>
      <c r="C37" s="0" t="n">
        <f aca="false">WEEKDAY(A37,2)</f>
        <v>7</v>
      </c>
      <c r="D37" s="0" t="n">
        <f aca="false">DAY(A37)</f>
        <v>2</v>
      </c>
      <c r="E37" s="0" t="n">
        <f aca="false">HOUR(A37)</f>
        <v>11</v>
      </c>
      <c r="F37" s="0" t="n">
        <f aca="false">IF(C37&gt;=6,0,1)</f>
        <v>0</v>
      </c>
      <c r="G37" s="0" t="n">
        <f aca="false">VLOOKUP(E37,Sheet1!$A$2:$B$25,2,0)</f>
        <v>1</v>
      </c>
    </row>
    <row r="38" customFormat="false" ht="15" hidden="false" customHeight="false" outlineLevel="0" collapsed="false">
      <c r="A38" s="11" t="n">
        <v>44563.5</v>
      </c>
      <c r="B38" s="0" t="n">
        <v>218.73</v>
      </c>
      <c r="C38" s="0" t="n">
        <f aca="false">WEEKDAY(A38,2)</f>
        <v>7</v>
      </c>
      <c r="D38" s="0" t="n">
        <f aca="false">DAY(A38)</f>
        <v>2</v>
      </c>
      <c r="E38" s="0" t="n">
        <f aca="false">HOUR(A38)</f>
        <v>12</v>
      </c>
      <c r="F38" s="0" t="n">
        <f aca="false">IF(C38&gt;=6,0,1)</f>
        <v>0</v>
      </c>
      <c r="G38" s="0" t="n">
        <f aca="false">VLOOKUP(E38,Sheet1!$A$2:$B$25,2,0)</f>
        <v>1</v>
      </c>
    </row>
    <row r="39" customFormat="false" ht="15" hidden="false" customHeight="false" outlineLevel="0" collapsed="false">
      <c r="A39" s="11" t="n">
        <v>44563.5416666667</v>
      </c>
      <c r="B39" s="0" t="n">
        <v>214.23</v>
      </c>
      <c r="C39" s="0" t="n">
        <f aca="false">WEEKDAY(A39,2)</f>
        <v>7</v>
      </c>
      <c r="D39" s="0" t="n">
        <f aca="false">DAY(A39)</f>
        <v>2</v>
      </c>
      <c r="E39" s="0" t="n">
        <f aca="false">HOUR(A39)</f>
        <v>13</v>
      </c>
      <c r="F39" s="0" t="n">
        <f aca="false">IF(C39&gt;=6,0,1)</f>
        <v>0</v>
      </c>
      <c r="G39" s="0" t="n">
        <f aca="false">VLOOKUP(E39,Sheet1!$A$2:$B$25,2,0)</f>
        <v>1</v>
      </c>
    </row>
    <row r="40" customFormat="false" ht="15" hidden="false" customHeight="false" outlineLevel="0" collapsed="false">
      <c r="A40" s="11" t="n">
        <v>44563.5833333333</v>
      </c>
      <c r="B40" s="0" t="n">
        <v>222.31</v>
      </c>
      <c r="C40" s="0" t="n">
        <f aca="false">WEEKDAY(A40,2)</f>
        <v>7</v>
      </c>
      <c r="D40" s="0" t="n">
        <f aca="false">DAY(A40)</f>
        <v>2</v>
      </c>
      <c r="E40" s="0" t="n">
        <f aca="false">HOUR(A40)</f>
        <v>14</v>
      </c>
      <c r="F40" s="0" t="n">
        <f aca="false">IF(C40&gt;=6,0,1)</f>
        <v>0</v>
      </c>
      <c r="G40" s="0" t="n">
        <f aca="false">VLOOKUP(E40,Sheet1!$A$2:$B$25,2,0)</f>
        <v>1</v>
      </c>
    </row>
    <row r="41" customFormat="false" ht="15" hidden="false" customHeight="false" outlineLevel="0" collapsed="false">
      <c r="A41" s="11" t="n">
        <v>44563.625</v>
      </c>
      <c r="B41" s="0" t="n">
        <v>220.1</v>
      </c>
      <c r="C41" s="0" t="n">
        <f aca="false">WEEKDAY(A41,2)</f>
        <v>7</v>
      </c>
      <c r="D41" s="0" t="n">
        <f aca="false">DAY(A41)</f>
        <v>2</v>
      </c>
      <c r="E41" s="0" t="n">
        <f aca="false">HOUR(A41)</f>
        <v>15</v>
      </c>
      <c r="F41" s="0" t="n">
        <f aca="false">IF(C41&gt;=6,0,1)</f>
        <v>0</v>
      </c>
      <c r="G41" s="0" t="n">
        <f aca="false">VLOOKUP(E41,Sheet1!$A$2:$B$25,2,0)</f>
        <v>1</v>
      </c>
    </row>
    <row r="42" customFormat="false" ht="15" hidden="false" customHeight="false" outlineLevel="0" collapsed="false">
      <c r="A42" s="11" t="n">
        <v>44563.6666666667</v>
      </c>
      <c r="B42" s="0" t="n">
        <v>214.71</v>
      </c>
      <c r="C42" s="0" t="n">
        <f aca="false">WEEKDAY(A42,2)</f>
        <v>7</v>
      </c>
      <c r="D42" s="0" t="n">
        <f aca="false">DAY(A42)</f>
        <v>2</v>
      </c>
      <c r="E42" s="0" t="n">
        <f aca="false">HOUR(A42)</f>
        <v>16</v>
      </c>
      <c r="F42" s="0" t="n">
        <f aca="false">IF(C42&gt;=6,0,1)</f>
        <v>0</v>
      </c>
      <c r="G42" s="0" t="n">
        <f aca="false">VLOOKUP(E42,Sheet1!$A$2:$B$25,2,0)</f>
        <v>0</v>
      </c>
    </row>
    <row r="43" customFormat="false" ht="15" hidden="false" customHeight="false" outlineLevel="0" collapsed="false">
      <c r="A43" s="11" t="n">
        <v>44563.7083333333</v>
      </c>
      <c r="B43" s="0" t="n">
        <v>229.97</v>
      </c>
      <c r="C43" s="0" t="n">
        <f aca="false">WEEKDAY(A43,2)</f>
        <v>7</v>
      </c>
      <c r="D43" s="0" t="n">
        <f aca="false">DAY(A43)</f>
        <v>2</v>
      </c>
      <c r="E43" s="0" t="n">
        <f aca="false">HOUR(A43)</f>
        <v>17</v>
      </c>
      <c r="F43" s="0" t="n">
        <f aca="false">IF(C43&gt;=6,0,1)</f>
        <v>0</v>
      </c>
      <c r="G43" s="0" t="n">
        <f aca="false">VLOOKUP(E43,Sheet1!$A$2:$B$25,2,0)</f>
        <v>0</v>
      </c>
    </row>
    <row r="44" customFormat="false" ht="15" hidden="false" customHeight="false" outlineLevel="0" collapsed="false">
      <c r="A44" s="11" t="n">
        <v>44563.75</v>
      </c>
      <c r="B44" s="0" t="n">
        <v>227.19</v>
      </c>
      <c r="C44" s="0" t="n">
        <f aca="false">WEEKDAY(A44,2)</f>
        <v>7</v>
      </c>
      <c r="D44" s="0" t="n">
        <f aca="false">DAY(A44)</f>
        <v>2</v>
      </c>
      <c r="E44" s="0" t="n">
        <f aca="false">HOUR(A44)</f>
        <v>18</v>
      </c>
      <c r="F44" s="0" t="n">
        <f aca="false">IF(C44&gt;=6,0,1)</f>
        <v>0</v>
      </c>
      <c r="G44" s="0" t="n">
        <f aca="false">VLOOKUP(E44,Sheet1!$A$2:$B$25,2,0)</f>
        <v>0</v>
      </c>
    </row>
    <row r="45" customFormat="false" ht="15" hidden="false" customHeight="false" outlineLevel="0" collapsed="false">
      <c r="A45" s="11" t="n">
        <v>44563.7916666667</v>
      </c>
      <c r="B45" s="0" t="n">
        <v>229.55</v>
      </c>
      <c r="C45" s="0" t="n">
        <f aca="false">WEEKDAY(A45,2)</f>
        <v>7</v>
      </c>
      <c r="D45" s="0" t="n">
        <f aca="false">DAY(A45)</f>
        <v>2</v>
      </c>
      <c r="E45" s="0" t="n">
        <f aca="false">HOUR(A45)</f>
        <v>19</v>
      </c>
      <c r="F45" s="0" t="n">
        <f aca="false">IF(C45&gt;=6,0,1)</f>
        <v>0</v>
      </c>
      <c r="G45" s="0" t="n">
        <f aca="false">VLOOKUP(E45,Sheet1!$A$2:$B$25,2,0)</f>
        <v>0</v>
      </c>
    </row>
    <row r="46" customFormat="false" ht="15" hidden="false" customHeight="false" outlineLevel="0" collapsed="false">
      <c r="A46" s="11" t="n">
        <v>44563.8333333333</v>
      </c>
      <c r="B46" s="0" t="n">
        <v>226.12</v>
      </c>
      <c r="C46" s="0" t="n">
        <f aca="false">WEEKDAY(A46,2)</f>
        <v>7</v>
      </c>
      <c r="D46" s="0" t="n">
        <f aca="false">DAY(A46)</f>
        <v>2</v>
      </c>
      <c r="E46" s="0" t="n">
        <f aca="false">HOUR(A46)</f>
        <v>20</v>
      </c>
      <c r="F46" s="0" t="n">
        <f aca="false">IF(C46&gt;=6,0,1)</f>
        <v>0</v>
      </c>
      <c r="G46" s="0" t="n">
        <f aca="false">VLOOKUP(E46,Sheet1!$A$2:$B$25,2,0)</f>
        <v>0</v>
      </c>
    </row>
    <row r="47" customFormat="false" ht="15" hidden="false" customHeight="false" outlineLevel="0" collapsed="false">
      <c r="A47" s="11" t="n">
        <v>44563.875</v>
      </c>
      <c r="B47" s="0" t="n">
        <v>229.3</v>
      </c>
      <c r="C47" s="0" t="n">
        <f aca="false">WEEKDAY(A47,2)</f>
        <v>7</v>
      </c>
      <c r="D47" s="0" t="n">
        <f aca="false">DAY(A47)</f>
        <v>2</v>
      </c>
      <c r="E47" s="0" t="n">
        <f aca="false">HOUR(A47)</f>
        <v>21</v>
      </c>
      <c r="F47" s="0" t="n">
        <f aca="false">IF(C47&gt;=6,0,1)</f>
        <v>0</v>
      </c>
      <c r="G47" s="0" t="n">
        <f aca="false">VLOOKUP(E47,Sheet1!$A$2:$B$25,2,0)</f>
        <v>0</v>
      </c>
    </row>
    <row r="48" customFormat="false" ht="15" hidden="false" customHeight="false" outlineLevel="0" collapsed="false">
      <c r="A48" s="11" t="n">
        <v>44563.9166666667</v>
      </c>
      <c r="B48" s="0" t="n">
        <v>228.64</v>
      </c>
      <c r="C48" s="0" t="n">
        <f aca="false">WEEKDAY(A48,2)</f>
        <v>7</v>
      </c>
      <c r="D48" s="0" t="n">
        <f aca="false">DAY(A48)</f>
        <v>2</v>
      </c>
      <c r="E48" s="0" t="n">
        <f aca="false">HOUR(A48)</f>
        <v>22</v>
      </c>
      <c r="F48" s="0" t="n">
        <f aca="false">IF(C48&gt;=6,0,1)</f>
        <v>0</v>
      </c>
      <c r="G48" s="0" t="n">
        <f aca="false">VLOOKUP(E48,Sheet1!$A$2:$B$25,2,0)</f>
        <v>0</v>
      </c>
    </row>
    <row r="49" customFormat="false" ht="15" hidden="false" customHeight="false" outlineLevel="0" collapsed="false">
      <c r="A49" s="11" t="n">
        <v>44563.9583333333</v>
      </c>
      <c r="B49" s="0" t="n">
        <v>231.57</v>
      </c>
      <c r="C49" s="0" t="n">
        <f aca="false">WEEKDAY(A49,2)</f>
        <v>7</v>
      </c>
      <c r="D49" s="0" t="n">
        <f aca="false">DAY(A49)</f>
        <v>2</v>
      </c>
      <c r="E49" s="0" t="n">
        <f aca="false">HOUR(A49)</f>
        <v>23</v>
      </c>
      <c r="F49" s="0" t="n">
        <f aca="false">IF(C49&gt;=6,0,1)</f>
        <v>0</v>
      </c>
      <c r="G49" s="0" t="n">
        <f aca="false">VLOOKUP(E49,Sheet1!$A$2:$B$25,2,0)</f>
        <v>0</v>
      </c>
    </row>
    <row r="50" customFormat="false" ht="15" hidden="false" customHeight="false" outlineLevel="0" collapsed="false">
      <c r="A50" s="11" t="n">
        <v>44564</v>
      </c>
      <c r="B50" s="0" t="n">
        <v>229.42</v>
      </c>
      <c r="C50" s="0" t="n">
        <f aca="false">WEEKDAY(A50,2)</f>
        <v>1</v>
      </c>
      <c r="D50" s="0" t="n">
        <f aca="false">DAY(A50)</f>
        <v>3</v>
      </c>
      <c r="E50" s="0" t="n">
        <f aca="false">HOUR(A50)</f>
        <v>0</v>
      </c>
      <c r="F50" s="0" t="n">
        <f aca="false">IF(C50&gt;=6,0,1)</f>
        <v>1</v>
      </c>
      <c r="G50" s="0" t="n">
        <f aca="false">VLOOKUP(E50,Sheet1!$A$2:$B$25,2,0)</f>
        <v>0</v>
      </c>
    </row>
    <row r="51" customFormat="false" ht="15" hidden="false" customHeight="false" outlineLevel="0" collapsed="false">
      <c r="A51" s="11" t="n">
        <v>44564.0416666667</v>
      </c>
      <c r="B51" s="0" t="n">
        <v>228.09</v>
      </c>
      <c r="C51" s="0" t="n">
        <f aca="false">WEEKDAY(A51,2)</f>
        <v>1</v>
      </c>
      <c r="D51" s="0" t="n">
        <f aca="false">DAY(A51)</f>
        <v>3</v>
      </c>
      <c r="E51" s="0" t="n">
        <f aca="false">HOUR(A51)</f>
        <v>1</v>
      </c>
      <c r="F51" s="0" t="n">
        <f aca="false">IF(C51&gt;=6,0,1)</f>
        <v>1</v>
      </c>
      <c r="G51" s="0" t="n">
        <f aca="false">VLOOKUP(E51,Sheet1!$A$2:$B$25,2,0)</f>
        <v>0</v>
      </c>
    </row>
    <row r="52" customFormat="false" ht="15" hidden="false" customHeight="false" outlineLevel="0" collapsed="false">
      <c r="A52" s="11" t="n">
        <v>44564.0833333333</v>
      </c>
      <c r="B52" s="0" t="n">
        <v>222.26</v>
      </c>
      <c r="C52" s="0" t="n">
        <f aca="false">WEEKDAY(A52,2)</f>
        <v>1</v>
      </c>
      <c r="D52" s="0" t="n">
        <f aca="false">DAY(A52)</f>
        <v>3</v>
      </c>
      <c r="E52" s="0" t="n">
        <f aca="false">HOUR(A52)</f>
        <v>2</v>
      </c>
      <c r="F52" s="0" t="n">
        <f aca="false">IF(C52&gt;=6,0,1)</f>
        <v>1</v>
      </c>
      <c r="G52" s="0" t="n">
        <f aca="false">VLOOKUP(E52,Sheet1!$A$2:$B$25,2,0)</f>
        <v>0</v>
      </c>
    </row>
    <row r="53" customFormat="false" ht="15" hidden="false" customHeight="false" outlineLevel="0" collapsed="false">
      <c r="A53" s="11" t="n">
        <v>44564.125</v>
      </c>
      <c r="B53" s="0" t="n">
        <v>232.42</v>
      </c>
      <c r="C53" s="0" t="n">
        <f aca="false">WEEKDAY(A53,2)</f>
        <v>1</v>
      </c>
      <c r="D53" s="0" t="n">
        <f aca="false">DAY(A53)</f>
        <v>3</v>
      </c>
      <c r="E53" s="0" t="n">
        <f aca="false">HOUR(A53)</f>
        <v>3</v>
      </c>
      <c r="F53" s="0" t="n">
        <f aca="false">IF(C53&gt;=6,0,1)</f>
        <v>1</v>
      </c>
      <c r="G53" s="0" t="n">
        <f aca="false">VLOOKUP(E53,Sheet1!$A$2:$B$25,2,0)</f>
        <v>0</v>
      </c>
    </row>
    <row r="54" customFormat="false" ht="15" hidden="false" customHeight="false" outlineLevel="0" collapsed="false">
      <c r="A54" s="11" t="n">
        <v>44564.1666666667</v>
      </c>
      <c r="B54" s="0" t="n">
        <v>233.08</v>
      </c>
      <c r="C54" s="0" t="n">
        <f aca="false">WEEKDAY(A54,2)</f>
        <v>1</v>
      </c>
      <c r="D54" s="0" t="n">
        <f aca="false">DAY(A54)</f>
        <v>3</v>
      </c>
      <c r="E54" s="0" t="n">
        <f aca="false">HOUR(A54)</f>
        <v>4</v>
      </c>
      <c r="F54" s="0" t="n">
        <f aca="false">IF(C54&gt;=6,0,1)</f>
        <v>1</v>
      </c>
      <c r="G54" s="0" t="n">
        <f aca="false">VLOOKUP(E54,Sheet1!$A$2:$B$25,2,0)</f>
        <v>1</v>
      </c>
    </row>
    <row r="55" customFormat="false" ht="15" hidden="false" customHeight="false" outlineLevel="0" collapsed="false">
      <c r="A55" s="11" t="n">
        <v>44564.2083333333</v>
      </c>
      <c r="B55" s="0" t="n">
        <v>275.97</v>
      </c>
      <c r="C55" s="0" t="n">
        <f aca="false">WEEKDAY(A55,2)</f>
        <v>1</v>
      </c>
      <c r="D55" s="0" t="n">
        <f aca="false">DAY(A55)</f>
        <v>3</v>
      </c>
      <c r="E55" s="0" t="n">
        <f aca="false">HOUR(A55)</f>
        <v>5</v>
      </c>
      <c r="F55" s="0" t="n">
        <f aca="false">IF(C55&gt;=6,0,1)</f>
        <v>1</v>
      </c>
      <c r="G55" s="0" t="n">
        <f aca="false">VLOOKUP(E55,Sheet1!$A$2:$B$25,2,0)</f>
        <v>1</v>
      </c>
    </row>
    <row r="56" customFormat="false" ht="15" hidden="false" customHeight="false" outlineLevel="0" collapsed="false">
      <c r="A56" s="11" t="n">
        <v>44564.25</v>
      </c>
      <c r="B56" s="0" t="n">
        <v>285.43</v>
      </c>
      <c r="C56" s="0" t="n">
        <f aca="false">WEEKDAY(A56,2)</f>
        <v>1</v>
      </c>
      <c r="D56" s="0" t="n">
        <f aca="false">DAY(A56)</f>
        <v>3</v>
      </c>
      <c r="E56" s="0" t="n">
        <f aca="false">HOUR(A56)</f>
        <v>6</v>
      </c>
      <c r="F56" s="0" t="n">
        <f aca="false">IF(C56&gt;=6,0,1)</f>
        <v>1</v>
      </c>
      <c r="G56" s="0" t="n">
        <f aca="false">VLOOKUP(E56,Sheet1!$A$2:$B$25,2,0)</f>
        <v>1</v>
      </c>
    </row>
    <row r="57" customFormat="false" ht="15" hidden="false" customHeight="false" outlineLevel="0" collapsed="false">
      <c r="A57" s="11" t="n">
        <v>44564.2916666667</v>
      </c>
      <c r="B57" s="0" t="n">
        <v>320.43</v>
      </c>
      <c r="C57" s="0" t="n">
        <f aca="false">WEEKDAY(A57,2)</f>
        <v>1</v>
      </c>
      <c r="D57" s="0" t="n">
        <f aca="false">DAY(A57)</f>
        <v>3</v>
      </c>
      <c r="E57" s="0" t="n">
        <f aca="false">HOUR(A57)</f>
        <v>7</v>
      </c>
      <c r="F57" s="0" t="n">
        <f aca="false">IF(C57&gt;=6,0,1)</f>
        <v>1</v>
      </c>
      <c r="G57" s="0" t="n">
        <f aca="false">VLOOKUP(E57,Sheet1!$A$2:$B$25,2,0)</f>
        <v>1</v>
      </c>
    </row>
    <row r="58" customFormat="false" ht="15" hidden="false" customHeight="false" outlineLevel="0" collapsed="false">
      <c r="A58" s="11" t="n">
        <v>44564.3333333333</v>
      </c>
      <c r="B58" s="0" t="n">
        <v>323.54</v>
      </c>
      <c r="C58" s="0" t="n">
        <f aca="false">WEEKDAY(A58,2)</f>
        <v>1</v>
      </c>
      <c r="D58" s="0" t="n">
        <f aca="false">DAY(A58)</f>
        <v>3</v>
      </c>
      <c r="E58" s="0" t="n">
        <f aca="false">HOUR(A58)</f>
        <v>8</v>
      </c>
      <c r="F58" s="0" t="n">
        <f aca="false">IF(C58&gt;=6,0,1)</f>
        <v>1</v>
      </c>
      <c r="G58" s="0" t="n">
        <f aca="false">VLOOKUP(E58,Sheet1!$A$2:$B$25,2,0)</f>
        <v>1</v>
      </c>
    </row>
    <row r="59" customFormat="false" ht="15" hidden="false" customHeight="false" outlineLevel="0" collapsed="false">
      <c r="A59" s="11" t="n">
        <v>44564.375</v>
      </c>
      <c r="B59" s="0" t="n">
        <v>362.55</v>
      </c>
      <c r="C59" s="0" t="n">
        <f aca="false">WEEKDAY(A59,2)</f>
        <v>1</v>
      </c>
      <c r="D59" s="0" t="n">
        <f aca="false">DAY(A59)</f>
        <v>3</v>
      </c>
      <c r="E59" s="0" t="n">
        <f aca="false">HOUR(A59)</f>
        <v>9</v>
      </c>
      <c r="F59" s="0" t="n">
        <f aca="false">IF(C59&gt;=6,0,1)</f>
        <v>1</v>
      </c>
      <c r="G59" s="0" t="n">
        <f aca="false">VLOOKUP(E59,Sheet1!$A$2:$B$25,2,0)</f>
        <v>1</v>
      </c>
    </row>
    <row r="60" customFormat="false" ht="15" hidden="false" customHeight="false" outlineLevel="0" collapsed="false">
      <c r="A60" s="11" t="n">
        <v>44564.4166666667</v>
      </c>
      <c r="B60" s="0" t="n">
        <v>389.48</v>
      </c>
      <c r="C60" s="0" t="n">
        <f aca="false">WEEKDAY(A60,2)</f>
        <v>1</v>
      </c>
      <c r="D60" s="0" t="n">
        <f aca="false">DAY(A60)</f>
        <v>3</v>
      </c>
      <c r="E60" s="0" t="n">
        <f aca="false">HOUR(A60)</f>
        <v>10</v>
      </c>
      <c r="F60" s="0" t="n">
        <f aca="false">IF(C60&gt;=6,0,1)</f>
        <v>1</v>
      </c>
      <c r="G60" s="0" t="n">
        <f aca="false">VLOOKUP(E60,Sheet1!$A$2:$B$25,2,0)</f>
        <v>1</v>
      </c>
    </row>
    <row r="61" customFormat="false" ht="15" hidden="false" customHeight="false" outlineLevel="0" collapsed="false">
      <c r="A61" s="11" t="n">
        <v>44564.4583333333</v>
      </c>
      <c r="B61" s="0" t="n">
        <v>390.6</v>
      </c>
      <c r="C61" s="0" t="n">
        <f aca="false">WEEKDAY(A61,2)</f>
        <v>1</v>
      </c>
      <c r="D61" s="0" t="n">
        <f aca="false">DAY(A61)</f>
        <v>3</v>
      </c>
      <c r="E61" s="0" t="n">
        <f aca="false">HOUR(A61)</f>
        <v>11</v>
      </c>
      <c r="F61" s="0" t="n">
        <f aca="false">IF(C61&gt;=6,0,1)</f>
        <v>1</v>
      </c>
      <c r="G61" s="0" t="n">
        <f aca="false">VLOOKUP(E61,Sheet1!$A$2:$B$25,2,0)</f>
        <v>1</v>
      </c>
    </row>
    <row r="62" customFormat="false" ht="15" hidden="false" customHeight="false" outlineLevel="0" collapsed="false">
      <c r="A62" s="11" t="n">
        <v>44564.5</v>
      </c>
      <c r="B62" s="0" t="n">
        <v>396.92</v>
      </c>
      <c r="C62" s="0" t="n">
        <f aca="false">WEEKDAY(A62,2)</f>
        <v>1</v>
      </c>
      <c r="D62" s="0" t="n">
        <f aca="false">DAY(A62)</f>
        <v>3</v>
      </c>
      <c r="E62" s="0" t="n">
        <f aca="false">HOUR(A62)</f>
        <v>12</v>
      </c>
      <c r="F62" s="0" t="n">
        <f aca="false">IF(C62&gt;=6,0,1)</f>
        <v>1</v>
      </c>
      <c r="G62" s="0" t="n">
        <f aca="false">VLOOKUP(E62,Sheet1!$A$2:$B$25,2,0)</f>
        <v>1</v>
      </c>
    </row>
    <row r="63" customFormat="false" ht="15" hidden="false" customHeight="false" outlineLevel="0" collapsed="false">
      <c r="A63" s="11" t="n">
        <v>44564.5416666667</v>
      </c>
      <c r="B63" s="0" t="n">
        <v>381.19</v>
      </c>
      <c r="C63" s="0" t="n">
        <f aca="false">WEEKDAY(A63,2)</f>
        <v>1</v>
      </c>
      <c r="D63" s="0" t="n">
        <f aca="false">DAY(A63)</f>
        <v>3</v>
      </c>
      <c r="E63" s="0" t="n">
        <f aca="false">HOUR(A63)</f>
        <v>13</v>
      </c>
      <c r="F63" s="0" t="n">
        <f aca="false">IF(C63&gt;=6,0,1)</f>
        <v>1</v>
      </c>
      <c r="G63" s="0" t="n">
        <f aca="false">VLOOKUP(E63,Sheet1!$A$2:$B$25,2,0)</f>
        <v>1</v>
      </c>
    </row>
    <row r="64" customFormat="false" ht="15" hidden="false" customHeight="false" outlineLevel="0" collapsed="false">
      <c r="A64" s="11" t="n">
        <v>44564.5833333333</v>
      </c>
      <c r="B64" s="0" t="n">
        <v>373.44</v>
      </c>
      <c r="C64" s="0" t="n">
        <f aca="false">WEEKDAY(A64,2)</f>
        <v>1</v>
      </c>
      <c r="D64" s="0" t="n">
        <f aca="false">DAY(A64)</f>
        <v>3</v>
      </c>
      <c r="E64" s="0" t="n">
        <f aca="false">HOUR(A64)</f>
        <v>14</v>
      </c>
      <c r="F64" s="0" t="n">
        <f aca="false">IF(C64&gt;=6,0,1)</f>
        <v>1</v>
      </c>
      <c r="G64" s="0" t="n">
        <f aca="false">VLOOKUP(E64,Sheet1!$A$2:$B$25,2,0)</f>
        <v>1</v>
      </c>
    </row>
    <row r="65" customFormat="false" ht="15" hidden="false" customHeight="false" outlineLevel="0" collapsed="false">
      <c r="A65" s="11" t="n">
        <v>44564.625</v>
      </c>
      <c r="B65" s="0" t="n">
        <v>351.79</v>
      </c>
      <c r="C65" s="0" t="n">
        <f aca="false">WEEKDAY(A65,2)</f>
        <v>1</v>
      </c>
      <c r="D65" s="0" t="n">
        <f aca="false">DAY(A65)</f>
        <v>3</v>
      </c>
      <c r="E65" s="0" t="n">
        <f aca="false">HOUR(A65)</f>
        <v>15</v>
      </c>
      <c r="F65" s="0" t="n">
        <f aca="false">IF(C65&gt;=6,0,1)</f>
        <v>1</v>
      </c>
      <c r="G65" s="0" t="n">
        <f aca="false">VLOOKUP(E65,Sheet1!$A$2:$B$25,2,0)</f>
        <v>1</v>
      </c>
    </row>
    <row r="66" customFormat="false" ht="15" hidden="false" customHeight="false" outlineLevel="0" collapsed="false">
      <c r="A66" s="11" t="n">
        <v>44564.6666666667</v>
      </c>
      <c r="B66" s="0" t="n">
        <v>358.95</v>
      </c>
      <c r="C66" s="0" t="n">
        <f aca="false">WEEKDAY(A66,2)</f>
        <v>1</v>
      </c>
      <c r="D66" s="0" t="n">
        <f aca="false">DAY(A66)</f>
        <v>3</v>
      </c>
      <c r="E66" s="0" t="n">
        <f aca="false">HOUR(A66)</f>
        <v>16</v>
      </c>
      <c r="F66" s="0" t="n">
        <f aca="false">IF(C66&gt;=6,0,1)</f>
        <v>1</v>
      </c>
      <c r="G66" s="0" t="n">
        <f aca="false">VLOOKUP(E66,Sheet1!$A$2:$B$25,2,0)</f>
        <v>0</v>
      </c>
    </row>
    <row r="67" customFormat="false" ht="15" hidden="false" customHeight="false" outlineLevel="0" collapsed="false">
      <c r="A67" s="11" t="n">
        <v>44564.7083333333</v>
      </c>
      <c r="B67" s="0" t="n">
        <v>279.67</v>
      </c>
      <c r="C67" s="0" t="n">
        <f aca="false">WEEKDAY(A67,2)</f>
        <v>1</v>
      </c>
      <c r="D67" s="0" t="n">
        <f aca="false">DAY(A67)</f>
        <v>3</v>
      </c>
      <c r="E67" s="0" t="n">
        <f aca="false">HOUR(A67)</f>
        <v>17</v>
      </c>
      <c r="F67" s="0" t="n">
        <f aca="false">IF(C67&gt;=6,0,1)</f>
        <v>1</v>
      </c>
      <c r="G67" s="0" t="n">
        <f aca="false">VLOOKUP(E67,Sheet1!$A$2:$B$25,2,0)</f>
        <v>0</v>
      </c>
    </row>
    <row r="68" customFormat="false" ht="15" hidden="false" customHeight="false" outlineLevel="0" collapsed="false">
      <c r="A68" s="11" t="n">
        <v>44564.75</v>
      </c>
      <c r="B68" s="0" t="n">
        <v>261.5</v>
      </c>
      <c r="C68" s="0" t="n">
        <f aca="false">WEEKDAY(A68,2)</f>
        <v>1</v>
      </c>
      <c r="D68" s="0" t="n">
        <f aca="false">DAY(A68)</f>
        <v>3</v>
      </c>
      <c r="E68" s="0" t="n">
        <f aca="false">HOUR(A68)</f>
        <v>18</v>
      </c>
      <c r="F68" s="0" t="n">
        <f aca="false">IF(C68&gt;=6,0,1)</f>
        <v>1</v>
      </c>
      <c r="G68" s="0" t="n">
        <f aca="false">VLOOKUP(E68,Sheet1!$A$2:$B$25,2,0)</f>
        <v>0</v>
      </c>
    </row>
    <row r="69" customFormat="false" ht="15" hidden="false" customHeight="false" outlineLevel="0" collapsed="false">
      <c r="A69" s="11" t="n">
        <v>44564.7916666667</v>
      </c>
      <c r="B69" s="0" t="n">
        <v>257.17</v>
      </c>
      <c r="C69" s="0" t="n">
        <f aca="false">WEEKDAY(A69,2)</f>
        <v>1</v>
      </c>
      <c r="D69" s="0" t="n">
        <f aca="false">DAY(A69)</f>
        <v>3</v>
      </c>
      <c r="E69" s="0" t="n">
        <f aca="false">HOUR(A69)</f>
        <v>19</v>
      </c>
      <c r="F69" s="0" t="n">
        <f aca="false">IF(C69&gt;=6,0,1)</f>
        <v>1</v>
      </c>
      <c r="G69" s="0" t="n">
        <f aca="false">VLOOKUP(E69,Sheet1!$A$2:$B$25,2,0)</f>
        <v>0</v>
      </c>
    </row>
    <row r="70" customFormat="false" ht="15" hidden="false" customHeight="false" outlineLevel="0" collapsed="false">
      <c r="A70" s="11" t="n">
        <v>44564.8333333333</v>
      </c>
      <c r="B70" s="0" t="n">
        <v>259.26</v>
      </c>
      <c r="C70" s="0" t="n">
        <f aca="false">WEEKDAY(A70,2)</f>
        <v>1</v>
      </c>
      <c r="D70" s="0" t="n">
        <f aca="false">DAY(A70)</f>
        <v>3</v>
      </c>
      <c r="E70" s="0" t="n">
        <f aca="false">HOUR(A70)</f>
        <v>20</v>
      </c>
      <c r="F70" s="0" t="n">
        <f aca="false">IF(C70&gt;=6,0,1)</f>
        <v>1</v>
      </c>
      <c r="G70" s="0" t="n">
        <f aca="false">VLOOKUP(E70,Sheet1!$A$2:$B$25,2,0)</f>
        <v>0</v>
      </c>
    </row>
    <row r="71" customFormat="false" ht="15" hidden="false" customHeight="false" outlineLevel="0" collapsed="false">
      <c r="A71" s="11" t="n">
        <v>44564.875</v>
      </c>
      <c r="B71" s="0" t="n">
        <v>242.2</v>
      </c>
      <c r="C71" s="0" t="n">
        <f aca="false">WEEKDAY(A71,2)</f>
        <v>1</v>
      </c>
      <c r="D71" s="0" t="n">
        <f aca="false">DAY(A71)</f>
        <v>3</v>
      </c>
      <c r="E71" s="0" t="n">
        <f aca="false">HOUR(A71)</f>
        <v>21</v>
      </c>
      <c r="F71" s="0" t="n">
        <f aca="false">IF(C71&gt;=6,0,1)</f>
        <v>1</v>
      </c>
      <c r="G71" s="0" t="n">
        <f aca="false">VLOOKUP(E71,Sheet1!$A$2:$B$25,2,0)</f>
        <v>0</v>
      </c>
    </row>
    <row r="72" customFormat="false" ht="15" hidden="false" customHeight="false" outlineLevel="0" collapsed="false">
      <c r="A72" s="11" t="n">
        <v>44564.9166666667</v>
      </c>
      <c r="B72" s="0" t="n">
        <v>242.49</v>
      </c>
      <c r="C72" s="0" t="n">
        <f aca="false">WEEKDAY(A72,2)</f>
        <v>1</v>
      </c>
      <c r="D72" s="0" t="n">
        <f aca="false">DAY(A72)</f>
        <v>3</v>
      </c>
      <c r="E72" s="0" t="n">
        <f aca="false">HOUR(A72)</f>
        <v>22</v>
      </c>
      <c r="F72" s="0" t="n">
        <f aca="false">IF(C72&gt;=6,0,1)</f>
        <v>1</v>
      </c>
      <c r="G72" s="0" t="n">
        <f aca="false">VLOOKUP(E72,Sheet1!$A$2:$B$25,2,0)</f>
        <v>0</v>
      </c>
    </row>
    <row r="73" customFormat="false" ht="15" hidden="false" customHeight="false" outlineLevel="0" collapsed="false">
      <c r="A73" s="11" t="n">
        <v>44564.9583333333</v>
      </c>
      <c r="B73" s="0" t="n">
        <v>241.02</v>
      </c>
      <c r="C73" s="0" t="n">
        <f aca="false">WEEKDAY(A73,2)</f>
        <v>1</v>
      </c>
      <c r="D73" s="0" t="n">
        <f aca="false">DAY(A73)</f>
        <v>3</v>
      </c>
      <c r="E73" s="0" t="n">
        <f aca="false">HOUR(A73)</f>
        <v>23</v>
      </c>
      <c r="F73" s="0" t="n">
        <f aca="false">IF(C73&gt;=6,0,1)</f>
        <v>1</v>
      </c>
      <c r="G73" s="0" t="n">
        <f aca="false">VLOOKUP(E73,Sheet1!$A$2:$B$25,2,0)</f>
        <v>0</v>
      </c>
    </row>
    <row r="74" customFormat="false" ht="15" hidden="false" customHeight="false" outlineLevel="0" collapsed="false">
      <c r="A74" s="11" t="n">
        <v>44565</v>
      </c>
      <c r="B74" s="0" t="n">
        <v>240.19</v>
      </c>
      <c r="C74" s="0" t="n">
        <f aca="false">WEEKDAY(A74,2)</f>
        <v>2</v>
      </c>
      <c r="D74" s="0" t="n">
        <f aca="false">DAY(A74)</f>
        <v>4</v>
      </c>
      <c r="E74" s="0" t="n">
        <f aca="false">HOUR(A74)</f>
        <v>0</v>
      </c>
      <c r="F74" s="0" t="n">
        <f aca="false">IF(C74&gt;=6,0,1)</f>
        <v>1</v>
      </c>
      <c r="G74" s="0" t="n">
        <f aca="false">VLOOKUP(E74,Sheet1!$A$2:$B$25,2,0)</f>
        <v>0</v>
      </c>
    </row>
    <row r="75" customFormat="false" ht="15" hidden="false" customHeight="false" outlineLevel="0" collapsed="false">
      <c r="A75" s="11" t="n">
        <v>44565.0416666667</v>
      </c>
      <c r="B75" s="0" t="n">
        <v>241.04</v>
      </c>
      <c r="C75" s="0" t="n">
        <f aca="false">WEEKDAY(A75,2)</f>
        <v>2</v>
      </c>
      <c r="D75" s="0" t="n">
        <f aca="false">DAY(A75)</f>
        <v>4</v>
      </c>
      <c r="E75" s="0" t="n">
        <f aca="false">HOUR(A75)</f>
        <v>1</v>
      </c>
      <c r="F75" s="0" t="n">
        <f aca="false">IF(C75&gt;=6,0,1)</f>
        <v>1</v>
      </c>
      <c r="G75" s="0" t="n">
        <f aca="false">VLOOKUP(E75,Sheet1!$A$2:$B$25,2,0)</f>
        <v>0</v>
      </c>
    </row>
    <row r="76" customFormat="false" ht="15" hidden="false" customHeight="false" outlineLevel="0" collapsed="false">
      <c r="A76" s="11" t="n">
        <v>44565.0833333333</v>
      </c>
      <c r="B76" s="0" t="n">
        <v>238.69</v>
      </c>
      <c r="C76" s="0" t="n">
        <f aca="false">WEEKDAY(A76,2)</f>
        <v>2</v>
      </c>
      <c r="D76" s="0" t="n">
        <f aca="false">DAY(A76)</f>
        <v>4</v>
      </c>
      <c r="E76" s="0" t="n">
        <f aca="false">HOUR(A76)</f>
        <v>2</v>
      </c>
      <c r="F76" s="0" t="n">
        <f aca="false">IF(C76&gt;=6,0,1)</f>
        <v>1</v>
      </c>
      <c r="G76" s="0" t="n">
        <f aca="false">VLOOKUP(E76,Sheet1!$A$2:$B$25,2,0)</f>
        <v>0</v>
      </c>
    </row>
    <row r="77" customFormat="false" ht="15" hidden="false" customHeight="false" outlineLevel="0" collapsed="false">
      <c r="A77" s="11" t="n">
        <v>44565.125</v>
      </c>
      <c r="B77" s="0" t="n">
        <v>248.26</v>
      </c>
      <c r="C77" s="0" t="n">
        <f aca="false">WEEKDAY(A77,2)</f>
        <v>2</v>
      </c>
      <c r="D77" s="0" t="n">
        <f aca="false">DAY(A77)</f>
        <v>4</v>
      </c>
      <c r="E77" s="0" t="n">
        <f aca="false">HOUR(A77)</f>
        <v>3</v>
      </c>
      <c r="F77" s="0" t="n">
        <f aca="false">IF(C77&gt;=6,0,1)</f>
        <v>1</v>
      </c>
      <c r="G77" s="0" t="n">
        <f aca="false">VLOOKUP(E77,Sheet1!$A$2:$B$25,2,0)</f>
        <v>0</v>
      </c>
    </row>
    <row r="78" customFormat="false" ht="15" hidden="false" customHeight="false" outlineLevel="0" collapsed="false">
      <c r="A78" s="11" t="n">
        <v>44565.1666666667</v>
      </c>
      <c r="B78" s="0" t="n">
        <v>253.69</v>
      </c>
      <c r="C78" s="0" t="n">
        <f aca="false">WEEKDAY(A78,2)</f>
        <v>2</v>
      </c>
      <c r="D78" s="0" t="n">
        <f aca="false">DAY(A78)</f>
        <v>4</v>
      </c>
      <c r="E78" s="0" t="n">
        <f aca="false">HOUR(A78)</f>
        <v>4</v>
      </c>
      <c r="F78" s="0" t="n">
        <f aca="false">IF(C78&gt;=6,0,1)</f>
        <v>1</v>
      </c>
      <c r="G78" s="0" t="n">
        <f aca="false">VLOOKUP(E78,Sheet1!$A$2:$B$25,2,0)</f>
        <v>1</v>
      </c>
    </row>
    <row r="79" customFormat="false" ht="15" hidden="false" customHeight="false" outlineLevel="0" collapsed="false">
      <c r="A79" s="11" t="n">
        <v>44565.2083333333</v>
      </c>
      <c r="B79" s="0" t="n">
        <v>472.54</v>
      </c>
      <c r="C79" s="0" t="n">
        <f aca="false">WEEKDAY(A79,2)</f>
        <v>2</v>
      </c>
      <c r="D79" s="0" t="n">
        <f aca="false">DAY(A79)</f>
        <v>4</v>
      </c>
      <c r="E79" s="0" t="n">
        <f aca="false">HOUR(A79)</f>
        <v>5</v>
      </c>
      <c r="F79" s="0" t="n">
        <f aca="false">IF(C79&gt;=6,0,1)</f>
        <v>1</v>
      </c>
      <c r="G79" s="0" t="n">
        <f aca="false">VLOOKUP(E79,Sheet1!$A$2:$B$25,2,0)</f>
        <v>1</v>
      </c>
    </row>
    <row r="80" customFormat="false" ht="15" hidden="false" customHeight="false" outlineLevel="0" collapsed="false">
      <c r="A80" s="11" t="n">
        <v>44565.25</v>
      </c>
      <c r="B80" s="0" t="n">
        <v>566.18</v>
      </c>
      <c r="C80" s="0" t="n">
        <f aca="false">WEEKDAY(A80,2)</f>
        <v>2</v>
      </c>
      <c r="D80" s="0" t="n">
        <f aca="false">DAY(A80)</f>
        <v>4</v>
      </c>
      <c r="E80" s="0" t="n">
        <f aca="false">HOUR(A80)</f>
        <v>6</v>
      </c>
      <c r="F80" s="0" t="n">
        <f aca="false">IF(C80&gt;=6,0,1)</f>
        <v>1</v>
      </c>
      <c r="G80" s="0" t="n">
        <f aca="false">VLOOKUP(E80,Sheet1!$A$2:$B$25,2,0)</f>
        <v>1</v>
      </c>
    </row>
    <row r="81" customFormat="false" ht="15" hidden="false" customHeight="false" outlineLevel="0" collapsed="false">
      <c r="A81" s="11" t="n">
        <v>44565.2916666667</v>
      </c>
      <c r="B81" s="0" t="n">
        <v>562.62</v>
      </c>
      <c r="C81" s="0" t="n">
        <f aca="false">WEEKDAY(A81,2)</f>
        <v>2</v>
      </c>
      <c r="D81" s="0" t="n">
        <f aca="false">DAY(A81)</f>
        <v>4</v>
      </c>
      <c r="E81" s="0" t="n">
        <f aca="false">HOUR(A81)</f>
        <v>7</v>
      </c>
      <c r="F81" s="0" t="n">
        <f aca="false">IF(C81&gt;=6,0,1)</f>
        <v>1</v>
      </c>
      <c r="G81" s="0" t="n">
        <f aca="false">VLOOKUP(E81,Sheet1!$A$2:$B$25,2,0)</f>
        <v>1</v>
      </c>
    </row>
    <row r="82" customFormat="false" ht="15" hidden="false" customHeight="false" outlineLevel="0" collapsed="false">
      <c r="A82" s="11" t="n">
        <v>44565.3333333333</v>
      </c>
      <c r="B82" s="0" t="n">
        <v>526.93</v>
      </c>
      <c r="C82" s="0" t="n">
        <f aca="false">WEEKDAY(A82,2)</f>
        <v>2</v>
      </c>
      <c r="D82" s="0" t="n">
        <f aca="false">DAY(A82)</f>
        <v>4</v>
      </c>
      <c r="E82" s="0" t="n">
        <f aca="false">HOUR(A82)</f>
        <v>8</v>
      </c>
      <c r="F82" s="0" t="n">
        <f aca="false">IF(C82&gt;=6,0,1)</f>
        <v>1</v>
      </c>
      <c r="G82" s="0" t="n">
        <f aca="false">VLOOKUP(E82,Sheet1!$A$2:$B$25,2,0)</f>
        <v>1</v>
      </c>
    </row>
    <row r="83" customFormat="false" ht="15" hidden="false" customHeight="false" outlineLevel="0" collapsed="false">
      <c r="A83" s="11" t="n">
        <v>44565.375</v>
      </c>
      <c r="B83" s="0" t="n">
        <v>523.8</v>
      </c>
      <c r="C83" s="0" t="n">
        <f aca="false">WEEKDAY(A83,2)</f>
        <v>2</v>
      </c>
      <c r="D83" s="0" t="n">
        <f aca="false">DAY(A83)</f>
        <v>4</v>
      </c>
      <c r="E83" s="0" t="n">
        <f aca="false">HOUR(A83)</f>
        <v>9</v>
      </c>
      <c r="F83" s="0" t="n">
        <f aca="false">IF(C83&gt;=6,0,1)</f>
        <v>1</v>
      </c>
      <c r="G83" s="0" t="n">
        <f aca="false">VLOOKUP(E83,Sheet1!$A$2:$B$25,2,0)</f>
        <v>1</v>
      </c>
    </row>
    <row r="84" customFormat="false" ht="15" hidden="false" customHeight="false" outlineLevel="0" collapsed="false">
      <c r="A84" s="11" t="n">
        <v>44565.4166666667</v>
      </c>
      <c r="B84" s="0" t="n">
        <v>550.45</v>
      </c>
      <c r="C84" s="0" t="n">
        <f aca="false">WEEKDAY(A84,2)</f>
        <v>2</v>
      </c>
      <c r="D84" s="0" t="n">
        <f aca="false">DAY(A84)</f>
        <v>4</v>
      </c>
      <c r="E84" s="0" t="n">
        <f aca="false">HOUR(A84)</f>
        <v>10</v>
      </c>
      <c r="F84" s="0" t="n">
        <f aca="false">IF(C84&gt;=6,0,1)</f>
        <v>1</v>
      </c>
      <c r="G84" s="0" t="n">
        <f aca="false">VLOOKUP(E84,Sheet1!$A$2:$B$25,2,0)</f>
        <v>1</v>
      </c>
    </row>
    <row r="85" customFormat="false" ht="15" hidden="false" customHeight="false" outlineLevel="0" collapsed="false">
      <c r="A85" s="11" t="n">
        <v>44565.4583333333</v>
      </c>
      <c r="B85" s="0" t="n">
        <v>467.65</v>
      </c>
      <c r="C85" s="0" t="n">
        <f aca="false">WEEKDAY(A85,2)</f>
        <v>2</v>
      </c>
      <c r="D85" s="0" t="n">
        <f aca="false">DAY(A85)</f>
        <v>4</v>
      </c>
      <c r="E85" s="0" t="n">
        <f aca="false">HOUR(A85)</f>
        <v>11</v>
      </c>
      <c r="F85" s="0" t="n">
        <f aca="false">IF(C85&gt;=6,0,1)</f>
        <v>1</v>
      </c>
      <c r="G85" s="0" t="n">
        <f aca="false">VLOOKUP(E85,Sheet1!$A$2:$B$25,2,0)</f>
        <v>1</v>
      </c>
    </row>
    <row r="86" customFormat="false" ht="15" hidden="false" customHeight="false" outlineLevel="0" collapsed="false">
      <c r="A86" s="11" t="n">
        <v>44565.5</v>
      </c>
      <c r="B86" s="0" t="n">
        <v>367.93</v>
      </c>
      <c r="C86" s="0" t="n">
        <f aca="false">WEEKDAY(A86,2)</f>
        <v>2</v>
      </c>
      <c r="D86" s="0" t="n">
        <f aca="false">DAY(A86)</f>
        <v>4</v>
      </c>
      <c r="E86" s="0" t="n">
        <f aca="false">HOUR(A86)</f>
        <v>12</v>
      </c>
      <c r="F86" s="0" t="n">
        <f aca="false">IF(C86&gt;=6,0,1)</f>
        <v>1</v>
      </c>
      <c r="G86" s="0" t="n">
        <f aca="false">VLOOKUP(E86,Sheet1!$A$2:$B$25,2,0)</f>
        <v>1</v>
      </c>
    </row>
    <row r="87" customFormat="false" ht="15" hidden="false" customHeight="false" outlineLevel="0" collapsed="false">
      <c r="A87" s="11" t="n">
        <v>44565.5416666667</v>
      </c>
      <c r="B87" s="0" t="n">
        <v>366.03</v>
      </c>
      <c r="C87" s="0" t="n">
        <f aca="false">WEEKDAY(A87,2)</f>
        <v>2</v>
      </c>
      <c r="D87" s="0" t="n">
        <f aca="false">DAY(A87)</f>
        <v>4</v>
      </c>
      <c r="E87" s="0" t="n">
        <f aca="false">HOUR(A87)</f>
        <v>13</v>
      </c>
      <c r="F87" s="0" t="n">
        <f aca="false">IF(C87&gt;=6,0,1)</f>
        <v>1</v>
      </c>
      <c r="G87" s="0" t="n">
        <f aca="false">VLOOKUP(E87,Sheet1!$A$2:$B$25,2,0)</f>
        <v>1</v>
      </c>
    </row>
    <row r="88" customFormat="false" ht="15" hidden="false" customHeight="false" outlineLevel="0" collapsed="false">
      <c r="A88" s="11" t="n">
        <v>44565.5833333333</v>
      </c>
      <c r="B88" s="0" t="n">
        <v>365.31</v>
      </c>
      <c r="C88" s="0" t="n">
        <f aca="false">WEEKDAY(A88,2)</f>
        <v>2</v>
      </c>
      <c r="D88" s="0" t="n">
        <f aca="false">DAY(A88)</f>
        <v>4</v>
      </c>
      <c r="E88" s="0" t="n">
        <f aca="false">HOUR(A88)</f>
        <v>14</v>
      </c>
      <c r="F88" s="0" t="n">
        <f aca="false">IF(C88&gt;=6,0,1)</f>
        <v>1</v>
      </c>
      <c r="G88" s="0" t="n">
        <f aca="false">VLOOKUP(E88,Sheet1!$A$2:$B$25,2,0)</f>
        <v>1</v>
      </c>
    </row>
    <row r="89" customFormat="false" ht="15" hidden="false" customHeight="false" outlineLevel="0" collapsed="false">
      <c r="A89" s="11" t="n">
        <v>44565.625</v>
      </c>
      <c r="B89" s="0" t="n">
        <v>343.37</v>
      </c>
      <c r="C89" s="0" t="n">
        <f aca="false">WEEKDAY(A89,2)</f>
        <v>2</v>
      </c>
      <c r="D89" s="0" t="n">
        <f aca="false">DAY(A89)</f>
        <v>4</v>
      </c>
      <c r="E89" s="0" t="n">
        <f aca="false">HOUR(A89)</f>
        <v>15</v>
      </c>
      <c r="F89" s="0" t="n">
        <f aca="false">IF(C89&gt;=6,0,1)</f>
        <v>1</v>
      </c>
      <c r="G89" s="0" t="n">
        <f aca="false">VLOOKUP(E89,Sheet1!$A$2:$B$25,2,0)</f>
        <v>1</v>
      </c>
    </row>
    <row r="90" customFormat="false" ht="15" hidden="false" customHeight="false" outlineLevel="0" collapsed="false">
      <c r="A90" s="11" t="n">
        <v>44565.6666666667</v>
      </c>
      <c r="B90" s="0" t="n">
        <v>342.18</v>
      </c>
      <c r="C90" s="0" t="n">
        <f aca="false">WEEKDAY(A90,2)</f>
        <v>2</v>
      </c>
      <c r="D90" s="0" t="n">
        <f aca="false">DAY(A90)</f>
        <v>4</v>
      </c>
      <c r="E90" s="0" t="n">
        <f aca="false">HOUR(A90)</f>
        <v>16</v>
      </c>
      <c r="F90" s="0" t="n">
        <f aca="false">IF(C90&gt;=6,0,1)</f>
        <v>1</v>
      </c>
      <c r="G90" s="0" t="n">
        <f aca="false">VLOOKUP(E90,Sheet1!$A$2:$B$25,2,0)</f>
        <v>0</v>
      </c>
    </row>
    <row r="91" customFormat="false" ht="15" hidden="false" customHeight="false" outlineLevel="0" collapsed="false">
      <c r="A91" s="11" t="n">
        <v>44565.7083333333</v>
      </c>
      <c r="B91" s="0" t="n">
        <v>283.26</v>
      </c>
      <c r="C91" s="0" t="n">
        <f aca="false">WEEKDAY(A91,2)</f>
        <v>2</v>
      </c>
      <c r="D91" s="0" t="n">
        <f aca="false">DAY(A91)</f>
        <v>4</v>
      </c>
      <c r="E91" s="0" t="n">
        <f aca="false">HOUR(A91)</f>
        <v>17</v>
      </c>
      <c r="F91" s="0" t="n">
        <f aca="false">IF(C91&gt;=6,0,1)</f>
        <v>1</v>
      </c>
      <c r="G91" s="0" t="n">
        <f aca="false">VLOOKUP(E91,Sheet1!$A$2:$B$25,2,0)</f>
        <v>0</v>
      </c>
    </row>
    <row r="92" customFormat="false" ht="15" hidden="false" customHeight="false" outlineLevel="0" collapsed="false">
      <c r="A92" s="11" t="n">
        <v>44565.75</v>
      </c>
      <c r="B92" s="0" t="n">
        <v>264.24</v>
      </c>
      <c r="C92" s="0" t="n">
        <f aca="false">WEEKDAY(A92,2)</f>
        <v>2</v>
      </c>
      <c r="D92" s="0" t="n">
        <f aca="false">DAY(A92)</f>
        <v>4</v>
      </c>
      <c r="E92" s="0" t="n">
        <f aca="false">HOUR(A92)</f>
        <v>18</v>
      </c>
      <c r="F92" s="0" t="n">
        <f aca="false">IF(C92&gt;=6,0,1)</f>
        <v>1</v>
      </c>
      <c r="G92" s="0" t="n">
        <f aca="false">VLOOKUP(E92,Sheet1!$A$2:$B$25,2,0)</f>
        <v>0</v>
      </c>
    </row>
    <row r="93" customFormat="false" ht="15" hidden="false" customHeight="false" outlineLevel="0" collapsed="false">
      <c r="A93" s="11" t="n">
        <v>44565.7916666667</v>
      </c>
      <c r="B93" s="0" t="n">
        <v>252.65</v>
      </c>
      <c r="C93" s="0" t="n">
        <f aca="false">WEEKDAY(A93,2)</f>
        <v>2</v>
      </c>
      <c r="D93" s="0" t="n">
        <f aca="false">DAY(A93)</f>
        <v>4</v>
      </c>
      <c r="E93" s="0" t="n">
        <f aca="false">HOUR(A93)</f>
        <v>19</v>
      </c>
      <c r="F93" s="0" t="n">
        <f aca="false">IF(C93&gt;=6,0,1)</f>
        <v>1</v>
      </c>
      <c r="G93" s="0" t="n">
        <f aca="false">VLOOKUP(E93,Sheet1!$A$2:$B$25,2,0)</f>
        <v>0</v>
      </c>
    </row>
    <row r="94" customFormat="false" ht="15" hidden="false" customHeight="false" outlineLevel="0" collapsed="false">
      <c r="A94" s="11" t="n">
        <v>44565.8333333333</v>
      </c>
      <c r="B94" s="0" t="n">
        <v>249.43</v>
      </c>
      <c r="C94" s="0" t="n">
        <f aca="false">WEEKDAY(A94,2)</f>
        <v>2</v>
      </c>
      <c r="D94" s="0" t="n">
        <f aca="false">DAY(A94)</f>
        <v>4</v>
      </c>
      <c r="E94" s="0" t="n">
        <f aca="false">HOUR(A94)</f>
        <v>20</v>
      </c>
      <c r="F94" s="0" t="n">
        <f aca="false">IF(C94&gt;=6,0,1)</f>
        <v>1</v>
      </c>
      <c r="G94" s="0" t="n">
        <f aca="false">VLOOKUP(E94,Sheet1!$A$2:$B$25,2,0)</f>
        <v>0</v>
      </c>
    </row>
    <row r="95" customFormat="false" ht="15" hidden="false" customHeight="false" outlineLevel="0" collapsed="false">
      <c r="A95" s="11" t="n">
        <v>44565.875</v>
      </c>
      <c r="B95" s="0" t="n">
        <v>229.69</v>
      </c>
      <c r="C95" s="0" t="n">
        <f aca="false">WEEKDAY(A95,2)</f>
        <v>2</v>
      </c>
      <c r="D95" s="0" t="n">
        <f aca="false">DAY(A95)</f>
        <v>4</v>
      </c>
      <c r="E95" s="0" t="n">
        <f aca="false">HOUR(A95)</f>
        <v>21</v>
      </c>
      <c r="F95" s="0" t="n">
        <f aca="false">IF(C95&gt;=6,0,1)</f>
        <v>1</v>
      </c>
      <c r="G95" s="0" t="n">
        <f aca="false">VLOOKUP(E95,Sheet1!$A$2:$B$25,2,0)</f>
        <v>0</v>
      </c>
    </row>
    <row r="96" customFormat="false" ht="15" hidden="false" customHeight="false" outlineLevel="0" collapsed="false">
      <c r="A96" s="11" t="n">
        <v>44565.9166666667</v>
      </c>
      <c r="B96" s="0" t="n">
        <v>233.11</v>
      </c>
      <c r="C96" s="0" t="n">
        <f aca="false">WEEKDAY(A96,2)</f>
        <v>2</v>
      </c>
      <c r="D96" s="0" t="n">
        <f aca="false">DAY(A96)</f>
        <v>4</v>
      </c>
      <c r="E96" s="0" t="n">
        <f aca="false">HOUR(A96)</f>
        <v>22</v>
      </c>
      <c r="F96" s="0" t="n">
        <f aca="false">IF(C96&gt;=6,0,1)</f>
        <v>1</v>
      </c>
      <c r="G96" s="0" t="n">
        <f aca="false">VLOOKUP(E96,Sheet1!$A$2:$B$25,2,0)</f>
        <v>0</v>
      </c>
    </row>
    <row r="97" customFormat="false" ht="15" hidden="false" customHeight="false" outlineLevel="0" collapsed="false">
      <c r="A97" s="11" t="n">
        <v>44565.9583333333</v>
      </c>
      <c r="B97" s="0" t="n">
        <v>228.41</v>
      </c>
      <c r="C97" s="0" t="n">
        <f aca="false">WEEKDAY(A97,2)</f>
        <v>2</v>
      </c>
      <c r="D97" s="0" t="n">
        <f aca="false">DAY(A97)</f>
        <v>4</v>
      </c>
      <c r="E97" s="0" t="n">
        <f aca="false">HOUR(A97)</f>
        <v>23</v>
      </c>
      <c r="F97" s="0" t="n">
        <f aca="false">IF(C97&gt;=6,0,1)</f>
        <v>1</v>
      </c>
      <c r="G97" s="0" t="n">
        <f aca="false">VLOOKUP(E97,Sheet1!$A$2:$B$25,2,0)</f>
        <v>0</v>
      </c>
    </row>
    <row r="98" customFormat="false" ht="15" hidden="false" customHeight="false" outlineLevel="0" collapsed="false">
      <c r="A98" s="11" t="n">
        <v>44566</v>
      </c>
      <c r="B98" s="0" t="n">
        <v>237.23</v>
      </c>
      <c r="C98" s="0" t="n">
        <f aca="false">WEEKDAY(A98,2)</f>
        <v>3</v>
      </c>
      <c r="D98" s="0" t="n">
        <f aca="false">DAY(A98)</f>
        <v>5</v>
      </c>
      <c r="E98" s="0" t="n">
        <f aca="false">HOUR(A98)</f>
        <v>0</v>
      </c>
      <c r="F98" s="0" t="n">
        <f aca="false">IF(C98&gt;=6,0,1)</f>
        <v>1</v>
      </c>
      <c r="G98" s="0" t="n">
        <f aca="false">VLOOKUP(E98,Sheet1!$A$2:$B$25,2,0)</f>
        <v>0</v>
      </c>
    </row>
    <row r="99" customFormat="false" ht="15" hidden="false" customHeight="false" outlineLevel="0" collapsed="false">
      <c r="A99" s="11" t="n">
        <v>44566.0416666667</v>
      </c>
      <c r="B99" s="0" t="n">
        <v>227.7</v>
      </c>
      <c r="C99" s="0" t="n">
        <f aca="false">WEEKDAY(A99,2)</f>
        <v>3</v>
      </c>
      <c r="D99" s="0" t="n">
        <f aca="false">DAY(A99)</f>
        <v>5</v>
      </c>
      <c r="E99" s="0" t="n">
        <f aca="false">HOUR(A99)</f>
        <v>1</v>
      </c>
      <c r="F99" s="0" t="n">
        <f aca="false">IF(C99&gt;=6,0,1)</f>
        <v>1</v>
      </c>
      <c r="G99" s="0" t="n">
        <f aca="false">VLOOKUP(E99,Sheet1!$A$2:$B$25,2,0)</f>
        <v>0</v>
      </c>
    </row>
    <row r="100" customFormat="false" ht="15" hidden="false" customHeight="false" outlineLevel="0" collapsed="false">
      <c r="A100" s="11" t="n">
        <v>44566.0833333333</v>
      </c>
      <c r="B100" s="0" t="n">
        <v>234.36</v>
      </c>
      <c r="C100" s="0" t="n">
        <f aca="false">WEEKDAY(A100,2)</f>
        <v>3</v>
      </c>
      <c r="D100" s="0" t="n">
        <f aca="false">DAY(A100)</f>
        <v>5</v>
      </c>
      <c r="E100" s="0" t="n">
        <f aca="false">HOUR(A100)</f>
        <v>2</v>
      </c>
      <c r="F100" s="0" t="n">
        <f aca="false">IF(C100&gt;=6,0,1)</f>
        <v>1</v>
      </c>
      <c r="G100" s="0" t="n">
        <f aca="false">VLOOKUP(E100,Sheet1!$A$2:$B$25,2,0)</f>
        <v>0</v>
      </c>
    </row>
    <row r="101" customFormat="false" ht="15" hidden="false" customHeight="false" outlineLevel="0" collapsed="false">
      <c r="A101" s="11" t="n">
        <v>44566.125</v>
      </c>
      <c r="B101" s="0" t="n">
        <v>285.66</v>
      </c>
      <c r="C101" s="0" t="n">
        <f aca="false">WEEKDAY(A101,2)</f>
        <v>3</v>
      </c>
      <c r="D101" s="0" t="n">
        <f aca="false">DAY(A101)</f>
        <v>5</v>
      </c>
      <c r="E101" s="0" t="n">
        <f aca="false">HOUR(A101)</f>
        <v>3</v>
      </c>
      <c r="F101" s="0" t="n">
        <f aca="false">IF(C101&gt;=6,0,1)</f>
        <v>1</v>
      </c>
      <c r="G101" s="0" t="n">
        <f aca="false">VLOOKUP(E101,Sheet1!$A$2:$B$25,2,0)</f>
        <v>0</v>
      </c>
    </row>
    <row r="102" customFormat="false" ht="15" hidden="false" customHeight="false" outlineLevel="0" collapsed="false">
      <c r="A102" s="11" t="n">
        <v>44566.1666666667</v>
      </c>
      <c r="B102" s="0" t="n">
        <v>255.02</v>
      </c>
      <c r="C102" s="0" t="n">
        <f aca="false">WEEKDAY(A102,2)</f>
        <v>3</v>
      </c>
      <c r="D102" s="0" t="n">
        <f aca="false">DAY(A102)</f>
        <v>5</v>
      </c>
      <c r="E102" s="0" t="n">
        <f aca="false">HOUR(A102)</f>
        <v>4</v>
      </c>
      <c r="F102" s="0" t="n">
        <f aca="false">IF(C102&gt;=6,0,1)</f>
        <v>1</v>
      </c>
      <c r="G102" s="0" t="n">
        <f aca="false">VLOOKUP(E102,Sheet1!$A$2:$B$25,2,0)</f>
        <v>1</v>
      </c>
    </row>
    <row r="103" customFormat="false" ht="15" hidden="false" customHeight="false" outlineLevel="0" collapsed="false">
      <c r="A103" s="11" t="n">
        <v>44566.2083333333</v>
      </c>
      <c r="B103" s="0" t="n">
        <v>439.89</v>
      </c>
      <c r="C103" s="0" t="n">
        <f aca="false">WEEKDAY(A103,2)</f>
        <v>3</v>
      </c>
      <c r="D103" s="0" t="n">
        <f aca="false">DAY(A103)</f>
        <v>5</v>
      </c>
      <c r="E103" s="0" t="n">
        <f aca="false">HOUR(A103)</f>
        <v>5</v>
      </c>
      <c r="F103" s="0" t="n">
        <f aca="false">IF(C103&gt;=6,0,1)</f>
        <v>1</v>
      </c>
      <c r="G103" s="0" t="n">
        <f aca="false">VLOOKUP(E103,Sheet1!$A$2:$B$25,2,0)</f>
        <v>1</v>
      </c>
    </row>
    <row r="104" customFormat="false" ht="15" hidden="false" customHeight="false" outlineLevel="0" collapsed="false">
      <c r="A104" s="11" t="n">
        <v>44566.25</v>
      </c>
      <c r="B104" s="0" t="n">
        <v>696.82</v>
      </c>
      <c r="C104" s="0" t="n">
        <f aca="false">WEEKDAY(A104,2)</f>
        <v>3</v>
      </c>
      <c r="D104" s="0" t="n">
        <f aca="false">DAY(A104)</f>
        <v>5</v>
      </c>
      <c r="E104" s="0" t="n">
        <f aca="false">HOUR(A104)</f>
        <v>6</v>
      </c>
      <c r="F104" s="0" t="n">
        <f aca="false">IF(C104&gt;=6,0,1)</f>
        <v>1</v>
      </c>
      <c r="G104" s="0" t="n">
        <f aca="false">VLOOKUP(E104,Sheet1!$A$2:$B$25,2,0)</f>
        <v>1</v>
      </c>
    </row>
    <row r="105" customFormat="false" ht="15" hidden="false" customHeight="false" outlineLevel="0" collapsed="false">
      <c r="A105" s="11" t="n">
        <v>44566.2916666667</v>
      </c>
      <c r="B105" s="0" t="n">
        <v>695.64</v>
      </c>
      <c r="C105" s="0" t="n">
        <f aca="false">WEEKDAY(A105,2)</f>
        <v>3</v>
      </c>
      <c r="D105" s="0" t="n">
        <f aca="false">DAY(A105)</f>
        <v>5</v>
      </c>
      <c r="E105" s="0" t="n">
        <f aca="false">HOUR(A105)</f>
        <v>7</v>
      </c>
      <c r="F105" s="0" t="n">
        <f aca="false">IF(C105&gt;=6,0,1)</f>
        <v>1</v>
      </c>
      <c r="G105" s="0" t="n">
        <f aca="false">VLOOKUP(E105,Sheet1!$A$2:$B$25,2,0)</f>
        <v>1</v>
      </c>
    </row>
    <row r="106" customFormat="false" ht="15" hidden="false" customHeight="false" outlineLevel="0" collapsed="false">
      <c r="A106" s="11" t="n">
        <v>44566.3333333333</v>
      </c>
      <c r="B106" s="0" t="n">
        <v>643.89</v>
      </c>
      <c r="C106" s="0" t="n">
        <f aca="false">WEEKDAY(A106,2)</f>
        <v>3</v>
      </c>
      <c r="D106" s="0" t="n">
        <f aca="false">DAY(A106)</f>
        <v>5</v>
      </c>
      <c r="E106" s="0" t="n">
        <f aca="false">HOUR(A106)</f>
        <v>8</v>
      </c>
      <c r="F106" s="0" t="n">
        <f aca="false">IF(C106&gt;=6,0,1)</f>
        <v>1</v>
      </c>
      <c r="G106" s="0" t="n">
        <f aca="false">VLOOKUP(E106,Sheet1!$A$2:$B$25,2,0)</f>
        <v>1</v>
      </c>
    </row>
    <row r="107" customFormat="false" ht="15" hidden="false" customHeight="false" outlineLevel="0" collapsed="false">
      <c r="A107" s="11" t="n">
        <v>44566.375</v>
      </c>
      <c r="B107" s="0" t="n">
        <v>677.53</v>
      </c>
      <c r="C107" s="0" t="n">
        <f aca="false">WEEKDAY(A107,2)</f>
        <v>3</v>
      </c>
      <c r="D107" s="0" t="n">
        <f aca="false">DAY(A107)</f>
        <v>5</v>
      </c>
      <c r="E107" s="0" t="n">
        <f aca="false">HOUR(A107)</f>
        <v>9</v>
      </c>
      <c r="F107" s="0" t="n">
        <f aca="false">IF(C107&gt;=6,0,1)</f>
        <v>1</v>
      </c>
      <c r="G107" s="0" t="n">
        <f aca="false">VLOOKUP(E107,Sheet1!$A$2:$B$25,2,0)</f>
        <v>1</v>
      </c>
    </row>
    <row r="108" customFormat="false" ht="15" hidden="false" customHeight="false" outlineLevel="0" collapsed="false">
      <c r="A108" s="11" t="n">
        <v>44566.4166666667</v>
      </c>
      <c r="B108" s="0" t="n">
        <v>705.99</v>
      </c>
      <c r="C108" s="0" t="n">
        <f aca="false">WEEKDAY(A108,2)</f>
        <v>3</v>
      </c>
      <c r="D108" s="0" t="n">
        <f aca="false">DAY(A108)</f>
        <v>5</v>
      </c>
      <c r="E108" s="0" t="n">
        <f aca="false">HOUR(A108)</f>
        <v>10</v>
      </c>
      <c r="F108" s="0" t="n">
        <f aca="false">IF(C108&gt;=6,0,1)</f>
        <v>1</v>
      </c>
      <c r="G108" s="0" t="n">
        <f aca="false">VLOOKUP(E108,Sheet1!$A$2:$B$25,2,0)</f>
        <v>1</v>
      </c>
    </row>
    <row r="109" customFormat="false" ht="15" hidden="false" customHeight="false" outlineLevel="0" collapsed="false">
      <c r="A109" s="11" t="n">
        <v>44566.4583333333</v>
      </c>
      <c r="B109" s="0" t="n">
        <v>684.27</v>
      </c>
      <c r="C109" s="0" t="n">
        <f aca="false">WEEKDAY(A109,2)</f>
        <v>3</v>
      </c>
      <c r="D109" s="0" t="n">
        <f aca="false">DAY(A109)</f>
        <v>5</v>
      </c>
      <c r="E109" s="0" t="n">
        <f aca="false">HOUR(A109)</f>
        <v>11</v>
      </c>
      <c r="F109" s="0" t="n">
        <f aca="false">IF(C109&gt;=6,0,1)</f>
        <v>1</v>
      </c>
      <c r="G109" s="0" t="n">
        <f aca="false">VLOOKUP(E109,Sheet1!$A$2:$B$25,2,0)</f>
        <v>1</v>
      </c>
    </row>
    <row r="110" customFormat="false" ht="15" hidden="false" customHeight="false" outlineLevel="0" collapsed="false">
      <c r="A110" s="11" t="n">
        <v>44566.5</v>
      </c>
      <c r="B110" s="0" t="n">
        <v>637.7</v>
      </c>
      <c r="C110" s="0" t="n">
        <f aca="false">WEEKDAY(A110,2)</f>
        <v>3</v>
      </c>
      <c r="D110" s="0" t="n">
        <f aca="false">DAY(A110)</f>
        <v>5</v>
      </c>
      <c r="E110" s="0" t="n">
        <f aca="false">HOUR(A110)</f>
        <v>12</v>
      </c>
      <c r="F110" s="0" t="n">
        <f aca="false">IF(C110&gt;=6,0,1)</f>
        <v>1</v>
      </c>
      <c r="G110" s="0" t="n">
        <f aca="false">VLOOKUP(E110,Sheet1!$A$2:$B$25,2,0)</f>
        <v>1</v>
      </c>
    </row>
    <row r="111" customFormat="false" ht="15" hidden="false" customHeight="false" outlineLevel="0" collapsed="false">
      <c r="A111" s="11" t="n">
        <v>44566.5416666667</v>
      </c>
      <c r="B111" s="0" t="n">
        <v>484.82</v>
      </c>
      <c r="C111" s="0" t="n">
        <f aca="false">WEEKDAY(A111,2)</f>
        <v>3</v>
      </c>
      <c r="D111" s="0" t="n">
        <f aca="false">DAY(A111)</f>
        <v>5</v>
      </c>
      <c r="E111" s="0" t="n">
        <f aca="false">HOUR(A111)</f>
        <v>13</v>
      </c>
      <c r="F111" s="0" t="n">
        <f aca="false">IF(C111&gt;=6,0,1)</f>
        <v>1</v>
      </c>
      <c r="G111" s="0" t="n">
        <f aca="false">VLOOKUP(E111,Sheet1!$A$2:$B$25,2,0)</f>
        <v>1</v>
      </c>
    </row>
    <row r="112" customFormat="false" ht="15" hidden="false" customHeight="false" outlineLevel="0" collapsed="false">
      <c r="A112" s="11" t="n">
        <v>44566.5833333333</v>
      </c>
      <c r="B112" s="0" t="n">
        <v>360.72</v>
      </c>
      <c r="C112" s="0" t="n">
        <f aca="false">WEEKDAY(A112,2)</f>
        <v>3</v>
      </c>
      <c r="D112" s="0" t="n">
        <f aca="false">DAY(A112)</f>
        <v>5</v>
      </c>
      <c r="E112" s="0" t="n">
        <f aca="false">HOUR(A112)</f>
        <v>14</v>
      </c>
      <c r="F112" s="0" t="n">
        <f aca="false">IF(C112&gt;=6,0,1)</f>
        <v>1</v>
      </c>
      <c r="G112" s="0" t="n">
        <f aca="false">VLOOKUP(E112,Sheet1!$A$2:$B$25,2,0)</f>
        <v>1</v>
      </c>
    </row>
    <row r="113" customFormat="false" ht="15" hidden="false" customHeight="false" outlineLevel="0" collapsed="false">
      <c r="A113" s="11" t="n">
        <v>44566.625</v>
      </c>
      <c r="B113" s="0" t="n">
        <v>342.37</v>
      </c>
      <c r="C113" s="0" t="n">
        <f aca="false">WEEKDAY(A113,2)</f>
        <v>3</v>
      </c>
      <c r="D113" s="0" t="n">
        <f aca="false">DAY(A113)</f>
        <v>5</v>
      </c>
      <c r="E113" s="0" t="n">
        <f aca="false">HOUR(A113)</f>
        <v>15</v>
      </c>
      <c r="F113" s="0" t="n">
        <f aca="false">IF(C113&gt;=6,0,1)</f>
        <v>1</v>
      </c>
      <c r="G113" s="0" t="n">
        <f aca="false">VLOOKUP(E113,Sheet1!$A$2:$B$25,2,0)</f>
        <v>1</v>
      </c>
    </row>
    <row r="114" customFormat="false" ht="15" hidden="false" customHeight="false" outlineLevel="0" collapsed="false">
      <c r="A114" s="11" t="n">
        <v>44566.6666666667</v>
      </c>
      <c r="B114" s="0" t="n">
        <v>334.79</v>
      </c>
      <c r="C114" s="0" t="n">
        <f aca="false">WEEKDAY(A114,2)</f>
        <v>3</v>
      </c>
      <c r="D114" s="0" t="n">
        <f aca="false">DAY(A114)</f>
        <v>5</v>
      </c>
      <c r="E114" s="0" t="n">
        <f aca="false">HOUR(A114)</f>
        <v>16</v>
      </c>
      <c r="F114" s="0" t="n">
        <f aca="false">IF(C114&gt;=6,0,1)</f>
        <v>1</v>
      </c>
      <c r="G114" s="0" t="n">
        <f aca="false">VLOOKUP(E114,Sheet1!$A$2:$B$25,2,0)</f>
        <v>0</v>
      </c>
    </row>
    <row r="115" customFormat="false" ht="15" hidden="false" customHeight="false" outlineLevel="0" collapsed="false">
      <c r="A115" s="11" t="n">
        <v>44566.7083333333</v>
      </c>
      <c r="B115" s="0" t="n">
        <v>289.6</v>
      </c>
      <c r="C115" s="0" t="n">
        <f aca="false">WEEKDAY(A115,2)</f>
        <v>3</v>
      </c>
      <c r="D115" s="0" t="n">
        <f aca="false">DAY(A115)</f>
        <v>5</v>
      </c>
      <c r="E115" s="0" t="n">
        <f aca="false">HOUR(A115)</f>
        <v>17</v>
      </c>
      <c r="F115" s="0" t="n">
        <f aca="false">IF(C115&gt;=6,0,1)</f>
        <v>1</v>
      </c>
      <c r="G115" s="0" t="n">
        <f aca="false">VLOOKUP(E115,Sheet1!$A$2:$B$25,2,0)</f>
        <v>0</v>
      </c>
    </row>
    <row r="116" customFormat="false" ht="15" hidden="false" customHeight="false" outlineLevel="0" collapsed="false">
      <c r="A116" s="11" t="n">
        <v>44566.75</v>
      </c>
      <c r="B116" s="0" t="n">
        <v>283.88</v>
      </c>
      <c r="C116" s="0" t="n">
        <f aca="false">WEEKDAY(A116,2)</f>
        <v>3</v>
      </c>
      <c r="D116" s="0" t="n">
        <f aca="false">DAY(A116)</f>
        <v>5</v>
      </c>
      <c r="E116" s="0" t="n">
        <f aca="false">HOUR(A116)</f>
        <v>18</v>
      </c>
      <c r="F116" s="0" t="n">
        <f aca="false">IF(C116&gt;=6,0,1)</f>
        <v>1</v>
      </c>
      <c r="G116" s="0" t="n">
        <f aca="false">VLOOKUP(E116,Sheet1!$A$2:$B$25,2,0)</f>
        <v>0</v>
      </c>
    </row>
    <row r="117" customFormat="false" ht="15" hidden="false" customHeight="false" outlineLevel="0" collapsed="false">
      <c r="A117" s="11" t="n">
        <v>44566.7916666667</v>
      </c>
      <c r="B117" s="0" t="n">
        <v>264.44</v>
      </c>
      <c r="C117" s="0" t="n">
        <f aca="false">WEEKDAY(A117,2)</f>
        <v>3</v>
      </c>
      <c r="D117" s="0" t="n">
        <f aca="false">DAY(A117)</f>
        <v>5</v>
      </c>
      <c r="E117" s="0" t="n">
        <f aca="false">HOUR(A117)</f>
        <v>19</v>
      </c>
      <c r="F117" s="0" t="n">
        <f aca="false">IF(C117&gt;=6,0,1)</f>
        <v>1</v>
      </c>
      <c r="G117" s="0" t="n">
        <f aca="false">VLOOKUP(E117,Sheet1!$A$2:$B$25,2,0)</f>
        <v>0</v>
      </c>
    </row>
    <row r="118" customFormat="false" ht="15" hidden="false" customHeight="false" outlineLevel="0" collapsed="false">
      <c r="A118" s="11" t="n">
        <v>44566.8333333333</v>
      </c>
      <c r="B118" s="0" t="n">
        <v>256.11</v>
      </c>
      <c r="C118" s="0" t="n">
        <f aca="false">WEEKDAY(A118,2)</f>
        <v>3</v>
      </c>
      <c r="D118" s="0" t="n">
        <f aca="false">DAY(A118)</f>
        <v>5</v>
      </c>
      <c r="E118" s="0" t="n">
        <f aca="false">HOUR(A118)</f>
        <v>20</v>
      </c>
      <c r="F118" s="0" t="n">
        <f aca="false">IF(C118&gt;=6,0,1)</f>
        <v>1</v>
      </c>
      <c r="G118" s="0" t="n">
        <f aca="false">VLOOKUP(E118,Sheet1!$A$2:$B$25,2,0)</f>
        <v>0</v>
      </c>
    </row>
    <row r="119" customFormat="false" ht="15" hidden="false" customHeight="false" outlineLevel="0" collapsed="false">
      <c r="A119" s="11" t="n">
        <v>44566.875</v>
      </c>
      <c r="B119" s="0" t="n">
        <v>237.71</v>
      </c>
      <c r="C119" s="0" t="n">
        <f aca="false">WEEKDAY(A119,2)</f>
        <v>3</v>
      </c>
      <c r="D119" s="0" t="n">
        <f aca="false">DAY(A119)</f>
        <v>5</v>
      </c>
      <c r="E119" s="0" t="n">
        <f aca="false">HOUR(A119)</f>
        <v>21</v>
      </c>
      <c r="F119" s="0" t="n">
        <f aca="false">IF(C119&gt;=6,0,1)</f>
        <v>1</v>
      </c>
      <c r="G119" s="0" t="n">
        <f aca="false">VLOOKUP(E119,Sheet1!$A$2:$B$25,2,0)</f>
        <v>0</v>
      </c>
    </row>
    <row r="120" customFormat="false" ht="15" hidden="false" customHeight="false" outlineLevel="0" collapsed="false">
      <c r="A120" s="11" t="n">
        <v>44566.9166666667</v>
      </c>
      <c r="B120" s="0" t="n">
        <v>237.97</v>
      </c>
      <c r="C120" s="0" t="n">
        <f aca="false">WEEKDAY(A120,2)</f>
        <v>3</v>
      </c>
      <c r="D120" s="0" t="n">
        <f aca="false">DAY(A120)</f>
        <v>5</v>
      </c>
      <c r="E120" s="0" t="n">
        <f aca="false">HOUR(A120)</f>
        <v>22</v>
      </c>
      <c r="F120" s="0" t="n">
        <f aca="false">IF(C120&gt;=6,0,1)</f>
        <v>1</v>
      </c>
      <c r="G120" s="0" t="n">
        <f aca="false">VLOOKUP(E120,Sheet1!$A$2:$B$25,2,0)</f>
        <v>0</v>
      </c>
    </row>
    <row r="121" customFormat="false" ht="15" hidden="false" customHeight="false" outlineLevel="0" collapsed="false">
      <c r="A121" s="11" t="n">
        <v>44566.9583333333</v>
      </c>
      <c r="B121" s="0" t="n">
        <v>234.75</v>
      </c>
      <c r="C121" s="0" t="n">
        <f aca="false">WEEKDAY(A121,2)</f>
        <v>3</v>
      </c>
      <c r="D121" s="0" t="n">
        <f aca="false">DAY(A121)</f>
        <v>5</v>
      </c>
      <c r="E121" s="0" t="n">
        <f aca="false">HOUR(A121)</f>
        <v>23</v>
      </c>
      <c r="F121" s="0" t="n">
        <f aca="false">IF(C121&gt;=6,0,1)</f>
        <v>1</v>
      </c>
      <c r="G121" s="0" t="n">
        <f aca="false">VLOOKUP(E121,Sheet1!$A$2:$B$25,2,0)</f>
        <v>0</v>
      </c>
    </row>
    <row r="122" customFormat="false" ht="15" hidden="false" customHeight="false" outlineLevel="0" collapsed="false">
      <c r="A122" s="11" t="n">
        <v>44567</v>
      </c>
      <c r="B122" s="0" t="n">
        <v>237.82</v>
      </c>
      <c r="C122" s="0" t="n">
        <f aca="false">WEEKDAY(A122,2)</f>
        <v>4</v>
      </c>
      <c r="D122" s="0" t="n">
        <f aca="false">DAY(A122)</f>
        <v>6</v>
      </c>
      <c r="E122" s="0" t="n">
        <f aca="false">HOUR(A122)</f>
        <v>0</v>
      </c>
      <c r="F122" s="0" t="n">
        <f aca="false">IF(C122&gt;=6,0,1)</f>
        <v>1</v>
      </c>
      <c r="G122" s="0" t="n">
        <f aca="false">VLOOKUP(E122,Sheet1!$A$2:$B$25,2,0)</f>
        <v>0</v>
      </c>
    </row>
    <row r="123" customFormat="false" ht="15" hidden="false" customHeight="false" outlineLevel="0" collapsed="false">
      <c r="A123" s="11" t="n">
        <v>44567.0416666667</v>
      </c>
      <c r="B123" s="0" t="n">
        <v>234.74</v>
      </c>
      <c r="C123" s="0" t="n">
        <f aca="false">WEEKDAY(A123,2)</f>
        <v>4</v>
      </c>
      <c r="D123" s="0" t="n">
        <f aca="false">DAY(A123)</f>
        <v>6</v>
      </c>
      <c r="E123" s="0" t="n">
        <f aca="false">HOUR(A123)</f>
        <v>1</v>
      </c>
      <c r="F123" s="0" t="n">
        <f aca="false">IF(C123&gt;=6,0,1)</f>
        <v>1</v>
      </c>
      <c r="G123" s="0" t="n">
        <f aca="false">VLOOKUP(E123,Sheet1!$A$2:$B$25,2,0)</f>
        <v>0</v>
      </c>
    </row>
    <row r="124" customFormat="false" ht="15" hidden="false" customHeight="false" outlineLevel="0" collapsed="false">
      <c r="A124" s="11" t="n">
        <v>44567.0833333333</v>
      </c>
      <c r="B124" s="0" t="n">
        <v>247.54</v>
      </c>
      <c r="C124" s="0" t="n">
        <f aca="false">WEEKDAY(A124,2)</f>
        <v>4</v>
      </c>
      <c r="D124" s="0" t="n">
        <f aca="false">DAY(A124)</f>
        <v>6</v>
      </c>
      <c r="E124" s="0" t="n">
        <f aca="false">HOUR(A124)</f>
        <v>2</v>
      </c>
      <c r="F124" s="0" t="n">
        <f aca="false">IF(C124&gt;=6,0,1)</f>
        <v>1</v>
      </c>
      <c r="G124" s="0" t="n">
        <f aca="false">VLOOKUP(E124,Sheet1!$A$2:$B$25,2,0)</f>
        <v>0</v>
      </c>
    </row>
    <row r="125" customFormat="false" ht="15" hidden="false" customHeight="false" outlineLevel="0" collapsed="false">
      <c r="A125" s="11" t="n">
        <v>44567.125</v>
      </c>
      <c r="B125" s="0" t="n">
        <v>340.28</v>
      </c>
      <c r="C125" s="0" t="n">
        <f aca="false">WEEKDAY(A125,2)</f>
        <v>4</v>
      </c>
      <c r="D125" s="0" t="n">
        <f aca="false">DAY(A125)</f>
        <v>6</v>
      </c>
      <c r="E125" s="0" t="n">
        <f aca="false">HOUR(A125)</f>
        <v>3</v>
      </c>
      <c r="F125" s="0" t="n">
        <f aca="false">IF(C125&gt;=6,0,1)</f>
        <v>1</v>
      </c>
      <c r="G125" s="0" t="n">
        <f aca="false">VLOOKUP(E125,Sheet1!$A$2:$B$25,2,0)</f>
        <v>0</v>
      </c>
    </row>
    <row r="126" customFormat="false" ht="15" hidden="false" customHeight="false" outlineLevel="0" collapsed="false">
      <c r="A126" s="11" t="n">
        <v>44567.1666666667</v>
      </c>
      <c r="B126" s="0" t="n">
        <v>360.04</v>
      </c>
      <c r="C126" s="0" t="n">
        <f aca="false">WEEKDAY(A126,2)</f>
        <v>4</v>
      </c>
      <c r="D126" s="0" t="n">
        <f aca="false">DAY(A126)</f>
        <v>6</v>
      </c>
      <c r="E126" s="0" t="n">
        <f aca="false">HOUR(A126)</f>
        <v>4</v>
      </c>
      <c r="F126" s="0" t="n">
        <f aca="false">IF(C126&gt;=6,0,1)</f>
        <v>1</v>
      </c>
      <c r="G126" s="0" t="n">
        <f aca="false">VLOOKUP(E126,Sheet1!$A$2:$B$25,2,0)</f>
        <v>1</v>
      </c>
    </row>
    <row r="127" customFormat="false" ht="15" hidden="false" customHeight="false" outlineLevel="0" collapsed="false">
      <c r="A127" s="11" t="n">
        <v>44567.2083333333</v>
      </c>
      <c r="B127" s="0" t="n">
        <v>505.64</v>
      </c>
      <c r="C127" s="0" t="n">
        <f aca="false">WEEKDAY(A127,2)</f>
        <v>4</v>
      </c>
      <c r="D127" s="0" t="n">
        <f aca="false">DAY(A127)</f>
        <v>6</v>
      </c>
      <c r="E127" s="0" t="n">
        <f aca="false">HOUR(A127)</f>
        <v>5</v>
      </c>
      <c r="F127" s="0" t="n">
        <f aca="false">IF(C127&gt;=6,0,1)</f>
        <v>1</v>
      </c>
      <c r="G127" s="0" t="n">
        <f aca="false">VLOOKUP(E127,Sheet1!$A$2:$B$25,2,0)</f>
        <v>1</v>
      </c>
    </row>
    <row r="128" customFormat="false" ht="15" hidden="false" customHeight="false" outlineLevel="0" collapsed="false">
      <c r="A128" s="11" t="n">
        <v>44567.25</v>
      </c>
      <c r="B128" s="0" t="n">
        <v>753.66</v>
      </c>
      <c r="C128" s="0" t="n">
        <f aca="false">WEEKDAY(A128,2)</f>
        <v>4</v>
      </c>
      <c r="D128" s="0" t="n">
        <f aca="false">DAY(A128)</f>
        <v>6</v>
      </c>
      <c r="E128" s="0" t="n">
        <f aca="false">HOUR(A128)</f>
        <v>6</v>
      </c>
      <c r="F128" s="0" t="n">
        <f aca="false">IF(C128&gt;=6,0,1)</f>
        <v>1</v>
      </c>
      <c r="G128" s="0" t="n">
        <f aca="false">VLOOKUP(E128,Sheet1!$A$2:$B$25,2,0)</f>
        <v>1</v>
      </c>
    </row>
    <row r="129" customFormat="false" ht="15" hidden="false" customHeight="false" outlineLevel="0" collapsed="false">
      <c r="A129" s="11" t="n">
        <v>44567.2916666667</v>
      </c>
      <c r="B129" s="0" t="n">
        <v>700.9</v>
      </c>
      <c r="C129" s="0" t="n">
        <f aca="false">WEEKDAY(A129,2)</f>
        <v>4</v>
      </c>
      <c r="D129" s="0" t="n">
        <f aca="false">DAY(A129)</f>
        <v>6</v>
      </c>
      <c r="E129" s="0" t="n">
        <f aca="false">HOUR(A129)</f>
        <v>7</v>
      </c>
      <c r="F129" s="0" t="n">
        <f aca="false">IF(C129&gt;=6,0,1)</f>
        <v>1</v>
      </c>
      <c r="G129" s="0" t="n">
        <f aca="false">VLOOKUP(E129,Sheet1!$A$2:$B$25,2,0)</f>
        <v>1</v>
      </c>
    </row>
    <row r="130" customFormat="false" ht="15" hidden="false" customHeight="false" outlineLevel="0" collapsed="false">
      <c r="A130" s="11" t="n">
        <v>44567.3333333333</v>
      </c>
      <c r="B130" s="0" t="n">
        <v>749.92</v>
      </c>
      <c r="C130" s="0" t="n">
        <f aca="false">WEEKDAY(A130,2)</f>
        <v>4</v>
      </c>
      <c r="D130" s="0" t="n">
        <f aca="false">DAY(A130)</f>
        <v>6</v>
      </c>
      <c r="E130" s="0" t="n">
        <f aca="false">HOUR(A130)</f>
        <v>8</v>
      </c>
      <c r="F130" s="0" t="n">
        <f aca="false">IF(C130&gt;=6,0,1)</f>
        <v>1</v>
      </c>
      <c r="G130" s="0" t="n">
        <f aca="false">VLOOKUP(E130,Sheet1!$A$2:$B$25,2,0)</f>
        <v>1</v>
      </c>
    </row>
    <row r="131" customFormat="false" ht="15" hidden="false" customHeight="false" outlineLevel="0" collapsed="false">
      <c r="A131" s="11" t="n">
        <v>44567.375</v>
      </c>
      <c r="B131" s="0" t="n">
        <v>812.18</v>
      </c>
      <c r="C131" s="0" t="n">
        <f aca="false">WEEKDAY(A131,2)</f>
        <v>4</v>
      </c>
      <c r="D131" s="0" t="n">
        <f aca="false">DAY(A131)</f>
        <v>6</v>
      </c>
      <c r="E131" s="0" t="n">
        <f aca="false">HOUR(A131)</f>
        <v>9</v>
      </c>
      <c r="F131" s="0" t="n">
        <f aca="false">IF(C131&gt;=6,0,1)</f>
        <v>1</v>
      </c>
      <c r="G131" s="0" t="n">
        <f aca="false">VLOOKUP(E131,Sheet1!$A$2:$B$25,2,0)</f>
        <v>1</v>
      </c>
    </row>
    <row r="132" customFormat="false" ht="15" hidden="false" customHeight="false" outlineLevel="0" collapsed="false">
      <c r="A132" s="11" t="n">
        <v>44567.4166666667</v>
      </c>
      <c r="B132" s="0" t="n">
        <v>740.35</v>
      </c>
      <c r="C132" s="0" t="n">
        <f aca="false">WEEKDAY(A132,2)</f>
        <v>4</v>
      </c>
      <c r="D132" s="0" t="n">
        <f aca="false">DAY(A132)</f>
        <v>6</v>
      </c>
      <c r="E132" s="0" t="n">
        <f aca="false">HOUR(A132)</f>
        <v>10</v>
      </c>
      <c r="F132" s="0" t="n">
        <f aca="false">IF(C132&gt;=6,0,1)</f>
        <v>1</v>
      </c>
      <c r="G132" s="0" t="n">
        <f aca="false">VLOOKUP(E132,Sheet1!$A$2:$B$25,2,0)</f>
        <v>1</v>
      </c>
    </row>
    <row r="133" customFormat="false" ht="15" hidden="false" customHeight="false" outlineLevel="0" collapsed="false">
      <c r="A133" s="11" t="n">
        <v>44567.4583333333</v>
      </c>
      <c r="B133" s="0" t="n">
        <v>582.64</v>
      </c>
      <c r="C133" s="0" t="n">
        <f aca="false">WEEKDAY(A133,2)</f>
        <v>4</v>
      </c>
      <c r="D133" s="0" t="n">
        <f aca="false">DAY(A133)</f>
        <v>6</v>
      </c>
      <c r="E133" s="0" t="n">
        <f aca="false">HOUR(A133)</f>
        <v>11</v>
      </c>
      <c r="F133" s="0" t="n">
        <f aca="false">IF(C133&gt;=6,0,1)</f>
        <v>1</v>
      </c>
      <c r="G133" s="0" t="n">
        <f aca="false">VLOOKUP(E133,Sheet1!$A$2:$B$25,2,0)</f>
        <v>1</v>
      </c>
    </row>
    <row r="134" customFormat="false" ht="15" hidden="false" customHeight="false" outlineLevel="0" collapsed="false">
      <c r="A134" s="11" t="n">
        <v>44567.5</v>
      </c>
      <c r="B134" s="0" t="n">
        <v>568.02</v>
      </c>
      <c r="C134" s="0" t="n">
        <f aca="false">WEEKDAY(A134,2)</f>
        <v>4</v>
      </c>
      <c r="D134" s="0" t="n">
        <f aca="false">DAY(A134)</f>
        <v>6</v>
      </c>
      <c r="E134" s="0" t="n">
        <f aca="false">HOUR(A134)</f>
        <v>12</v>
      </c>
      <c r="F134" s="0" t="n">
        <f aca="false">IF(C134&gt;=6,0,1)</f>
        <v>1</v>
      </c>
      <c r="G134" s="0" t="n">
        <f aca="false">VLOOKUP(E134,Sheet1!$A$2:$B$25,2,0)</f>
        <v>1</v>
      </c>
    </row>
    <row r="135" customFormat="false" ht="15" hidden="false" customHeight="false" outlineLevel="0" collapsed="false">
      <c r="A135" s="11" t="n">
        <v>44567.5416666667</v>
      </c>
      <c r="B135" s="0" t="n">
        <v>538.6</v>
      </c>
      <c r="C135" s="0" t="n">
        <f aca="false">WEEKDAY(A135,2)</f>
        <v>4</v>
      </c>
      <c r="D135" s="0" t="n">
        <f aca="false">DAY(A135)</f>
        <v>6</v>
      </c>
      <c r="E135" s="0" t="n">
        <f aca="false">HOUR(A135)</f>
        <v>13</v>
      </c>
      <c r="F135" s="0" t="n">
        <f aca="false">IF(C135&gt;=6,0,1)</f>
        <v>1</v>
      </c>
      <c r="G135" s="0" t="n">
        <f aca="false">VLOOKUP(E135,Sheet1!$A$2:$B$25,2,0)</f>
        <v>1</v>
      </c>
    </row>
    <row r="136" customFormat="false" ht="15" hidden="false" customHeight="false" outlineLevel="0" collapsed="false">
      <c r="A136" s="11" t="n">
        <v>44567.5833333333</v>
      </c>
      <c r="B136" s="0" t="n">
        <v>517.7</v>
      </c>
      <c r="C136" s="0" t="n">
        <f aca="false">WEEKDAY(A136,2)</f>
        <v>4</v>
      </c>
      <c r="D136" s="0" t="n">
        <f aca="false">DAY(A136)</f>
        <v>6</v>
      </c>
      <c r="E136" s="0" t="n">
        <f aca="false">HOUR(A136)</f>
        <v>14</v>
      </c>
      <c r="F136" s="0" t="n">
        <f aca="false">IF(C136&gt;=6,0,1)</f>
        <v>1</v>
      </c>
      <c r="G136" s="0" t="n">
        <f aca="false">VLOOKUP(E136,Sheet1!$A$2:$B$25,2,0)</f>
        <v>1</v>
      </c>
    </row>
    <row r="137" customFormat="false" ht="15" hidden="false" customHeight="false" outlineLevel="0" collapsed="false">
      <c r="A137" s="11" t="n">
        <v>44567.625</v>
      </c>
      <c r="B137" s="0" t="n">
        <v>525.99</v>
      </c>
      <c r="C137" s="0" t="n">
        <f aca="false">WEEKDAY(A137,2)</f>
        <v>4</v>
      </c>
      <c r="D137" s="0" t="n">
        <f aca="false">DAY(A137)</f>
        <v>6</v>
      </c>
      <c r="E137" s="0" t="n">
        <f aca="false">HOUR(A137)</f>
        <v>15</v>
      </c>
      <c r="F137" s="0" t="n">
        <f aca="false">IF(C137&gt;=6,0,1)</f>
        <v>1</v>
      </c>
      <c r="G137" s="0" t="n">
        <f aca="false">VLOOKUP(E137,Sheet1!$A$2:$B$25,2,0)</f>
        <v>1</v>
      </c>
    </row>
    <row r="138" customFormat="false" ht="15" hidden="false" customHeight="false" outlineLevel="0" collapsed="false">
      <c r="A138" s="11" t="n">
        <v>44567.6666666667</v>
      </c>
      <c r="B138" s="0" t="n">
        <v>375.2</v>
      </c>
      <c r="C138" s="0" t="n">
        <f aca="false">WEEKDAY(A138,2)</f>
        <v>4</v>
      </c>
      <c r="D138" s="0" t="n">
        <f aca="false">DAY(A138)</f>
        <v>6</v>
      </c>
      <c r="E138" s="0" t="n">
        <f aca="false">HOUR(A138)</f>
        <v>16</v>
      </c>
      <c r="F138" s="0" t="n">
        <f aca="false">IF(C138&gt;=6,0,1)</f>
        <v>1</v>
      </c>
      <c r="G138" s="0" t="n">
        <f aca="false">VLOOKUP(E138,Sheet1!$A$2:$B$25,2,0)</f>
        <v>0</v>
      </c>
    </row>
    <row r="139" customFormat="false" ht="15" hidden="false" customHeight="false" outlineLevel="0" collapsed="false">
      <c r="A139" s="11" t="n">
        <v>44567.7083333333</v>
      </c>
      <c r="B139" s="0" t="n">
        <v>296.61</v>
      </c>
      <c r="C139" s="0" t="n">
        <f aca="false">WEEKDAY(A139,2)</f>
        <v>4</v>
      </c>
      <c r="D139" s="0" t="n">
        <f aca="false">DAY(A139)</f>
        <v>6</v>
      </c>
      <c r="E139" s="0" t="n">
        <f aca="false">HOUR(A139)</f>
        <v>17</v>
      </c>
      <c r="F139" s="0" t="n">
        <f aca="false">IF(C139&gt;=6,0,1)</f>
        <v>1</v>
      </c>
      <c r="G139" s="0" t="n">
        <f aca="false">VLOOKUP(E139,Sheet1!$A$2:$B$25,2,0)</f>
        <v>0</v>
      </c>
    </row>
    <row r="140" customFormat="false" ht="15" hidden="false" customHeight="false" outlineLevel="0" collapsed="false">
      <c r="A140" s="11" t="n">
        <v>44567.75</v>
      </c>
      <c r="B140" s="0" t="n">
        <v>286.29</v>
      </c>
      <c r="C140" s="0" t="n">
        <f aca="false">WEEKDAY(A140,2)</f>
        <v>4</v>
      </c>
      <c r="D140" s="0" t="n">
        <f aca="false">DAY(A140)</f>
        <v>6</v>
      </c>
      <c r="E140" s="0" t="n">
        <f aca="false">HOUR(A140)</f>
        <v>18</v>
      </c>
      <c r="F140" s="0" t="n">
        <f aca="false">IF(C140&gt;=6,0,1)</f>
        <v>1</v>
      </c>
      <c r="G140" s="0" t="n">
        <f aca="false">VLOOKUP(E140,Sheet1!$A$2:$B$25,2,0)</f>
        <v>0</v>
      </c>
    </row>
    <row r="141" customFormat="false" ht="15" hidden="false" customHeight="false" outlineLevel="0" collapsed="false">
      <c r="A141" s="11" t="n">
        <v>44567.7916666667</v>
      </c>
      <c r="B141" s="0" t="n">
        <v>279.68</v>
      </c>
      <c r="C141" s="0" t="n">
        <f aca="false">WEEKDAY(A141,2)</f>
        <v>4</v>
      </c>
      <c r="D141" s="0" t="n">
        <f aca="false">DAY(A141)</f>
        <v>6</v>
      </c>
      <c r="E141" s="0" t="n">
        <f aca="false">HOUR(A141)</f>
        <v>19</v>
      </c>
      <c r="F141" s="0" t="n">
        <f aca="false">IF(C141&gt;=6,0,1)</f>
        <v>1</v>
      </c>
      <c r="G141" s="0" t="n">
        <f aca="false">VLOOKUP(E141,Sheet1!$A$2:$B$25,2,0)</f>
        <v>0</v>
      </c>
    </row>
    <row r="142" customFormat="false" ht="15" hidden="false" customHeight="false" outlineLevel="0" collapsed="false">
      <c r="A142" s="11" t="n">
        <v>44567.8333333333</v>
      </c>
      <c r="B142" s="0" t="n">
        <v>265.29</v>
      </c>
      <c r="C142" s="0" t="n">
        <f aca="false">WEEKDAY(A142,2)</f>
        <v>4</v>
      </c>
      <c r="D142" s="0" t="n">
        <f aca="false">DAY(A142)</f>
        <v>6</v>
      </c>
      <c r="E142" s="0" t="n">
        <f aca="false">HOUR(A142)</f>
        <v>20</v>
      </c>
      <c r="F142" s="0" t="n">
        <f aca="false">IF(C142&gt;=6,0,1)</f>
        <v>1</v>
      </c>
      <c r="G142" s="0" t="n">
        <f aca="false">VLOOKUP(E142,Sheet1!$A$2:$B$25,2,0)</f>
        <v>0</v>
      </c>
    </row>
    <row r="143" customFormat="false" ht="15" hidden="false" customHeight="false" outlineLevel="0" collapsed="false">
      <c r="A143" s="11" t="n">
        <v>44567.875</v>
      </c>
      <c r="B143" s="0" t="n">
        <v>242.17</v>
      </c>
      <c r="C143" s="0" t="n">
        <f aca="false">WEEKDAY(A143,2)</f>
        <v>4</v>
      </c>
      <c r="D143" s="0" t="n">
        <f aca="false">DAY(A143)</f>
        <v>6</v>
      </c>
      <c r="E143" s="0" t="n">
        <f aca="false">HOUR(A143)</f>
        <v>21</v>
      </c>
      <c r="F143" s="0" t="n">
        <f aca="false">IF(C143&gt;=6,0,1)</f>
        <v>1</v>
      </c>
      <c r="G143" s="0" t="n">
        <f aca="false">VLOOKUP(E143,Sheet1!$A$2:$B$25,2,0)</f>
        <v>0</v>
      </c>
    </row>
    <row r="144" customFormat="false" ht="15" hidden="false" customHeight="false" outlineLevel="0" collapsed="false">
      <c r="A144" s="11" t="n">
        <v>44567.9166666667</v>
      </c>
      <c r="B144" s="0" t="n">
        <v>245.12</v>
      </c>
      <c r="C144" s="0" t="n">
        <f aca="false">WEEKDAY(A144,2)</f>
        <v>4</v>
      </c>
      <c r="D144" s="0" t="n">
        <f aca="false">DAY(A144)</f>
        <v>6</v>
      </c>
      <c r="E144" s="0" t="n">
        <f aca="false">HOUR(A144)</f>
        <v>22</v>
      </c>
      <c r="F144" s="0" t="n">
        <f aca="false">IF(C144&gt;=6,0,1)</f>
        <v>1</v>
      </c>
      <c r="G144" s="0" t="n">
        <f aca="false">VLOOKUP(E144,Sheet1!$A$2:$B$25,2,0)</f>
        <v>0</v>
      </c>
    </row>
    <row r="145" customFormat="false" ht="15" hidden="false" customHeight="false" outlineLevel="0" collapsed="false">
      <c r="A145" s="11" t="n">
        <v>44567.9583333333</v>
      </c>
      <c r="B145" s="0" t="n">
        <v>237.67</v>
      </c>
      <c r="C145" s="0" t="n">
        <f aca="false">WEEKDAY(A145,2)</f>
        <v>4</v>
      </c>
      <c r="D145" s="0" t="n">
        <f aca="false">DAY(A145)</f>
        <v>6</v>
      </c>
      <c r="E145" s="0" t="n">
        <f aca="false">HOUR(A145)</f>
        <v>23</v>
      </c>
      <c r="F145" s="0" t="n">
        <f aca="false">IF(C145&gt;=6,0,1)</f>
        <v>1</v>
      </c>
      <c r="G145" s="0" t="n">
        <f aca="false">VLOOKUP(E145,Sheet1!$A$2:$B$25,2,0)</f>
        <v>0</v>
      </c>
    </row>
    <row r="146" customFormat="false" ht="15" hidden="false" customHeight="false" outlineLevel="0" collapsed="false">
      <c r="A146" s="11" t="n">
        <v>44568</v>
      </c>
      <c r="B146" s="0" t="n">
        <v>237.76</v>
      </c>
      <c r="C146" s="0" t="n">
        <f aca="false">WEEKDAY(A146,2)</f>
        <v>5</v>
      </c>
      <c r="D146" s="0" t="n">
        <f aca="false">DAY(A146)</f>
        <v>7</v>
      </c>
      <c r="E146" s="0" t="n">
        <f aca="false">HOUR(A146)</f>
        <v>0</v>
      </c>
      <c r="F146" s="0" t="n">
        <f aca="false">IF(C146&gt;=6,0,1)</f>
        <v>1</v>
      </c>
      <c r="G146" s="0" t="n">
        <f aca="false">VLOOKUP(E146,Sheet1!$A$2:$B$25,2,0)</f>
        <v>0</v>
      </c>
    </row>
    <row r="147" customFormat="false" ht="15" hidden="false" customHeight="false" outlineLevel="0" collapsed="false">
      <c r="A147" s="11" t="n">
        <v>44568.0416666667</v>
      </c>
      <c r="B147" s="0" t="n">
        <v>248.85</v>
      </c>
      <c r="C147" s="0" t="n">
        <f aca="false">WEEKDAY(A147,2)</f>
        <v>5</v>
      </c>
      <c r="D147" s="0" t="n">
        <f aca="false">DAY(A147)</f>
        <v>7</v>
      </c>
      <c r="E147" s="0" t="n">
        <f aca="false">HOUR(A147)</f>
        <v>1</v>
      </c>
      <c r="F147" s="0" t="n">
        <f aca="false">IF(C147&gt;=6,0,1)</f>
        <v>1</v>
      </c>
      <c r="G147" s="0" t="n">
        <f aca="false">VLOOKUP(E147,Sheet1!$A$2:$B$25,2,0)</f>
        <v>0</v>
      </c>
    </row>
    <row r="148" customFormat="false" ht="15" hidden="false" customHeight="false" outlineLevel="0" collapsed="false">
      <c r="A148" s="11" t="n">
        <v>44568.0833333333</v>
      </c>
      <c r="B148" s="0" t="n">
        <v>237.75</v>
      </c>
      <c r="C148" s="0" t="n">
        <f aca="false">WEEKDAY(A148,2)</f>
        <v>5</v>
      </c>
      <c r="D148" s="0" t="n">
        <f aca="false">DAY(A148)</f>
        <v>7</v>
      </c>
      <c r="E148" s="0" t="n">
        <f aca="false">HOUR(A148)</f>
        <v>2</v>
      </c>
      <c r="F148" s="0" t="n">
        <f aca="false">IF(C148&gt;=6,0,1)</f>
        <v>1</v>
      </c>
      <c r="G148" s="0" t="n">
        <f aca="false">VLOOKUP(E148,Sheet1!$A$2:$B$25,2,0)</f>
        <v>0</v>
      </c>
    </row>
    <row r="149" customFormat="false" ht="15" hidden="false" customHeight="false" outlineLevel="0" collapsed="false">
      <c r="A149" s="11" t="n">
        <v>44568.125</v>
      </c>
      <c r="B149" s="0" t="n">
        <v>244.54</v>
      </c>
      <c r="C149" s="0" t="n">
        <f aca="false">WEEKDAY(A149,2)</f>
        <v>5</v>
      </c>
      <c r="D149" s="0" t="n">
        <f aca="false">DAY(A149)</f>
        <v>7</v>
      </c>
      <c r="E149" s="0" t="n">
        <f aca="false">HOUR(A149)</f>
        <v>3</v>
      </c>
      <c r="F149" s="0" t="n">
        <f aca="false">IF(C149&gt;=6,0,1)</f>
        <v>1</v>
      </c>
      <c r="G149" s="0" t="n">
        <f aca="false">VLOOKUP(E149,Sheet1!$A$2:$B$25,2,0)</f>
        <v>0</v>
      </c>
    </row>
    <row r="150" customFormat="false" ht="15" hidden="false" customHeight="false" outlineLevel="0" collapsed="false">
      <c r="A150" s="11" t="n">
        <v>44568.1666666667</v>
      </c>
      <c r="B150" s="0" t="n">
        <v>255.51</v>
      </c>
      <c r="C150" s="0" t="n">
        <f aca="false">WEEKDAY(A150,2)</f>
        <v>5</v>
      </c>
      <c r="D150" s="0" t="n">
        <f aca="false">DAY(A150)</f>
        <v>7</v>
      </c>
      <c r="E150" s="0" t="n">
        <f aca="false">HOUR(A150)</f>
        <v>4</v>
      </c>
      <c r="F150" s="0" t="n">
        <f aca="false">IF(C150&gt;=6,0,1)</f>
        <v>1</v>
      </c>
      <c r="G150" s="0" t="n">
        <f aca="false">VLOOKUP(E150,Sheet1!$A$2:$B$25,2,0)</f>
        <v>1</v>
      </c>
    </row>
    <row r="151" customFormat="false" ht="15" hidden="false" customHeight="false" outlineLevel="0" collapsed="false">
      <c r="A151" s="11" t="n">
        <v>44568.2083333333</v>
      </c>
      <c r="B151" s="0" t="n">
        <v>325.3</v>
      </c>
      <c r="C151" s="0" t="n">
        <f aca="false">WEEKDAY(A151,2)</f>
        <v>5</v>
      </c>
      <c r="D151" s="0" t="n">
        <f aca="false">DAY(A151)</f>
        <v>7</v>
      </c>
      <c r="E151" s="0" t="n">
        <f aca="false">HOUR(A151)</f>
        <v>5</v>
      </c>
      <c r="F151" s="0" t="n">
        <f aca="false">IF(C151&gt;=6,0,1)</f>
        <v>1</v>
      </c>
      <c r="G151" s="0" t="n">
        <f aca="false">VLOOKUP(E151,Sheet1!$A$2:$B$25,2,0)</f>
        <v>1</v>
      </c>
    </row>
    <row r="152" customFormat="false" ht="15" hidden="false" customHeight="false" outlineLevel="0" collapsed="false">
      <c r="A152" s="11" t="n">
        <v>44568.25</v>
      </c>
      <c r="B152" s="0" t="n">
        <v>851.41</v>
      </c>
      <c r="C152" s="0" t="n">
        <f aca="false">WEEKDAY(A152,2)</f>
        <v>5</v>
      </c>
      <c r="D152" s="0" t="n">
        <f aca="false">DAY(A152)</f>
        <v>7</v>
      </c>
      <c r="E152" s="0" t="n">
        <f aca="false">HOUR(A152)</f>
        <v>6</v>
      </c>
      <c r="F152" s="0" t="n">
        <f aca="false">IF(C152&gt;=6,0,1)</f>
        <v>1</v>
      </c>
      <c r="G152" s="0" t="n">
        <f aca="false">VLOOKUP(E152,Sheet1!$A$2:$B$25,2,0)</f>
        <v>1</v>
      </c>
    </row>
    <row r="153" customFormat="false" ht="15" hidden="false" customHeight="false" outlineLevel="0" collapsed="false">
      <c r="A153" s="11" t="n">
        <v>44568.2916666667</v>
      </c>
      <c r="B153" s="0" t="n">
        <v>868.38</v>
      </c>
      <c r="C153" s="0" t="n">
        <f aca="false">WEEKDAY(A153,2)</f>
        <v>5</v>
      </c>
      <c r="D153" s="0" t="n">
        <f aca="false">DAY(A153)</f>
        <v>7</v>
      </c>
      <c r="E153" s="0" t="n">
        <f aca="false">HOUR(A153)</f>
        <v>7</v>
      </c>
      <c r="F153" s="0" t="n">
        <f aca="false">IF(C153&gt;=6,0,1)</f>
        <v>1</v>
      </c>
      <c r="G153" s="0" t="n">
        <f aca="false">VLOOKUP(E153,Sheet1!$A$2:$B$25,2,0)</f>
        <v>1</v>
      </c>
    </row>
    <row r="154" customFormat="false" ht="15" hidden="false" customHeight="false" outlineLevel="0" collapsed="false">
      <c r="A154" s="11" t="n">
        <v>44568.3333333333</v>
      </c>
      <c r="B154" s="0" t="n">
        <v>922.6</v>
      </c>
      <c r="C154" s="0" t="n">
        <f aca="false">WEEKDAY(A154,2)</f>
        <v>5</v>
      </c>
      <c r="D154" s="0" t="n">
        <f aca="false">DAY(A154)</f>
        <v>7</v>
      </c>
      <c r="E154" s="0" t="n">
        <f aca="false">HOUR(A154)</f>
        <v>8</v>
      </c>
      <c r="F154" s="0" t="n">
        <f aca="false">IF(C154&gt;=6,0,1)</f>
        <v>1</v>
      </c>
      <c r="G154" s="0" t="n">
        <f aca="false">VLOOKUP(E154,Sheet1!$A$2:$B$25,2,0)</f>
        <v>1</v>
      </c>
    </row>
    <row r="155" customFormat="false" ht="15" hidden="false" customHeight="false" outlineLevel="0" collapsed="false">
      <c r="A155" s="11" t="n">
        <v>44568.375</v>
      </c>
      <c r="B155" s="0" t="n">
        <v>963.8</v>
      </c>
      <c r="C155" s="0" t="n">
        <f aca="false">WEEKDAY(A155,2)</f>
        <v>5</v>
      </c>
      <c r="D155" s="0" t="n">
        <f aca="false">DAY(A155)</f>
        <v>7</v>
      </c>
      <c r="E155" s="0" t="n">
        <f aca="false">HOUR(A155)</f>
        <v>9</v>
      </c>
      <c r="F155" s="0" t="n">
        <f aca="false">IF(C155&gt;=6,0,1)</f>
        <v>1</v>
      </c>
      <c r="G155" s="0" t="n">
        <f aca="false">VLOOKUP(E155,Sheet1!$A$2:$B$25,2,0)</f>
        <v>1</v>
      </c>
    </row>
    <row r="156" customFormat="false" ht="15" hidden="false" customHeight="false" outlineLevel="0" collapsed="false">
      <c r="A156" s="11" t="n">
        <v>44568.4166666667</v>
      </c>
      <c r="B156" s="0" t="n">
        <v>957.33</v>
      </c>
      <c r="C156" s="0" t="n">
        <f aca="false">WEEKDAY(A156,2)</f>
        <v>5</v>
      </c>
      <c r="D156" s="0" t="n">
        <f aca="false">DAY(A156)</f>
        <v>7</v>
      </c>
      <c r="E156" s="0" t="n">
        <f aca="false">HOUR(A156)</f>
        <v>10</v>
      </c>
      <c r="F156" s="0" t="n">
        <f aca="false">IF(C156&gt;=6,0,1)</f>
        <v>1</v>
      </c>
      <c r="G156" s="0" t="n">
        <f aca="false">VLOOKUP(E156,Sheet1!$A$2:$B$25,2,0)</f>
        <v>1</v>
      </c>
    </row>
    <row r="157" customFormat="false" ht="15" hidden="false" customHeight="false" outlineLevel="0" collapsed="false">
      <c r="A157" s="11" t="n">
        <v>44568.4583333333</v>
      </c>
      <c r="B157" s="0" t="n">
        <v>933.97</v>
      </c>
      <c r="C157" s="0" t="n">
        <f aca="false">WEEKDAY(A157,2)</f>
        <v>5</v>
      </c>
      <c r="D157" s="0" t="n">
        <f aca="false">DAY(A157)</f>
        <v>7</v>
      </c>
      <c r="E157" s="0" t="n">
        <f aca="false">HOUR(A157)</f>
        <v>11</v>
      </c>
      <c r="F157" s="0" t="n">
        <f aca="false">IF(C157&gt;=6,0,1)</f>
        <v>1</v>
      </c>
      <c r="G157" s="0" t="n">
        <f aca="false">VLOOKUP(E157,Sheet1!$A$2:$B$25,2,0)</f>
        <v>1</v>
      </c>
    </row>
    <row r="158" customFormat="false" ht="15" hidden="false" customHeight="false" outlineLevel="0" collapsed="false">
      <c r="A158" s="11" t="n">
        <v>44568.5</v>
      </c>
      <c r="B158" s="0" t="n">
        <v>705.81</v>
      </c>
      <c r="C158" s="0" t="n">
        <f aca="false">WEEKDAY(A158,2)</f>
        <v>5</v>
      </c>
      <c r="D158" s="0" t="n">
        <f aca="false">DAY(A158)</f>
        <v>7</v>
      </c>
      <c r="E158" s="0" t="n">
        <f aca="false">HOUR(A158)</f>
        <v>12</v>
      </c>
      <c r="F158" s="0" t="n">
        <f aca="false">IF(C158&gt;=6,0,1)</f>
        <v>1</v>
      </c>
      <c r="G158" s="0" t="n">
        <f aca="false">VLOOKUP(E158,Sheet1!$A$2:$B$25,2,0)</f>
        <v>1</v>
      </c>
    </row>
    <row r="159" customFormat="false" ht="15" hidden="false" customHeight="false" outlineLevel="0" collapsed="false">
      <c r="A159" s="11" t="n">
        <v>44568.5416666667</v>
      </c>
      <c r="B159" s="0" t="n">
        <v>749.31</v>
      </c>
      <c r="C159" s="0" t="n">
        <f aca="false">WEEKDAY(A159,2)</f>
        <v>5</v>
      </c>
      <c r="D159" s="0" t="n">
        <f aca="false">DAY(A159)</f>
        <v>7</v>
      </c>
      <c r="E159" s="0" t="n">
        <f aca="false">HOUR(A159)</f>
        <v>13</v>
      </c>
      <c r="F159" s="0" t="n">
        <f aca="false">IF(C159&gt;=6,0,1)</f>
        <v>1</v>
      </c>
      <c r="G159" s="0" t="n">
        <f aca="false">VLOOKUP(E159,Sheet1!$A$2:$B$25,2,0)</f>
        <v>1</v>
      </c>
    </row>
    <row r="160" customFormat="false" ht="15" hidden="false" customHeight="false" outlineLevel="0" collapsed="false">
      <c r="A160" s="11" t="n">
        <v>44568.5833333333</v>
      </c>
      <c r="B160" s="0" t="n">
        <v>353.57</v>
      </c>
      <c r="C160" s="0" t="n">
        <f aca="false">WEEKDAY(A160,2)</f>
        <v>5</v>
      </c>
      <c r="D160" s="0" t="n">
        <f aca="false">DAY(A160)</f>
        <v>7</v>
      </c>
      <c r="E160" s="0" t="n">
        <f aca="false">HOUR(A160)</f>
        <v>14</v>
      </c>
      <c r="F160" s="0" t="n">
        <f aca="false">IF(C160&gt;=6,0,1)</f>
        <v>1</v>
      </c>
      <c r="G160" s="0" t="n">
        <f aca="false">VLOOKUP(E160,Sheet1!$A$2:$B$25,2,0)</f>
        <v>1</v>
      </c>
    </row>
    <row r="161" customFormat="false" ht="15" hidden="false" customHeight="false" outlineLevel="0" collapsed="false">
      <c r="A161" s="11" t="n">
        <v>44568.625</v>
      </c>
      <c r="B161" s="0" t="n">
        <v>333.24</v>
      </c>
      <c r="C161" s="0" t="n">
        <f aca="false">WEEKDAY(A161,2)</f>
        <v>5</v>
      </c>
      <c r="D161" s="0" t="n">
        <f aca="false">DAY(A161)</f>
        <v>7</v>
      </c>
      <c r="E161" s="0" t="n">
        <f aca="false">HOUR(A161)</f>
        <v>15</v>
      </c>
      <c r="F161" s="0" t="n">
        <f aca="false">IF(C161&gt;=6,0,1)</f>
        <v>1</v>
      </c>
      <c r="G161" s="0" t="n">
        <f aca="false">VLOOKUP(E161,Sheet1!$A$2:$B$25,2,0)</f>
        <v>1</v>
      </c>
    </row>
    <row r="162" customFormat="false" ht="15" hidden="false" customHeight="false" outlineLevel="0" collapsed="false">
      <c r="A162" s="11" t="n">
        <v>44568.6666666667</v>
      </c>
      <c r="B162" s="0" t="n">
        <v>325</v>
      </c>
      <c r="C162" s="0" t="n">
        <f aca="false">WEEKDAY(A162,2)</f>
        <v>5</v>
      </c>
      <c r="D162" s="0" t="n">
        <f aca="false">DAY(A162)</f>
        <v>7</v>
      </c>
      <c r="E162" s="0" t="n">
        <f aca="false">HOUR(A162)</f>
        <v>16</v>
      </c>
      <c r="F162" s="0" t="n">
        <f aca="false">IF(C162&gt;=6,0,1)</f>
        <v>1</v>
      </c>
      <c r="G162" s="0" t="n">
        <f aca="false">VLOOKUP(E162,Sheet1!$A$2:$B$25,2,0)</f>
        <v>0</v>
      </c>
    </row>
    <row r="163" customFormat="false" ht="15" hidden="false" customHeight="false" outlineLevel="0" collapsed="false">
      <c r="A163" s="11" t="n">
        <v>44568.7083333333</v>
      </c>
      <c r="B163" s="0" t="n">
        <v>323.28</v>
      </c>
      <c r="C163" s="0" t="n">
        <f aca="false">WEEKDAY(A163,2)</f>
        <v>5</v>
      </c>
      <c r="D163" s="0" t="n">
        <f aca="false">DAY(A163)</f>
        <v>7</v>
      </c>
      <c r="E163" s="0" t="n">
        <f aca="false">HOUR(A163)</f>
        <v>17</v>
      </c>
      <c r="F163" s="0" t="n">
        <f aca="false">IF(C163&gt;=6,0,1)</f>
        <v>1</v>
      </c>
      <c r="G163" s="0" t="n">
        <f aca="false">VLOOKUP(E163,Sheet1!$A$2:$B$25,2,0)</f>
        <v>0</v>
      </c>
    </row>
    <row r="164" customFormat="false" ht="15" hidden="false" customHeight="false" outlineLevel="0" collapsed="false">
      <c r="A164" s="11" t="n">
        <v>44568.75</v>
      </c>
      <c r="B164" s="0" t="n">
        <v>313.52</v>
      </c>
      <c r="C164" s="0" t="n">
        <f aca="false">WEEKDAY(A164,2)</f>
        <v>5</v>
      </c>
      <c r="D164" s="0" t="n">
        <f aca="false">DAY(A164)</f>
        <v>7</v>
      </c>
      <c r="E164" s="0" t="n">
        <f aca="false">HOUR(A164)</f>
        <v>18</v>
      </c>
      <c r="F164" s="0" t="n">
        <f aca="false">IF(C164&gt;=6,0,1)</f>
        <v>1</v>
      </c>
      <c r="G164" s="0" t="n">
        <f aca="false">VLOOKUP(E164,Sheet1!$A$2:$B$25,2,0)</f>
        <v>0</v>
      </c>
    </row>
    <row r="165" customFormat="false" ht="15" hidden="false" customHeight="false" outlineLevel="0" collapsed="false">
      <c r="A165" s="11" t="n">
        <v>44568.7916666667</v>
      </c>
      <c r="B165" s="0" t="n">
        <v>300.14</v>
      </c>
      <c r="C165" s="0" t="n">
        <f aca="false">WEEKDAY(A165,2)</f>
        <v>5</v>
      </c>
      <c r="D165" s="0" t="n">
        <f aca="false">DAY(A165)</f>
        <v>7</v>
      </c>
      <c r="E165" s="0" t="n">
        <f aca="false">HOUR(A165)</f>
        <v>19</v>
      </c>
      <c r="F165" s="0" t="n">
        <f aca="false">IF(C165&gt;=6,0,1)</f>
        <v>1</v>
      </c>
      <c r="G165" s="0" t="n">
        <f aca="false">VLOOKUP(E165,Sheet1!$A$2:$B$25,2,0)</f>
        <v>0</v>
      </c>
    </row>
    <row r="166" customFormat="false" ht="15" hidden="false" customHeight="false" outlineLevel="0" collapsed="false">
      <c r="A166" s="11" t="n">
        <v>44568.8333333333</v>
      </c>
      <c r="B166" s="0" t="n">
        <v>303.45</v>
      </c>
      <c r="C166" s="0" t="n">
        <f aca="false">WEEKDAY(A166,2)</f>
        <v>5</v>
      </c>
      <c r="D166" s="0" t="n">
        <f aca="false">DAY(A166)</f>
        <v>7</v>
      </c>
      <c r="E166" s="0" t="n">
        <f aca="false">HOUR(A166)</f>
        <v>20</v>
      </c>
      <c r="F166" s="0" t="n">
        <f aca="false">IF(C166&gt;=6,0,1)</f>
        <v>1</v>
      </c>
      <c r="G166" s="0" t="n">
        <f aca="false">VLOOKUP(E166,Sheet1!$A$2:$B$25,2,0)</f>
        <v>0</v>
      </c>
    </row>
    <row r="167" customFormat="false" ht="15" hidden="false" customHeight="false" outlineLevel="0" collapsed="false">
      <c r="A167" s="11" t="n">
        <v>44568.875</v>
      </c>
      <c r="B167" s="0" t="n">
        <v>300.17</v>
      </c>
      <c r="C167" s="0" t="n">
        <f aca="false">WEEKDAY(A167,2)</f>
        <v>5</v>
      </c>
      <c r="D167" s="0" t="n">
        <f aca="false">DAY(A167)</f>
        <v>7</v>
      </c>
      <c r="E167" s="0" t="n">
        <f aca="false">HOUR(A167)</f>
        <v>21</v>
      </c>
      <c r="F167" s="0" t="n">
        <f aca="false">IF(C167&gt;=6,0,1)</f>
        <v>1</v>
      </c>
      <c r="G167" s="0" t="n">
        <f aca="false">VLOOKUP(E167,Sheet1!$A$2:$B$25,2,0)</f>
        <v>0</v>
      </c>
    </row>
    <row r="168" customFormat="false" ht="15" hidden="false" customHeight="false" outlineLevel="0" collapsed="false">
      <c r="A168" s="11" t="n">
        <v>44568.9166666667</v>
      </c>
      <c r="B168" s="0" t="n">
        <v>303.48</v>
      </c>
      <c r="C168" s="0" t="n">
        <f aca="false">WEEKDAY(A168,2)</f>
        <v>5</v>
      </c>
      <c r="D168" s="0" t="n">
        <f aca="false">DAY(A168)</f>
        <v>7</v>
      </c>
      <c r="E168" s="0" t="n">
        <f aca="false">HOUR(A168)</f>
        <v>22</v>
      </c>
      <c r="F168" s="0" t="n">
        <f aca="false">IF(C168&gt;=6,0,1)</f>
        <v>1</v>
      </c>
      <c r="G168" s="0" t="n">
        <f aca="false">VLOOKUP(E168,Sheet1!$A$2:$B$25,2,0)</f>
        <v>0</v>
      </c>
    </row>
    <row r="169" customFormat="false" ht="15" hidden="false" customHeight="false" outlineLevel="0" collapsed="false">
      <c r="A169" s="11" t="n">
        <v>44568.9583333333</v>
      </c>
      <c r="B169" s="0" t="n">
        <v>300.87</v>
      </c>
      <c r="C169" s="0" t="n">
        <f aca="false">WEEKDAY(A169,2)</f>
        <v>5</v>
      </c>
      <c r="D169" s="0" t="n">
        <f aca="false">DAY(A169)</f>
        <v>7</v>
      </c>
      <c r="E169" s="0" t="n">
        <f aca="false">HOUR(A169)</f>
        <v>23</v>
      </c>
      <c r="F169" s="0" t="n">
        <f aca="false">IF(C169&gt;=6,0,1)</f>
        <v>1</v>
      </c>
      <c r="G169" s="0" t="n">
        <f aca="false">VLOOKUP(E169,Sheet1!$A$2:$B$25,2,0)</f>
        <v>0</v>
      </c>
    </row>
    <row r="170" customFormat="false" ht="15" hidden="false" customHeight="false" outlineLevel="0" collapsed="false">
      <c r="A170" s="11" t="n">
        <v>44569</v>
      </c>
      <c r="B170" s="0" t="n">
        <v>301.15</v>
      </c>
      <c r="C170" s="0" t="n">
        <f aca="false">WEEKDAY(A170,2)</f>
        <v>6</v>
      </c>
      <c r="D170" s="0" t="n">
        <f aca="false">DAY(A170)</f>
        <v>8</v>
      </c>
      <c r="E170" s="0" t="n">
        <f aca="false">HOUR(A170)</f>
        <v>0</v>
      </c>
      <c r="F170" s="0" t="n">
        <f aca="false">IF(C170&gt;=6,0,1)</f>
        <v>0</v>
      </c>
      <c r="G170" s="0" t="n">
        <f aca="false">VLOOKUP(E170,Sheet1!$A$2:$B$25,2,0)</f>
        <v>0</v>
      </c>
    </row>
    <row r="171" customFormat="false" ht="15" hidden="false" customHeight="false" outlineLevel="0" collapsed="false">
      <c r="A171" s="11" t="n">
        <v>44569.0416666667</v>
      </c>
      <c r="B171" s="0" t="n">
        <v>299.92</v>
      </c>
      <c r="C171" s="0" t="n">
        <f aca="false">WEEKDAY(A171,2)</f>
        <v>6</v>
      </c>
      <c r="D171" s="0" t="n">
        <f aca="false">DAY(A171)</f>
        <v>8</v>
      </c>
      <c r="E171" s="0" t="n">
        <f aca="false">HOUR(A171)</f>
        <v>1</v>
      </c>
      <c r="F171" s="0" t="n">
        <f aca="false">IF(C171&gt;=6,0,1)</f>
        <v>0</v>
      </c>
      <c r="G171" s="0" t="n">
        <f aca="false">VLOOKUP(E171,Sheet1!$A$2:$B$25,2,0)</f>
        <v>0</v>
      </c>
    </row>
    <row r="172" customFormat="false" ht="15" hidden="false" customHeight="false" outlineLevel="0" collapsed="false">
      <c r="A172" s="11" t="n">
        <v>44569.0833333333</v>
      </c>
      <c r="B172" s="0" t="n">
        <v>298.07</v>
      </c>
      <c r="C172" s="0" t="n">
        <f aca="false">WEEKDAY(A172,2)</f>
        <v>6</v>
      </c>
      <c r="D172" s="0" t="n">
        <f aca="false">DAY(A172)</f>
        <v>8</v>
      </c>
      <c r="E172" s="0" t="n">
        <f aca="false">HOUR(A172)</f>
        <v>2</v>
      </c>
      <c r="F172" s="0" t="n">
        <f aca="false">IF(C172&gt;=6,0,1)</f>
        <v>0</v>
      </c>
      <c r="G172" s="0" t="n">
        <f aca="false">VLOOKUP(E172,Sheet1!$A$2:$B$25,2,0)</f>
        <v>0</v>
      </c>
    </row>
    <row r="173" customFormat="false" ht="15" hidden="false" customHeight="false" outlineLevel="0" collapsed="false">
      <c r="A173" s="11" t="n">
        <v>44569.125</v>
      </c>
      <c r="B173" s="0" t="n">
        <v>309.15</v>
      </c>
      <c r="C173" s="0" t="n">
        <f aca="false">WEEKDAY(A173,2)</f>
        <v>6</v>
      </c>
      <c r="D173" s="0" t="n">
        <f aca="false">DAY(A173)</f>
        <v>8</v>
      </c>
      <c r="E173" s="0" t="n">
        <f aca="false">HOUR(A173)</f>
        <v>3</v>
      </c>
      <c r="F173" s="0" t="n">
        <f aca="false">IF(C173&gt;=6,0,1)</f>
        <v>0</v>
      </c>
      <c r="G173" s="0" t="n">
        <f aca="false">VLOOKUP(E173,Sheet1!$A$2:$B$25,2,0)</f>
        <v>0</v>
      </c>
    </row>
    <row r="174" customFormat="false" ht="15" hidden="false" customHeight="false" outlineLevel="0" collapsed="false">
      <c r="A174" s="11" t="n">
        <v>44569.1666666667</v>
      </c>
      <c r="B174" s="0" t="n">
        <v>315.55</v>
      </c>
      <c r="C174" s="0" t="n">
        <f aca="false">WEEKDAY(A174,2)</f>
        <v>6</v>
      </c>
      <c r="D174" s="0" t="n">
        <f aca="false">DAY(A174)</f>
        <v>8</v>
      </c>
      <c r="E174" s="0" t="n">
        <f aca="false">HOUR(A174)</f>
        <v>4</v>
      </c>
      <c r="F174" s="0" t="n">
        <f aca="false">IF(C174&gt;=6,0,1)</f>
        <v>0</v>
      </c>
      <c r="G174" s="0" t="n">
        <f aca="false">VLOOKUP(E174,Sheet1!$A$2:$B$25,2,0)</f>
        <v>1</v>
      </c>
    </row>
    <row r="175" customFormat="false" ht="15" hidden="false" customHeight="false" outlineLevel="0" collapsed="false">
      <c r="A175" s="11" t="n">
        <v>44569.2083333333</v>
      </c>
      <c r="B175" s="0" t="n">
        <v>311.83</v>
      </c>
      <c r="C175" s="0" t="n">
        <f aca="false">WEEKDAY(A175,2)</f>
        <v>6</v>
      </c>
      <c r="D175" s="0" t="n">
        <f aca="false">DAY(A175)</f>
        <v>8</v>
      </c>
      <c r="E175" s="0" t="n">
        <f aca="false">HOUR(A175)</f>
        <v>5</v>
      </c>
      <c r="F175" s="0" t="n">
        <f aca="false">IF(C175&gt;=6,0,1)</f>
        <v>0</v>
      </c>
      <c r="G175" s="0" t="n">
        <f aca="false">VLOOKUP(E175,Sheet1!$A$2:$B$25,2,0)</f>
        <v>1</v>
      </c>
    </row>
    <row r="176" customFormat="false" ht="15" hidden="false" customHeight="false" outlineLevel="0" collapsed="false">
      <c r="A176" s="11" t="n">
        <v>44569.25</v>
      </c>
      <c r="B176" s="0" t="n">
        <v>320.94</v>
      </c>
      <c r="C176" s="0" t="n">
        <f aca="false">WEEKDAY(A176,2)</f>
        <v>6</v>
      </c>
      <c r="D176" s="0" t="n">
        <f aca="false">DAY(A176)</f>
        <v>8</v>
      </c>
      <c r="E176" s="0" t="n">
        <f aca="false">HOUR(A176)</f>
        <v>6</v>
      </c>
      <c r="F176" s="0" t="n">
        <f aca="false">IF(C176&gt;=6,0,1)</f>
        <v>0</v>
      </c>
      <c r="G176" s="0" t="n">
        <f aca="false">VLOOKUP(E176,Sheet1!$A$2:$B$25,2,0)</f>
        <v>1</v>
      </c>
    </row>
    <row r="177" customFormat="false" ht="15" hidden="false" customHeight="false" outlineLevel="0" collapsed="false">
      <c r="A177" s="11" t="n">
        <v>44569.2916666667</v>
      </c>
      <c r="B177" s="0" t="n">
        <v>328.89</v>
      </c>
      <c r="C177" s="0" t="n">
        <f aca="false">WEEKDAY(A177,2)</f>
        <v>6</v>
      </c>
      <c r="D177" s="0" t="n">
        <f aca="false">DAY(A177)</f>
        <v>8</v>
      </c>
      <c r="E177" s="0" t="n">
        <f aca="false">HOUR(A177)</f>
        <v>7</v>
      </c>
      <c r="F177" s="0" t="n">
        <f aca="false">IF(C177&gt;=6,0,1)</f>
        <v>0</v>
      </c>
      <c r="G177" s="0" t="n">
        <f aca="false">VLOOKUP(E177,Sheet1!$A$2:$B$25,2,0)</f>
        <v>1</v>
      </c>
    </row>
    <row r="178" customFormat="false" ht="15" hidden="false" customHeight="false" outlineLevel="0" collapsed="false">
      <c r="A178" s="11" t="n">
        <v>44569.3333333333</v>
      </c>
      <c r="B178" s="0" t="n">
        <v>305.09</v>
      </c>
      <c r="C178" s="0" t="n">
        <f aca="false">WEEKDAY(A178,2)</f>
        <v>6</v>
      </c>
      <c r="D178" s="0" t="n">
        <f aca="false">DAY(A178)</f>
        <v>8</v>
      </c>
      <c r="E178" s="0" t="n">
        <f aca="false">HOUR(A178)</f>
        <v>8</v>
      </c>
      <c r="F178" s="0" t="n">
        <f aca="false">IF(C178&gt;=6,0,1)</f>
        <v>0</v>
      </c>
      <c r="G178" s="0" t="n">
        <f aca="false">VLOOKUP(E178,Sheet1!$A$2:$B$25,2,0)</f>
        <v>1</v>
      </c>
    </row>
    <row r="179" customFormat="false" ht="15" hidden="false" customHeight="false" outlineLevel="0" collapsed="false">
      <c r="A179" s="11" t="n">
        <v>44569.375</v>
      </c>
      <c r="B179" s="0" t="n">
        <v>316.9</v>
      </c>
      <c r="C179" s="0" t="n">
        <f aca="false">WEEKDAY(A179,2)</f>
        <v>6</v>
      </c>
      <c r="D179" s="0" t="n">
        <f aca="false">DAY(A179)</f>
        <v>8</v>
      </c>
      <c r="E179" s="0" t="n">
        <f aca="false">HOUR(A179)</f>
        <v>9</v>
      </c>
      <c r="F179" s="0" t="n">
        <f aca="false">IF(C179&gt;=6,0,1)</f>
        <v>0</v>
      </c>
      <c r="G179" s="0" t="n">
        <f aca="false">VLOOKUP(E179,Sheet1!$A$2:$B$25,2,0)</f>
        <v>1</v>
      </c>
    </row>
    <row r="180" customFormat="false" ht="15" hidden="false" customHeight="false" outlineLevel="0" collapsed="false">
      <c r="A180" s="11" t="n">
        <v>44569.4166666667</v>
      </c>
      <c r="B180" s="0" t="n">
        <v>310.34</v>
      </c>
      <c r="C180" s="0" t="n">
        <f aca="false">WEEKDAY(A180,2)</f>
        <v>6</v>
      </c>
      <c r="D180" s="0" t="n">
        <f aca="false">DAY(A180)</f>
        <v>8</v>
      </c>
      <c r="E180" s="0" t="n">
        <f aca="false">HOUR(A180)</f>
        <v>10</v>
      </c>
      <c r="F180" s="0" t="n">
        <f aca="false">IF(C180&gt;=6,0,1)</f>
        <v>0</v>
      </c>
      <c r="G180" s="0" t="n">
        <f aca="false">VLOOKUP(E180,Sheet1!$A$2:$B$25,2,0)</f>
        <v>1</v>
      </c>
    </row>
    <row r="181" customFormat="false" ht="15" hidden="false" customHeight="false" outlineLevel="0" collapsed="false">
      <c r="A181" s="11" t="n">
        <v>44569.4583333333</v>
      </c>
      <c r="B181" s="0" t="n">
        <v>299.52</v>
      </c>
      <c r="C181" s="0" t="n">
        <f aca="false">WEEKDAY(A181,2)</f>
        <v>6</v>
      </c>
      <c r="D181" s="0" t="n">
        <f aca="false">DAY(A181)</f>
        <v>8</v>
      </c>
      <c r="E181" s="0" t="n">
        <f aca="false">HOUR(A181)</f>
        <v>11</v>
      </c>
      <c r="F181" s="0" t="n">
        <f aca="false">IF(C181&gt;=6,0,1)</f>
        <v>0</v>
      </c>
      <c r="G181" s="0" t="n">
        <f aca="false">VLOOKUP(E181,Sheet1!$A$2:$B$25,2,0)</f>
        <v>1</v>
      </c>
    </row>
    <row r="182" customFormat="false" ht="15" hidden="false" customHeight="false" outlineLevel="0" collapsed="false">
      <c r="A182" s="11" t="n">
        <v>44569.5</v>
      </c>
      <c r="B182" s="0" t="n">
        <v>293.75</v>
      </c>
      <c r="C182" s="0" t="n">
        <f aca="false">WEEKDAY(A182,2)</f>
        <v>6</v>
      </c>
      <c r="D182" s="0" t="n">
        <f aca="false">DAY(A182)</f>
        <v>8</v>
      </c>
      <c r="E182" s="0" t="n">
        <f aca="false">HOUR(A182)</f>
        <v>12</v>
      </c>
      <c r="F182" s="0" t="n">
        <f aca="false">IF(C182&gt;=6,0,1)</f>
        <v>0</v>
      </c>
      <c r="G182" s="0" t="n">
        <f aca="false">VLOOKUP(E182,Sheet1!$A$2:$B$25,2,0)</f>
        <v>1</v>
      </c>
    </row>
    <row r="183" customFormat="false" ht="15" hidden="false" customHeight="false" outlineLevel="0" collapsed="false">
      <c r="A183" s="11" t="n">
        <v>44569.5416666667</v>
      </c>
      <c r="B183" s="0" t="n">
        <v>302.67</v>
      </c>
      <c r="C183" s="0" t="n">
        <f aca="false">WEEKDAY(A183,2)</f>
        <v>6</v>
      </c>
      <c r="D183" s="0" t="n">
        <f aca="false">DAY(A183)</f>
        <v>8</v>
      </c>
      <c r="E183" s="0" t="n">
        <f aca="false">HOUR(A183)</f>
        <v>13</v>
      </c>
      <c r="F183" s="0" t="n">
        <f aca="false">IF(C183&gt;=6,0,1)</f>
        <v>0</v>
      </c>
      <c r="G183" s="0" t="n">
        <f aca="false">VLOOKUP(E183,Sheet1!$A$2:$B$25,2,0)</f>
        <v>1</v>
      </c>
    </row>
    <row r="184" customFormat="false" ht="15" hidden="false" customHeight="false" outlineLevel="0" collapsed="false">
      <c r="A184" s="11" t="n">
        <v>44569.5833333333</v>
      </c>
      <c r="B184" s="0" t="n">
        <v>303.13</v>
      </c>
      <c r="C184" s="0" t="n">
        <f aca="false">WEEKDAY(A184,2)</f>
        <v>6</v>
      </c>
      <c r="D184" s="0" t="n">
        <f aca="false">DAY(A184)</f>
        <v>8</v>
      </c>
      <c r="E184" s="0" t="n">
        <f aca="false">HOUR(A184)</f>
        <v>14</v>
      </c>
      <c r="F184" s="0" t="n">
        <f aca="false">IF(C184&gt;=6,0,1)</f>
        <v>0</v>
      </c>
      <c r="G184" s="0" t="n">
        <f aca="false">VLOOKUP(E184,Sheet1!$A$2:$B$25,2,0)</f>
        <v>1</v>
      </c>
    </row>
    <row r="185" customFormat="false" ht="15" hidden="false" customHeight="false" outlineLevel="0" collapsed="false">
      <c r="A185" s="11" t="n">
        <v>44569.625</v>
      </c>
      <c r="B185" s="0" t="n">
        <v>297.45</v>
      </c>
      <c r="C185" s="0" t="n">
        <f aca="false">WEEKDAY(A185,2)</f>
        <v>6</v>
      </c>
      <c r="D185" s="0" t="n">
        <f aca="false">DAY(A185)</f>
        <v>8</v>
      </c>
      <c r="E185" s="0" t="n">
        <f aca="false">HOUR(A185)</f>
        <v>15</v>
      </c>
      <c r="F185" s="0" t="n">
        <f aca="false">IF(C185&gt;=6,0,1)</f>
        <v>0</v>
      </c>
      <c r="G185" s="0" t="n">
        <f aca="false">VLOOKUP(E185,Sheet1!$A$2:$B$25,2,0)</f>
        <v>1</v>
      </c>
    </row>
    <row r="186" customFormat="false" ht="15" hidden="false" customHeight="false" outlineLevel="0" collapsed="false">
      <c r="A186" s="11" t="n">
        <v>44569.6666666667</v>
      </c>
      <c r="B186" s="0" t="n">
        <v>302.18</v>
      </c>
      <c r="C186" s="0" t="n">
        <f aca="false">WEEKDAY(A186,2)</f>
        <v>6</v>
      </c>
      <c r="D186" s="0" t="n">
        <f aca="false">DAY(A186)</f>
        <v>8</v>
      </c>
      <c r="E186" s="0" t="n">
        <f aca="false">HOUR(A186)</f>
        <v>16</v>
      </c>
      <c r="F186" s="0" t="n">
        <f aca="false">IF(C186&gt;=6,0,1)</f>
        <v>0</v>
      </c>
      <c r="G186" s="0" t="n">
        <f aca="false">VLOOKUP(E186,Sheet1!$A$2:$B$25,2,0)</f>
        <v>0</v>
      </c>
    </row>
    <row r="187" customFormat="false" ht="15" hidden="false" customHeight="false" outlineLevel="0" collapsed="false">
      <c r="A187" s="11" t="n">
        <v>44569.7083333333</v>
      </c>
      <c r="B187" s="0" t="n">
        <v>313.52</v>
      </c>
      <c r="C187" s="0" t="n">
        <f aca="false">WEEKDAY(A187,2)</f>
        <v>6</v>
      </c>
      <c r="D187" s="0" t="n">
        <f aca="false">DAY(A187)</f>
        <v>8</v>
      </c>
      <c r="E187" s="0" t="n">
        <f aca="false">HOUR(A187)</f>
        <v>17</v>
      </c>
      <c r="F187" s="0" t="n">
        <f aca="false">IF(C187&gt;=6,0,1)</f>
        <v>0</v>
      </c>
      <c r="G187" s="0" t="n">
        <f aca="false">VLOOKUP(E187,Sheet1!$A$2:$B$25,2,0)</f>
        <v>0</v>
      </c>
    </row>
    <row r="188" customFormat="false" ht="15" hidden="false" customHeight="false" outlineLevel="0" collapsed="false">
      <c r="A188" s="11" t="n">
        <v>44569.75</v>
      </c>
      <c r="B188" s="0" t="n">
        <v>301.36</v>
      </c>
      <c r="C188" s="0" t="n">
        <f aca="false">WEEKDAY(A188,2)</f>
        <v>6</v>
      </c>
      <c r="D188" s="0" t="n">
        <f aca="false">DAY(A188)</f>
        <v>8</v>
      </c>
      <c r="E188" s="0" t="n">
        <f aca="false">HOUR(A188)</f>
        <v>18</v>
      </c>
      <c r="F188" s="0" t="n">
        <f aca="false">IF(C188&gt;=6,0,1)</f>
        <v>0</v>
      </c>
      <c r="G188" s="0" t="n">
        <f aca="false">VLOOKUP(E188,Sheet1!$A$2:$B$25,2,0)</f>
        <v>0</v>
      </c>
    </row>
    <row r="189" customFormat="false" ht="15" hidden="false" customHeight="false" outlineLevel="0" collapsed="false">
      <c r="A189" s="11" t="n">
        <v>44569.7916666667</v>
      </c>
      <c r="B189" s="0" t="n">
        <v>301.39</v>
      </c>
      <c r="C189" s="0" t="n">
        <f aca="false">WEEKDAY(A189,2)</f>
        <v>6</v>
      </c>
      <c r="D189" s="0" t="n">
        <f aca="false">DAY(A189)</f>
        <v>8</v>
      </c>
      <c r="E189" s="0" t="n">
        <f aca="false">HOUR(A189)</f>
        <v>19</v>
      </c>
      <c r="F189" s="0" t="n">
        <f aca="false">IF(C189&gt;=6,0,1)</f>
        <v>0</v>
      </c>
      <c r="G189" s="0" t="n">
        <f aca="false">VLOOKUP(E189,Sheet1!$A$2:$B$25,2,0)</f>
        <v>0</v>
      </c>
    </row>
    <row r="190" customFormat="false" ht="15" hidden="false" customHeight="false" outlineLevel="0" collapsed="false">
      <c r="A190" s="11" t="n">
        <v>44569.8333333333</v>
      </c>
      <c r="B190" s="0" t="n">
        <v>297.58</v>
      </c>
      <c r="C190" s="0" t="n">
        <f aca="false">WEEKDAY(A190,2)</f>
        <v>6</v>
      </c>
      <c r="D190" s="0" t="n">
        <f aca="false">DAY(A190)</f>
        <v>8</v>
      </c>
      <c r="E190" s="0" t="n">
        <f aca="false">HOUR(A190)</f>
        <v>20</v>
      </c>
      <c r="F190" s="0" t="n">
        <f aca="false">IF(C190&gt;=6,0,1)</f>
        <v>0</v>
      </c>
      <c r="G190" s="0" t="n">
        <f aca="false">VLOOKUP(E190,Sheet1!$A$2:$B$25,2,0)</f>
        <v>0</v>
      </c>
    </row>
    <row r="191" customFormat="false" ht="15" hidden="false" customHeight="false" outlineLevel="0" collapsed="false">
      <c r="A191" s="11" t="n">
        <v>44569.875</v>
      </c>
      <c r="B191" s="0" t="n">
        <v>288.61</v>
      </c>
      <c r="C191" s="0" t="n">
        <f aca="false">WEEKDAY(A191,2)</f>
        <v>6</v>
      </c>
      <c r="D191" s="0" t="n">
        <f aca="false">DAY(A191)</f>
        <v>8</v>
      </c>
      <c r="E191" s="0" t="n">
        <f aca="false">HOUR(A191)</f>
        <v>21</v>
      </c>
      <c r="F191" s="0" t="n">
        <f aca="false">IF(C191&gt;=6,0,1)</f>
        <v>0</v>
      </c>
      <c r="G191" s="0" t="n">
        <f aca="false">VLOOKUP(E191,Sheet1!$A$2:$B$25,2,0)</f>
        <v>0</v>
      </c>
    </row>
    <row r="192" customFormat="false" ht="15" hidden="false" customHeight="false" outlineLevel="0" collapsed="false">
      <c r="A192" s="11" t="n">
        <v>44569.9166666667</v>
      </c>
      <c r="B192" s="0" t="n">
        <v>286.8</v>
      </c>
      <c r="C192" s="0" t="n">
        <f aca="false">WEEKDAY(A192,2)</f>
        <v>6</v>
      </c>
      <c r="D192" s="0" t="n">
        <f aca="false">DAY(A192)</f>
        <v>8</v>
      </c>
      <c r="E192" s="0" t="n">
        <f aca="false">HOUR(A192)</f>
        <v>22</v>
      </c>
      <c r="F192" s="0" t="n">
        <f aca="false">IF(C192&gt;=6,0,1)</f>
        <v>0</v>
      </c>
      <c r="G192" s="0" t="n">
        <f aca="false">VLOOKUP(E192,Sheet1!$A$2:$B$25,2,0)</f>
        <v>0</v>
      </c>
    </row>
    <row r="193" customFormat="false" ht="15" hidden="false" customHeight="false" outlineLevel="0" collapsed="false">
      <c r="A193" s="11" t="n">
        <v>44569.9583333333</v>
      </c>
      <c r="B193" s="0" t="n">
        <v>289.45</v>
      </c>
      <c r="C193" s="0" t="n">
        <f aca="false">WEEKDAY(A193,2)</f>
        <v>6</v>
      </c>
      <c r="D193" s="0" t="n">
        <f aca="false">DAY(A193)</f>
        <v>8</v>
      </c>
      <c r="E193" s="0" t="n">
        <f aca="false">HOUR(A193)</f>
        <v>23</v>
      </c>
      <c r="F193" s="0" t="n">
        <f aca="false">IF(C193&gt;=6,0,1)</f>
        <v>0</v>
      </c>
      <c r="G193" s="0" t="n">
        <f aca="false">VLOOKUP(E193,Sheet1!$A$2:$B$25,2,0)</f>
        <v>0</v>
      </c>
    </row>
    <row r="194" customFormat="false" ht="15" hidden="false" customHeight="false" outlineLevel="0" collapsed="false">
      <c r="A194" s="11" t="n">
        <v>44570</v>
      </c>
      <c r="B194" s="0" t="n">
        <v>292.99</v>
      </c>
      <c r="C194" s="0" t="n">
        <f aca="false">WEEKDAY(A194,2)</f>
        <v>7</v>
      </c>
      <c r="D194" s="0" t="n">
        <f aca="false">DAY(A194)</f>
        <v>9</v>
      </c>
      <c r="E194" s="0" t="n">
        <f aca="false">HOUR(A194)</f>
        <v>0</v>
      </c>
      <c r="F194" s="0" t="n">
        <f aca="false">IF(C194&gt;=6,0,1)</f>
        <v>0</v>
      </c>
      <c r="G194" s="0" t="n">
        <f aca="false">VLOOKUP(E194,Sheet1!$A$2:$B$25,2,0)</f>
        <v>0</v>
      </c>
    </row>
    <row r="195" customFormat="false" ht="15" hidden="false" customHeight="false" outlineLevel="0" collapsed="false">
      <c r="A195" s="11" t="n">
        <v>44570.0416666667</v>
      </c>
      <c r="B195" s="0" t="n">
        <v>288.59</v>
      </c>
      <c r="C195" s="0" t="n">
        <f aca="false">WEEKDAY(A195,2)</f>
        <v>7</v>
      </c>
      <c r="D195" s="0" t="n">
        <f aca="false">DAY(A195)</f>
        <v>9</v>
      </c>
      <c r="E195" s="0" t="n">
        <f aca="false">HOUR(A195)</f>
        <v>1</v>
      </c>
      <c r="F195" s="0" t="n">
        <f aca="false">IF(C195&gt;=6,0,1)</f>
        <v>0</v>
      </c>
      <c r="G195" s="0" t="n">
        <f aca="false">VLOOKUP(E195,Sheet1!$A$2:$B$25,2,0)</f>
        <v>0</v>
      </c>
    </row>
    <row r="196" customFormat="false" ht="15" hidden="false" customHeight="false" outlineLevel="0" collapsed="false">
      <c r="A196" s="11" t="n">
        <v>44570.0833333333</v>
      </c>
      <c r="B196" s="0" t="n">
        <v>289.74</v>
      </c>
      <c r="C196" s="0" t="n">
        <f aca="false">WEEKDAY(A196,2)</f>
        <v>7</v>
      </c>
      <c r="D196" s="0" t="n">
        <f aca="false">DAY(A196)</f>
        <v>9</v>
      </c>
      <c r="E196" s="0" t="n">
        <f aca="false">HOUR(A196)</f>
        <v>2</v>
      </c>
      <c r="F196" s="0" t="n">
        <f aca="false">IF(C196&gt;=6,0,1)</f>
        <v>0</v>
      </c>
      <c r="G196" s="0" t="n">
        <f aca="false">VLOOKUP(E196,Sheet1!$A$2:$B$25,2,0)</f>
        <v>0</v>
      </c>
    </row>
    <row r="197" customFormat="false" ht="15" hidden="false" customHeight="false" outlineLevel="0" collapsed="false">
      <c r="A197" s="11" t="n">
        <v>44570.125</v>
      </c>
      <c r="B197" s="0" t="n">
        <v>290.75</v>
      </c>
      <c r="C197" s="0" t="n">
        <f aca="false">WEEKDAY(A197,2)</f>
        <v>7</v>
      </c>
      <c r="D197" s="0" t="n">
        <f aca="false">DAY(A197)</f>
        <v>9</v>
      </c>
      <c r="E197" s="0" t="n">
        <f aca="false">HOUR(A197)</f>
        <v>3</v>
      </c>
      <c r="F197" s="0" t="n">
        <f aca="false">IF(C197&gt;=6,0,1)</f>
        <v>0</v>
      </c>
      <c r="G197" s="0" t="n">
        <f aca="false">VLOOKUP(E197,Sheet1!$A$2:$B$25,2,0)</f>
        <v>0</v>
      </c>
    </row>
    <row r="198" customFormat="false" ht="15" hidden="false" customHeight="false" outlineLevel="0" collapsed="false">
      <c r="A198" s="11" t="n">
        <v>44570.1666666667</v>
      </c>
      <c r="B198" s="0" t="n">
        <v>289.68</v>
      </c>
      <c r="C198" s="0" t="n">
        <f aca="false">WEEKDAY(A198,2)</f>
        <v>7</v>
      </c>
      <c r="D198" s="0" t="n">
        <f aca="false">DAY(A198)</f>
        <v>9</v>
      </c>
      <c r="E198" s="0" t="n">
        <f aca="false">HOUR(A198)</f>
        <v>4</v>
      </c>
      <c r="F198" s="0" t="n">
        <f aca="false">IF(C198&gt;=6,0,1)</f>
        <v>0</v>
      </c>
      <c r="G198" s="0" t="n">
        <f aca="false">VLOOKUP(E198,Sheet1!$A$2:$B$25,2,0)</f>
        <v>1</v>
      </c>
    </row>
    <row r="199" customFormat="false" ht="15" hidden="false" customHeight="false" outlineLevel="0" collapsed="false">
      <c r="A199" s="11" t="n">
        <v>44570.2083333333</v>
      </c>
      <c r="B199" s="0" t="n">
        <v>286.75</v>
      </c>
      <c r="C199" s="0" t="n">
        <f aca="false">WEEKDAY(A199,2)</f>
        <v>7</v>
      </c>
      <c r="D199" s="0" t="n">
        <f aca="false">DAY(A199)</f>
        <v>9</v>
      </c>
      <c r="E199" s="0" t="n">
        <f aca="false">HOUR(A199)</f>
        <v>5</v>
      </c>
      <c r="F199" s="0" t="n">
        <f aca="false">IF(C199&gt;=6,0,1)</f>
        <v>0</v>
      </c>
      <c r="G199" s="0" t="n">
        <f aca="false">VLOOKUP(E199,Sheet1!$A$2:$B$25,2,0)</f>
        <v>1</v>
      </c>
    </row>
    <row r="200" customFormat="false" ht="15" hidden="false" customHeight="false" outlineLevel="0" collapsed="false">
      <c r="A200" s="11" t="n">
        <v>44570.25</v>
      </c>
      <c r="B200" s="0" t="n">
        <v>287.36</v>
      </c>
      <c r="C200" s="0" t="n">
        <f aca="false">WEEKDAY(A200,2)</f>
        <v>7</v>
      </c>
      <c r="D200" s="0" t="n">
        <f aca="false">DAY(A200)</f>
        <v>9</v>
      </c>
      <c r="E200" s="0" t="n">
        <f aca="false">HOUR(A200)</f>
        <v>6</v>
      </c>
      <c r="F200" s="0" t="n">
        <f aca="false">IF(C200&gt;=6,0,1)</f>
        <v>0</v>
      </c>
      <c r="G200" s="0" t="n">
        <f aca="false">VLOOKUP(E200,Sheet1!$A$2:$B$25,2,0)</f>
        <v>1</v>
      </c>
    </row>
    <row r="201" customFormat="false" ht="15" hidden="false" customHeight="false" outlineLevel="0" collapsed="false">
      <c r="A201" s="11" t="n">
        <v>44570.2916666667</v>
      </c>
      <c r="B201" s="0" t="n">
        <v>284.19</v>
      </c>
      <c r="C201" s="0" t="n">
        <f aca="false">WEEKDAY(A201,2)</f>
        <v>7</v>
      </c>
      <c r="D201" s="0" t="n">
        <f aca="false">DAY(A201)</f>
        <v>9</v>
      </c>
      <c r="E201" s="0" t="n">
        <f aca="false">HOUR(A201)</f>
        <v>7</v>
      </c>
      <c r="F201" s="0" t="n">
        <f aca="false">IF(C201&gt;=6,0,1)</f>
        <v>0</v>
      </c>
      <c r="G201" s="0" t="n">
        <f aca="false">VLOOKUP(E201,Sheet1!$A$2:$B$25,2,0)</f>
        <v>1</v>
      </c>
    </row>
    <row r="202" customFormat="false" ht="15" hidden="false" customHeight="false" outlineLevel="0" collapsed="false">
      <c r="A202" s="11" t="n">
        <v>44570.3333333333</v>
      </c>
      <c r="B202" s="0" t="n">
        <v>275.72</v>
      </c>
      <c r="C202" s="0" t="n">
        <f aca="false">WEEKDAY(A202,2)</f>
        <v>7</v>
      </c>
      <c r="D202" s="0" t="n">
        <f aca="false">DAY(A202)</f>
        <v>9</v>
      </c>
      <c r="E202" s="0" t="n">
        <f aca="false">HOUR(A202)</f>
        <v>8</v>
      </c>
      <c r="F202" s="0" t="n">
        <f aca="false">IF(C202&gt;=6,0,1)</f>
        <v>0</v>
      </c>
      <c r="G202" s="0" t="n">
        <f aca="false">VLOOKUP(E202,Sheet1!$A$2:$B$25,2,0)</f>
        <v>1</v>
      </c>
    </row>
    <row r="203" customFormat="false" ht="15" hidden="false" customHeight="false" outlineLevel="0" collapsed="false">
      <c r="A203" s="11" t="n">
        <v>44570.375</v>
      </c>
      <c r="B203" s="0" t="n">
        <v>278.18</v>
      </c>
      <c r="C203" s="0" t="n">
        <f aca="false">WEEKDAY(A203,2)</f>
        <v>7</v>
      </c>
      <c r="D203" s="0" t="n">
        <f aca="false">DAY(A203)</f>
        <v>9</v>
      </c>
      <c r="E203" s="0" t="n">
        <f aca="false">HOUR(A203)</f>
        <v>9</v>
      </c>
      <c r="F203" s="0" t="n">
        <f aca="false">IF(C203&gt;=6,0,1)</f>
        <v>0</v>
      </c>
      <c r="G203" s="0" t="n">
        <f aca="false">VLOOKUP(E203,Sheet1!$A$2:$B$25,2,0)</f>
        <v>1</v>
      </c>
    </row>
    <row r="204" customFormat="false" ht="15" hidden="false" customHeight="false" outlineLevel="0" collapsed="false">
      <c r="A204" s="11" t="n">
        <v>44570.4166666667</v>
      </c>
      <c r="B204" s="0" t="n">
        <v>277.85</v>
      </c>
      <c r="C204" s="0" t="n">
        <f aca="false">WEEKDAY(A204,2)</f>
        <v>7</v>
      </c>
      <c r="D204" s="0" t="n">
        <f aca="false">DAY(A204)</f>
        <v>9</v>
      </c>
      <c r="E204" s="0" t="n">
        <f aca="false">HOUR(A204)</f>
        <v>10</v>
      </c>
      <c r="F204" s="0" t="n">
        <f aca="false">IF(C204&gt;=6,0,1)</f>
        <v>0</v>
      </c>
      <c r="G204" s="0" t="n">
        <f aca="false">VLOOKUP(E204,Sheet1!$A$2:$B$25,2,0)</f>
        <v>1</v>
      </c>
    </row>
    <row r="205" customFormat="false" ht="15" hidden="false" customHeight="false" outlineLevel="0" collapsed="false">
      <c r="A205" s="11" t="n">
        <v>44570.4583333333</v>
      </c>
      <c r="B205" s="0" t="n">
        <v>280.67</v>
      </c>
      <c r="C205" s="0" t="n">
        <f aca="false">WEEKDAY(A205,2)</f>
        <v>7</v>
      </c>
      <c r="D205" s="0" t="n">
        <f aca="false">DAY(A205)</f>
        <v>9</v>
      </c>
      <c r="E205" s="0" t="n">
        <f aca="false">HOUR(A205)</f>
        <v>11</v>
      </c>
      <c r="F205" s="0" t="n">
        <f aca="false">IF(C205&gt;=6,0,1)</f>
        <v>0</v>
      </c>
      <c r="G205" s="0" t="n">
        <f aca="false">VLOOKUP(E205,Sheet1!$A$2:$B$25,2,0)</f>
        <v>1</v>
      </c>
    </row>
    <row r="206" customFormat="false" ht="15" hidden="false" customHeight="false" outlineLevel="0" collapsed="false">
      <c r="A206" s="11" t="n">
        <v>44570.5</v>
      </c>
      <c r="B206" s="0" t="n">
        <v>276.42</v>
      </c>
      <c r="C206" s="0" t="n">
        <f aca="false">WEEKDAY(A206,2)</f>
        <v>7</v>
      </c>
      <c r="D206" s="0" t="n">
        <f aca="false">DAY(A206)</f>
        <v>9</v>
      </c>
      <c r="E206" s="0" t="n">
        <f aca="false">HOUR(A206)</f>
        <v>12</v>
      </c>
      <c r="F206" s="0" t="n">
        <f aca="false">IF(C206&gt;=6,0,1)</f>
        <v>0</v>
      </c>
      <c r="G206" s="0" t="n">
        <f aca="false">VLOOKUP(E206,Sheet1!$A$2:$B$25,2,0)</f>
        <v>1</v>
      </c>
    </row>
    <row r="207" customFormat="false" ht="15" hidden="false" customHeight="false" outlineLevel="0" collapsed="false">
      <c r="A207" s="11" t="n">
        <v>44570.5416666667</v>
      </c>
      <c r="B207" s="0" t="n">
        <v>282.56</v>
      </c>
      <c r="C207" s="0" t="n">
        <f aca="false">WEEKDAY(A207,2)</f>
        <v>7</v>
      </c>
      <c r="D207" s="0" t="n">
        <f aca="false">DAY(A207)</f>
        <v>9</v>
      </c>
      <c r="E207" s="0" t="n">
        <f aca="false">HOUR(A207)</f>
        <v>13</v>
      </c>
      <c r="F207" s="0" t="n">
        <f aca="false">IF(C207&gt;=6,0,1)</f>
        <v>0</v>
      </c>
      <c r="G207" s="0" t="n">
        <f aca="false">VLOOKUP(E207,Sheet1!$A$2:$B$25,2,0)</f>
        <v>1</v>
      </c>
    </row>
    <row r="208" customFormat="false" ht="15" hidden="false" customHeight="false" outlineLevel="0" collapsed="false">
      <c r="A208" s="11" t="n">
        <v>44570.5833333333</v>
      </c>
      <c r="B208" s="0" t="n">
        <v>285.63</v>
      </c>
      <c r="C208" s="0" t="n">
        <f aca="false">WEEKDAY(A208,2)</f>
        <v>7</v>
      </c>
      <c r="D208" s="0" t="n">
        <f aca="false">DAY(A208)</f>
        <v>9</v>
      </c>
      <c r="E208" s="0" t="n">
        <f aca="false">HOUR(A208)</f>
        <v>14</v>
      </c>
      <c r="F208" s="0" t="n">
        <f aca="false">IF(C208&gt;=6,0,1)</f>
        <v>0</v>
      </c>
      <c r="G208" s="0" t="n">
        <f aca="false">VLOOKUP(E208,Sheet1!$A$2:$B$25,2,0)</f>
        <v>1</v>
      </c>
    </row>
    <row r="209" customFormat="false" ht="15" hidden="false" customHeight="false" outlineLevel="0" collapsed="false">
      <c r="A209" s="11" t="n">
        <v>44570.625</v>
      </c>
      <c r="B209" s="0" t="n">
        <v>285.36</v>
      </c>
      <c r="C209" s="0" t="n">
        <f aca="false">WEEKDAY(A209,2)</f>
        <v>7</v>
      </c>
      <c r="D209" s="0" t="n">
        <f aca="false">DAY(A209)</f>
        <v>9</v>
      </c>
      <c r="E209" s="0" t="n">
        <f aca="false">HOUR(A209)</f>
        <v>15</v>
      </c>
      <c r="F209" s="0" t="n">
        <f aca="false">IF(C209&gt;=6,0,1)</f>
        <v>0</v>
      </c>
      <c r="G209" s="0" t="n">
        <f aca="false">VLOOKUP(E209,Sheet1!$A$2:$B$25,2,0)</f>
        <v>1</v>
      </c>
    </row>
    <row r="210" customFormat="false" ht="15" hidden="false" customHeight="false" outlineLevel="0" collapsed="false">
      <c r="A210" s="11" t="n">
        <v>44570.6666666667</v>
      </c>
      <c r="B210" s="0" t="n">
        <v>283.84</v>
      </c>
      <c r="C210" s="0" t="n">
        <f aca="false">WEEKDAY(A210,2)</f>
        <v>7</v>
      </c>
      <c r="D210" s="0" t="n">
        <f aca="false">DAY(A210)</f>
        <v>9</v>
      </c>
      <c r="E210" s="0" t="n">
        <f aca="false">HOUR(A210)</f>
        <v>16</v>
      </c>
      <c r="F210" s="0" t="n">
        <f aca="false">IF(C210&gt;=6,0,1)</f>
        <v>0</v>
      </c>
      <c r="G210" s="0" t="n">
        <f aca="false">VLOOKUP(E210,Sheet1!$A$2:$B$25,2,0)</f>
        <v>0</v>
      </c>
    </row>
    <row r="211" customFormat="false" ht="15" hidden="false" customHeight="false" outlineLevel="0" collapsed="false">
      <c r="A211" s="11" t="n">
        <v>44570.7083333333</v>
      </c>
      <c r="B211" s="0" t="n">
        <v>294.54</v>
      </c>
      <c r="C211" s="0" t="n">
        <f aca="false">WEEKDAY(A211,2)</f>
        <v>7</v>
      </c>
      <c r="D211" s="0" t="n">
        <f aca="false">DAY(A211)</f>
        <v>9</v>
      </c>
      <c r="E211" s="0" t="n">
        <f aca="false">HOUR(A211)</f>
        <v>17</v>
      </c>
      <c r="F211" s="0" t="n">
        <f aca="false">IF(C211&gt;=6,0,1)</f>
        <v>0</v>
      </c>
      <c r="G211" s="0" t="n">
        <f aca="false">VLOOKUP(E211,Sheet1!$A$2:$B$25,2,0)</f>
        <v>0</v>
      </c>
    </row>
    <row r="212" customFormat="false" ht="15" hidden="false" customHeight="false" outlineLevel="0" collapsed="false">
      <c r="A212" s="11" t="n">
        <v>44570.75</v>
      </c>
      <c r="B212" s="0" t="n">
        <v>295.68</v>
      </c>
      <c r="C212" s="0" t="n">
        <f aca="false">WEEKDAY(A212,2)</f>
        <v>7</v>
      </c>
      <c r="D212" s="0" t="n">
        <f aca="false">DAY(A212)</f>
        <v>9</v>
      </c>
      <c r="E212" s="0" t="n">
        <f aca="false">HOUR(A212)</f>
        <v>18</v>
      </c>
      <c r="F212" s="0" t="n">
        <f aca="false">IF(C212&gt;=6,0,1)</f>
        <v>0</v>
      </c>
      <c r="G212" s="0" t="n">
        <f aca="false">VLOOKUP(E212,Sheet1!$A$2:$B$25,2,0)</f>
        <v>0</v>
      </c>
    </row>
    <row r="213" customFormat="false" ht="15" hidden="false" customHeight="false" outlineLevel="0" collapsed="false">
      <c r="A213" s="11" t="n">
        <v>44570.7916666667</v>
      </c>
      <c r="B213" s="0" t="n">
        <v>298.35</v>
      </c>
      <c r="C213" s="0" t="n">
        <f aca="false">WEEKDAY(A213,2)</f>
        <v>7</v>
      </c>
      <c r="D213" s="0" t="n">
        <f aca="false">DAY(A213)</f>
        <v>9</v>
      </c>
      <c r="E213" s="0" t="n">
        <f aca="false">HOUR(A213)</f>
        <v>19</v>
      </c>
      <c r="F213" s="0" t="n">
        <f aca="false">IF(C213&gt;=6,0,1)</f>
        <v>0</v>
      </c>
      <c r="G213" s="0" t="n">
        <f aca="false">VLOOKUP(E213,Sheet1!$A$2:$B$25,2,0)</f>
        <v>0</v>
      </c>
    </row>
    <row r="214" customFormat="false" ht="15" hidden="false" customHeight="false" outlineLevel="0" collapsed="false">
      <c r="A214" s="11" t="n">
        <v>44570.8333333333</v>
      </c>
      <c r="B214" s="0" t="n">
        <v>297.96</v>
      </c>
      <c r="C214" s="0" t="n">
        <f aca="false">WEEKDAY(A214,2)</f>
        <v>7</v>
      </c>
      <c r="D214" s="0" t="n">
        <f aca="false">DAY(A214)</f>
        <v>9</v>
      </c>
      <c r="E214" s="0" t="n">
        <f aca="false">HOUR(A214)</f>
        <v>20</v>
      </c>
      <c r="F214" s="0" t="n">
        <f aca="false">IF(C214&gt;=6,0,1)</f>
        <v>0</v>
      </c>
      <c r="G214" s="0" t="n">
        <f aca="false">VLOOKUP(E214,Sheet1!$A$2:$B$25,2,0)</f>
        <v>0</v>
      </c>
    </row>
    <row r="215" customFormat="false" ht="15" hidden="false" customHeight="false" outlineLevel="0" collapsed="false">
      <c r="A215" s="11" t="n">
        <v>44570.875</v>
      </c>
      <c r="B215" s="0" t="n">
        <v>298.46</v>
      </c>
      <c r="C215" s="0" t="n">
        <f aca="false">WEEKDAY(A215,2)</f>
        <v>7</v>
      </c>
      <c r="D215" s="0" t="n">
        <f aca="false">DAY(A215)</f>
        <v>9</v>
      </c>
      <c r="E215" s="0" t="n">
        <f aca="false">HOUR(A215)</f>
        <v>21</v>
      </c>
      <c r="F215" s="0" t="n">
        <f aca="false">IF(C215&gt;=6,0,1)</f>
        <v>0</v>
      </c>
      <c r="G215" s="0" t="n">
        <f aca="false">VLOOKUP(E215,Sheet1!$A$2:$B$25,2,0)</f>
        <v>0</v>
      </c>
    </row>
    <row r="216" customFormat="false" ht="15" hidden="false" customHeight="false" outlineLevel="0" collapsed="false">
      <c r="A216" s="11" t="n">
        <v>44570.9166666667</v>
      </c>
      <c r="B216" s="0" t="n">
        <v>300.7</v>
      </c>
      <c r="C216" s="0" t="n">
        <f aca="false">WEEKDAY(A216,2)</f>
        <v>7</v>
      </c>
      <c r="D216" s="0" t="n">
        <f aca="false">DAY(A216)</f>
        <v>9</v>
      </c>
      <c r="E216" s="0" t="n">
        <f aca="false">HOUR(A216)</f>
        <v>22</v>
      </c>
      <c r="F216" s="0" t="n">
        <f aca="false">IF(C216&gt;=6,0,1)</f>
        <v>0</v>
      </c>
      <c r="G216" s="0" t="n">
        <f aca="false">VLOOKUP(E216,Sheet1!$A$2:$B$25,2,0)</f>
        <v>0</v>
      </c>
    </row>
    <row r="217" customFormat="false" ht="15" hidden="false" customHeight="false" outlineLevel="0" collapsed="false">
      <c r="A217" s="11" t="n">
        <v>44570.9583333333</v>
      </c>
      <c r="B217" s="0" t="n">
        <v>298.86</v>
      </c>
      <c r="C217" s="0" t="n">
        <f aca="false">WEEKDAY(A217,2)</f>
        <v>7</v>
      </c>
      <c r="D217" s="0" t="n">
        <f aca="false">DAY(A217)</f>
        <v>9</v>
      </c>
      <c r="E217" s="0" t="n">
        <f aca="false">HOUR(A217)</f>
        <v>23</v>
      </c>
      <c r="F217" s="0" t="n">
        <f aca="false">IF(C217&gt;=6,0,1)</f>
        <v>0</v>
      </c>
      <c r="G217" s="0" t="n">
        <f aca="false">VLOOKUP(E217,Sheet1!$A$2:$B$25,2,0)</f>
        <v>0</v>
      </c>
    </row>
    <row r="218" customFormat="false" ht="15" hidden="false" customHeight="false" outlineLevel="0" collapsed="false">
      <c r="A218" s="11" t="n">
        <v>44571</v>
      </c>
      <c r="B218" s="0" t="n">
        <v>300.94</v>
      </c>
      <c r="C218" s="0" t="n">
        <f aca="false">WEEKDAY(A218,2)</f>
        <v>1</v>
      </c>
      <c r="D218" s="0" t="n">
        <f aca="false">DAY(A218)</f>
        <v>10</v>
      </c>
      <c r="E218" s="0" t="n">
        <f aca="false">HOUR(A218)</f>
        <v>0</v>
      </c>
      <c r="F218" s="0" t="n">
        <f aca="false">IF(C218&gt;=6,0,1)</f>
        <v>1</v>
      </c>
      <c r="G218" s="0" t="n">
        <f aca="false">VLOOKUP(E218,Sheet1!$A$2:$B$25,2,0)</f>
        <v>0</v>
      </c>
    </row>
    <row r="219" customFormat="false" ht="15" hidden="false" customHeight="false" outlineLevel="0" collapsed="false">
      <c r="A219" s="11" t="n">
        <v>44571.0416666667</v>
      </c>
      <c r="B219" s="0" t="n">
        <v>298.44</v>
      </c>
      <c r="C219" s="0" t="n">
        <f aca="false">WEEKDAY(A219,2)</f>
        <v>1</v>
      </c>
      <c r="D219" s="0" t="n">
        <f aca="false">DAY(A219)</f>
        <v>10</v>
      </c>
      <c r="E219" s="0" t="n">
        <f aca="false">HOUR(A219)</f>
        <v>1</v>
      </c>
      <c r="F219" s="0" t="n">
        <f aca="false">IF(C219&gt;=6,0,1)</f>
        <v>1</v>
      </c>
      <c r="G219" s="0" t="n">
        <f aca="false">VLOOKUP(E219,Sheet1!$A$2:$B$25,2,0)</f>
        <v>0</v>
      </c>
    </row>
    <row r="220" customFormat="false" ht="15" hidden="false" customHeight="false" outlineLevel="0" collapsed="false">
      <c r="A220" s="11" t="n">
        <v>44571.0833333333</v>
      </c>
      <c r="B220" s="0" t="n">
        <v>300.87</v>
      </c>
      <c r="C220" s="0" t="n">
        <f aca="false">WEEKDAY(A220,2)</f>
        <v>1</v>
      </c>
      <c r="D220" s="0" t="n">
        <f aca="false">DAY(A220)</f>
        <v>10</v>
      </c>
      <c r="E220" s="0" t="n">
        <f aca="false">HOUR(A220)</f>
        <v>2</v>
      </c>
      <c r="F220" s="0" t="n">
        <f aca="false">IF(C220&gt;=6,0,1)</f>
        <v>1</v>
      </c>
      <c r="G220" s="0" t="n">
        <f aca="false">VLOOKUP(E220,Sheet1!$A$2:$B$25,2,0)</f>
        <v>0</v>
      </c>
    </row>
    <row r="221" customFormat="false" ht="15" hidden="false" customHeight="false" outlineLevel="0" collapsed="false">
      <c r="A221" s="11" t="n">
        <v>44571.125</v>
      </c>
      <c r="B221" s="0" t="n">
        <v>301.67</v>
      </c>
      <c r="C221" s="0" t="n">
        <f aca="false">WEEKDAY(A221,2)</f>
        <v>1</v>
      </c>
      <c r="D221" s="0" t="n">
        <f aca="false">DAY(A221)</f>
        <v>10</v>
      </c>
      <c r="E221" s="0" t="n">
        <f aca="false">HOUR(A221)</f>
        <v>3</v>
      </c>
      <c r="F221" s="0" t="n">
        <f aca="false">IF(C221&gt;=6,0,1)</f>
        <v>1</v>
      </c>
      <c r="G221" s="0" t="n">
        <f aca="false">VLOOKUP(E221,Sheet1!$A$2:$B$25,2,0)</f>
        <v>0</v>
      </c>
    </row>
    <row r="222" customFormat="false" ht="15" hidden="false" customHeight="false" outlineLevel="0" collapsed="false">
      <c r="A222" s="11" t="n">
        <v>44571.1666666667</v>
      </c>
      <c r="B222" s="0" t="n">
        <v>366.77</v>
      </c>
      <c r="C222" s="0" t="n">
        <f aca="false">WEEKDAY(A222,2)</f>
        <v>1</v>
      </c>
      <c r="D222" s="0" t="n">
        <f aca="false">DAY(A222)</f>
        <v>10</v>
      </c>
      <c r="E222" s="0" t="n">
        <f aca="false">HOUR(A222)</f>
        <v>4</v>
      </c>
      <c r="F222" s="0" t="n">
        <f aca="false">IF(C222&gt;=6,0,1)</f>
        <v>1</v>
      </c>
      <c r="G222" s="0" t="n">
        <f aca="false">VLOOKUP(E222,Sheet1!$A$2:$B$25,2,0)</f>
        <v>1</v>
      </c>
    </row>
    <row r="223" customFormat="false" ht="15" hidden="false" customHeight="false" outlineLevel="0" collapsed="false">
      <c r="A223" s="11" t="n">
        <v>44571.2083333333</v>
      </c>
      <c r="B223" s="0" t="n">
        <v>924.36</v>
      </c>
      <c r="C223" s="0" t="n">
        <f aca="false">WEEKDAY(A223,2)</f>
        <v>1</v>
      </c>
      <c r="D223" s="0" t="n">
        <f aca="false">DAY(A223)</f>
        <v>10</v>
      </c>
      <c r="E223" s="0" t="n">
        <f aca="false">HOUR(A223)</f>
        <v>5</v>
      </c>
      <c r="F223" s="0" t="n">
        <f aca="false">IF(C223&gt;=6,0,1)</f>
        <v>1</v>
      </c>
      <c r="G223" s="0" t="n">
        <f aca="false">VLOOKUP(E223,Sheet1!$A$2:$B$25,2,0)</f>
        <v>1</v>
      </c>
    </row>
    <row r="224" customFormat="false" ht="15" hidden="false" customHeight="false" outlineLevel="0" collapsed="false">
      <c r="A224" s="11" t="n">
        <v>44571.25</v>
      </c>
      <c r="B224" s="0" t="n">
        <v>841.83</v>
      </c>
      <c r="C224" s="0" t="n">
        <f aca="false">WEEKDAY(A224,2)</f>
        <v>1</v>
      </c>
      <c r="D224" s="0" t="n">
        <f aca="false">DAY(A224)</f>
        <v>10</v>
      </c>
      <c r="E224" s="0" t="n">
        <f aca="false">HOUR(A224)</f>
        <v>6</v>
      </c>
      <c r="F224" s="0" t="n">
        <f aca="false">IF(C224&gt;=6,0,1)</f>
        <v>1</v>
      </c>
      <c r="G224" s="0" t="n">
        <f aca="false">VLOOKUP(E224,Sheet1!$A$2:$B$25,2,0)</f>
        <v>1</v>
      </c>
    </row>
    <row r="225" customFormat="false" ht="15" hidden="false" customHeight="false" outlineLevel="0" collapsed="false">
      <c r="A225" s="11" t="n">
        <v>44571.2916666667</v>
      </c>
      <c r="B225" s="0" t="n">
        <v>903.3</v>
      </c>
      <c r="C225" s="0" t="n">
        <f aca="false">WEEKDAY(A225,2)</f>
        <v>1</v>
      </c>
      <c r="D225" s="0" t="n">
        <f aca="false">DAY(A225)</f>
        <v>10</v>
      </c>
      <c r="E225" s="0" t="n">
        <f aca="false">HOUR(A225)</f>
        <v>7</v>
      </c>
      <c r="F225" s="0" t="n">
        <f aca="false">IF(C225&gt;=6,0,1)</f>
        <v>1</v>
      </c>
      <c r="G225" s="0" t="n">
        <f aca="false">VLOOKUP(E225,Sheet1!$A$2:$B$25,2,0)</f>
        <v>1</v>
      </c>
    </row>
    <row r="226" customFormat="false" ht="15" hidden="false" customHeight="false" outlineLevel="0" collapsed="false">
      <c r="A226" s="11" t="n">
        <v>44571.3333333333</v>
      </c>
      <c r="B226" s="0" t="n">
        <v>834.22</v>
      </c>
      <c r="C226" s="0" t="n">
        <f aca="false">WEEKDAY(A226,2)</f>
        <v>1</v>
      </c>
      <c r="D226" s="0" t="n">
        <f aca="false">DAY(A226)</f>
        <v>10</v>
      </c>
      <c r="E226" s="0" t="n">
        <f aca="false">HOUR(A226)</f>
        <v>8</v>
      </c>
      <c r="F226" s="0" t="n">
        <f aca="false">IF(C226&gt;=6,0,1)</f>
        <v>1</v>
      </c>
      <c r="G226" s="0" t="n">
        <f aca="false">VLOOKUP(E226,Sheet1!$A$2:$B$25,2,0)</f>
        <v>1</v>
      </c>
    </row>
    <row r="227" customFormat="false" ht="15" hidden="false" customHeight="false" outlineLevel="0" collapsed="false">
      <c r="A227" s="11" t="n">
        <v>44571.375</v>
      </c>
      <c r="B227" s="0" t="n">
        <v>794.85</v>
      </c>
      <c r="C227" s="0" t="n">
        <f aca="false">WEEKDAY(A227,2)</f>
        <v>1</v>
      </c>
      <c r="D227" s="0" t="n">
        <f aca="false">DAY(A227)</f>
        <v>10</v>
      </c>
      <c r="E227" s="0" t="n">
        <f aca="false">HOUR(A227)</f>
        <v>9</v>
      </c>
      <c r="F227" s="0" t="n">
        <f aca="false">IF(C227&gt;=6,0,1)</f>
        <v>1</v>
      </c>
      <c r="G227" s="0" t="n">
        <f aca="false">VLOOKUP(E227,Sheet1!$A$2:$B$25,2,0)</f>
        <v>1</v>
      </c>
    </row>
    <row r="228" customFormat="false" ht="15" hidden="false" customHeight="false" outlineLevel="0" collapsed="false">
      <c r="A228" s="11" t="n">
        <v>44571.4166666667</v>
      </c>
      <c r="B228" s="0" t="n">
        <v>814.06</v>
      </c>
      <c r="C228" s="0" t="n">
        <f aca="false">WEEKDAY(A228,2)</f>
        <v>1</v>
      </c>
      <c r="D228" s="0" t="n">
        <f aca="false">DAY(A228)</f>
        <v>10</v>
      </c>
      <c r="E228" s="0" t="n">
        <f aca="false">HOUR(A228)</f>
        <v>10</v>
      </c>
      <c r="F228" s="0" t="n">
        <f aca="false">IF(C228&gt;=6,0,1)</f>
        <v>1</v>
      </c>
      <c r="G228" s="0" t="n">
        <f aca="false">VLOOKUP(E228,Sheet1!$A$2:$B$25,2,0)</f>
        <v>1</v>
      </c>
    </row>
    <row r="229" customFormat="false" ht="15" hidden="false" customHeight="false" outlineLevel="0" collapsed="false">
      <c r="A229" s="11" t="n">
        <v>44571.4583333333</v>
      </c>
      <c r="B229" s="0" t="n">
        <v>850.95</v>
      </c>
      <c r="C229" s="0" t="n">
        <f aca="false">WEEKDAY(A229,2)</f>
        <v>1</v>
      </c>
      <c r="D229" s="0" t="n">
        <f aca="false">DAY(A229)</f>
        <v>10</v>
      </c>
      <c r="E229" s="0" t="n">
        <f aca="false">HOUR(A229)</f>
        <v>11</v>
      </c>
      <c r="F229" s="0" t="n">
        <f aca="false">IF(C229&gt;=6,0,1)</f>
        <v>1</v>
      </c>
      <c r="G229" s="0" t="n">
        <f aca="false">VLOOKUP(E229,Sheet1!$A$2:$B$25,2,0)</f>
        <v>1</v>
      </c>
    </row>
    <row r="230" customFormat="false" ht="15" hidden="false" customHeight="false" outlineLevel="0" collapsed="false">
      <c r="A230" s="11" t="n">
        <v>44571.5</v>
      </c>
      <c r="B230" s="0" t="n">
        <v>799.66</v>
      </c>
      <c r="C230" s="0" t="n">
        <f aca="false">WEEKDAY(A230,2)</f>
        <v>1</v>
      </c>
      <c r="D230" s="0" t="n">
        <f aca="false">DAY(A230)</f>
        <v>10</v>
      </c>
      <c r="E230" s="0" t="n">
        <f aca="false">HOUR(A230)</f>
        <v>12</v>
      </c>
      <c r="F230" s="0" t="n">
        <f aca="false">IF(C230&gt;=6,0,1)</f>
        <v>1</v>
      </c>
      <c r="G230" s="0" t="n">
        <f aca="false">VLOOKUP(E230,Sheet1!$A$2:$B$25,2,0)</f>
        <v>1</v>
      </c>
    </row>
    <row r="231" customFormat="false" ht="15" hidden="false" customHeight="false" outlineLevel="0" collapsed="false">
      <c r="A231" s="11" t="n">
        <v>44571.5416666667</v>
      </c>
      <c r="B231" s="0" t="n">
        <v>731.96</v>
      </c>
      <c r="C231" s="0" t="n">
        <f aca="false">WEEKDAY(A231,2)</f>
        <v>1</v>
      </c>
      <c r="D231" s="0" t="n">
        <f aca="false">DAY(A231)</f>
        <v>10</v>
      </c>
      <c r="E231" s="0" t="n">
        <f aca="false">HOUR(A231)</f>
        <v>13</v>
      </c>
      <c r="F231" s="0" t="n">
        <f aca="false">IF(C231&gt;=6,0,1)</f>
        <v>1</v>
      </c>
      <c r="G231" s="0" t="n">
        <f aca="false">VLOOKUP(E231,Sheet1!$A$2:$B$25,2,0)</f>
        <v>1</v>
      </c>
    </row>
    <row r="232" customFormat="false" ht="15" hidden="false" customHeight="false" outlineLevel="0" collapsed="false">
      <c r="A232" s="11" t="n">
        <v>44571.5833333333</v>
      </c>
      <c r="B232" s="0" t="n">
        <v>348.77</v>
      </c>
      <c r="C232" s="0" t="n">
        <f aca="false">WEEKDAY(A232,2)</f>
        <v>1</v>
      </c>
      <c r="D232" s="0" t="n">
        <f aca="false">DAY(A232)</f>
        <v>10</v>
      </c>
      <c r="E232" s="0" t="n">
        <f aca="false">HOUR(A232)</f>
        <v>14</v>
      </c>
      <c r="F232" s="0" t="n">
        <f aca="false">IF(C232&gt;=6,0,1)</f>
        <v>1</v>
      </c>
      <c r="G232" s="0" t="n">
        <f aca="false">VLOOKUP(E232,Sheet1!$A$2:$B$25,2,0)</f>
        <v>1</v>
      </c>
    </row>
    <row r="233" customFormat="false" ht="15" hidden="false" customHeight="false" outlineLevel="0" collapsed="false">
      <c r="A233" s="11" t="n">
        <v>44571.625</v>
      </c>
      <c r="B233" s="0" t="n">
        <v>341.34</v>
      </c>
      <c r="C233" s="0" t="n">
        <f aca="false">WEEKDAY(A233,2)</f>
        <v>1</v>
      </c>
      <c r="D233" s="0" t="n">
        <f aca="false">DAY(A233)</f>
        <v>10</v>
      </c>
      <c r="E233" s="0" t="n">
        <f aca="false">HOUR(A233)</f>
        <v>15</v>
      </c>
      <c r="F233" s="0" t="n">
        <f aca="false">IF(C233&gt;=6,0,1)</f>
        <v>1</v>
      </c>
      <c r="G233" s="0" t="n">
        <f aca="false">VLOOKUP(E233,Sheet1!$A$2:$B$25,2,0)</f>
        <v>1</v>
      </c>
    </row>
    <row r="234" customFormat="false" ht="15" hidden="false" customHeight="false" outlineLevel="0" collapsed="false">
      <c r="A234" s="11" t="n">
        <v>44571.6666666667</v>
      </c>
      <c r="B234" s="0" t="n">
        <v>335.57</v>
      </c>
      <c r="C234" s="0" t="n">
        <f aca="false">WEEKDAY(A234,2)</f>
        <v>1</v>
      </c>
      <c r="D234" s="0" t="n">
        <f aca="false">DAY(A234)</f>
        <v>10</v>
      </c>
      <c r="E234" s="0" t="n">
        <f aca="false">HOUR(A234)</f>
        <v>16</v>
      </c>
      <c r="F234" s="0" t="n">
        <f aca="false">IF(C234&gt;=6,0,1)</f>
        <v>1</v>
      </c>
      <c r="G234" s="0" t="n">
        <f aca="false">VLOOKUP(E234,Sheet1!$A$2:$B$25,2,0)</f>
        <v>0</v>
      </c>
    </row>
    <row r="235" customFormat="false" ht="15" hidden="false" customHeight="false" outlineLevel="0" collapsed="false">
      <c r="A235" s="11" t="n">
        <v>44571.7083333333</v>
      </c>
      <c r="B235" s="0" t="n">
        <v>336.93</v>
      </c>
      <c r="C235" s="0" t="n">
        <f aca="false">WEEKDAY(A235,2)</f>
        <v>1</v>
      </c>
      <c r="D235" s="0" t="n">
        <f aca="false">DAY(A235)</f>
        <v>10</v>
      </c>
      <c r="E235" s="0" t="n">
        <f aca="false">HOUR(A235)</f>
        <v>17</v>
      </c>
      <c r="F235" s="0" t="n">
        <f aca="false">IF(C235&gt;=6,0,1)</f>
        <v>1</v>
      </c>
      <c r="G235" s="0" t="n">
        <f aca="false">VLOOKUP(E235,Sheet1!$A$2:$B$25,2,0)</f>
        <v>0</v>
      </c>
    </row>
    <row r="236" customFormat="false" ht="15" hidden="false" customHeight="false" outlineLevel="0" collapsed="false">
      <c r="A236" s="11" t="n">
        <v>44571.75</v>
      </c>
      <c r="B236" s="0" t="n">
        <v>326.38</v>
      </c>
      <c r="C236" s="0" t="n">
        <f aca="false">WEEKDAY(A236,2)</f>
        <v>1</v>
      </c>
      <c r="D236" s="0" t="n">
        <f aca="false">DAY(A236)</f>
        <v>10</v>
      </c>
      <c r="E236" s="0" t="n">
        <f aca="false">HOUR(A236)</f>
        <v>18</v>
      </c>
      <c r="F236" s="0" t="n">
        <f aca="false">IF(C236&gt;=6,0,1)</f>
        <v>1</v>
      </c>
      <c r="G236" s="0" t="n">
        <f aca="false">VLOOKUP(E236,Sheet1!$A$2:$B$25,2,0)</f>
        <v>0</v>
      </c>
    </row>
    <row r="237" customFormat="false" ht="15" hidden="false" customHeight="false" outlineLevel="0" collapsed="false">
      <c r="A237" s="11" t="n">
        <v>44571.7916666667</v>
      </c>
      <c r="B237" s="0" t="n">
        <v>330.68</v>
      </c>
      <c r="C237" s="0" t="n">
        <f aca="false">WEEKDAY(A237,2)</f>
        <v>1</v>
      </c>
      <c r="D237" s="0" t="n">
        <f aca="false">DAY(A237)</f>
        <v>10</v>
      </c>
      <c r="E237" s="0" t="n">
        <f aca="false">HOUR(A237)</f>
        <v>19</v>
      </c>
      <c r="F237" s="0" t="n">
        <f aca="false">IF(C237&gt;=6,0,1)</f>
        <v>1</v>
      </c>
      <c r="G237" s="0" t="n">
        <f aca="false">VLOOKUP(E237,Sheet1!$A$2:$B$25,2,0)</f>
        <v>0</v>
      </c>
    </row>
    <row r="238" customFormat="false" ht="15" hidden="false" customHeight="false" outlineLevel="0" collapsed="false">
      <c r="A238" s="11" t="n">
        <v>44571.8333333333</v>
      </c>
      <c r="B238" s="0" t="n">
        <v>338.97</v>
      </c>
      <c r="C238" s="0" t="n">
        <f aca="false">WEEKDAY(A238,2)</f>
        <v>1</v>
      </c>
      <c r="D238" s="0" t="n">
        <f aca="false">DAY(A238)</f>
        <v>10</v>
      </c>
      <c r="E238" s="0" t="n">
        <f aca="false">HOUR(A238)</f>
        <v>20</v>
      </c>
      <c r="F238" s="0" t="n">
        <f aca="false">IF(C238&gt;=6,0,1)</f>
        <v>1</v>
      </c>
      <c r="G238" s="0" t="n">
        <f aca="false">VLOOKUP(E238,Sheet1!$A$2:$B$25,2,0)</f>
        <v>0</v>
      </c>
    </row>
    <row r="239" customFormat="false" ht="15" hidden="false" customHeight="false" outlineLevel="0" collapsed="false">
      <c r="A239" s="11" t="n">
        <v>44571.875</v>
      </c>
      <c r="B239" s="0" t="n">
        <v>321.47</v>
      </c>
      <c r="C239" s="0" t="n">
        <f aca="false">WEEKDAY(A239,2)</f>
        <v>1</v>
      </c>
      <c r="D239" s="0" t="n">
        <f aca="false">DAY(A239)</f>
        <v>10</v>
      </c>
      <c r="E239" s="0" t="n">
        <f aca="false">HOUR(A239)</f>
        <v>21</v>
      </c>
      <c r="F239" s="0" t="n">
        <f aca="false">IF(C239&gt;=6,0,1)</f>
        <v>1</v>
      </c>
      <c r="G239" s="0" t="n">
        <f aca="false">VLOOKUP(E239,Sheet1!$A$2:$B$25,2,0)</f>
        <v>0</v>
      </c>
    </row>
    <row r="240" customFormat="false" ht="15" hidden="false" customHeight="false" outlineLevel="0" collapsed="false">
      <c r="A240" s="11" t="n">
        <v>44571.9166666667</v>
      </c>
      <c r="B240" s="0" t="n">
        <v>324.22</v>
      </c>
      <c r="C240" s="0" t="n">
        <f aca="false">WEEKDAY(A240,2)</f>
        <v>1</v>
      </c>
      <c r="D240" s="0" t="n">
        <f aca="false">DAY(A240)</f>
        <v>10</v>
      </c>
      <c r="E240" s="0" t="n">
        <f aca="false">HOUR(A240)</f>
        <v>22</v>
      </c>
      <c r="F240" s="0" t="n">
        <f aca="false">IF(C240&gt;=6,0,1)</f>
        <v>1</v>
      </c>
      <c r="G240" s="0" t="n">
        <f aca="false">VLOOKUP(E240,Sheet1!$A$2:$B$25,2,0)</f>
        <v>0</v>
      </c>
    </row>
    <row r="241" customFormat="false" ht="15" hidden="false" customHeight="false" outlineLevel="0" collapsed="false">
      <c r="A241" s="11" t="n">
        <v>44571.9583333333</v>
      </c>
      <c r="B241" s="0" t="n">
        <v>328.27</v>
      </c>
      <c r="C241" s="0" t="n">
        <f aca="false">WEEKDAY(A241,2)</f>
        <v>1</v>
      </c>
      <c r="D241" s="0" t="n">
        <f aca="false">DAY(A241)</f>
        <v>10</v>
      </c>
      <c r="E241" s="0" t="n">
        <f aca="false">HOUR(A241)</f>
        <v>23</v>
      </c>
      <c r="F241" s="0" t="n">
        <f aca="false">IF(C241&gt;=6,0,1)</f>
        <v>1</v>
      </c>
      <c r="G241" s="0" t="n">
        <f aca="false">VLOOKUP(E241,Sheet1!$A$2:$B$25,2,0)</f>
        <v>0</v>
      </c>
    </row>
    <row r="242" customFormat="false" ht="15" hidden="false" customHeight="false" outlineLevel="0" collapsed="false">
      <c r="A242" s="11" t="n">
        <v>44572</v>
      </c>
      <c r="B242" s="0" t="n">
        <v>327.91</v>
      </c>
      <c r="C242" s="0" t="n">
        <f aca="false">WEEKDAY(A242,2)</f>
        <v>2</v>
      </c>
      <c r="D242" s="0" t="n">
        <f aca="false">DAY(A242)</f>
        <v>11</v>
      </c>
      <c r="E242" s="0" t="n">
        <f aca="false">HOUR(A242)</f>
        <v>0</v>
      </c>
      <c r="F242" s="0" t="n">
        <f aca="false">IF(C242&gt;=6,0,1)</f>
        <v>1</v>
      </c>
      <c r="G242" s="0" t="n">
        <f aca="false">VLOOKUP(E242,Sheet1!$A$2:$B$25,2,0)</f>
        <v>0</v>
      </c>
    </row>
    <row r="243" customFormat="false" ht="15" hidden="false" customHeight="false" outlineLevel="0" collapsed="false">
      <c r="A243" s="11" t="n">
        <v>44572.0416666667</v>
      </c>
      <c r="B243" s="0" t="n">
        <v>323.44</v>
      </c>
      <c r="C243" s="0" t="n">
        <f aca="false">WEEKDAY(A243,2)</f>
        <v>2</v>
      </c>
      <c r="D243" s="0" t="n">
        <f aca="false">DAY(A243)</f>
        <v>11</v>
      </c>
      <c r="E243" s="0" t="n">
        <f aca="false">HOUR(A243)</f>
        <v>1</v>
      </c>
      <c r="F243" s="0" t="n">
        <f aca="false">IF(C243&gt;=6,0,1)</f>
        <v>1</v>
      </c>
      <c r="G243" s="0" t="n">
        <f aca="false">VLOOKUP(E243,Sheet1!$A$2:$B$25,2,0)</f>
        <v>0</v>
      </c>
    </row>
    <row r="244" customFormat="false" ht="15" hidden="false" customHeight="false" outlineLevel="0" collapsed="false">
      <c r="A244" s="11" t="n">
        <v>44572.0833333333</v>
      </c>
      <c r="B244" s="0" t="n">
        <v>323.4</v>
      </c>
      <c r="C244" s="0" t="n">
        <f aca="false">WEEKDAY(A244,2)</f>
        <v>2</v>
      </c>
      <c r="D244" s="0" t="n">
        <f aca="false">DAY(A244)</f>
        <v>11</v>
      </c>
      <c r="E244" s="0" t="n">
        <f aca="false">HOUR(A244)</f>
        <v>2</v>
      </c>
      <c r="F244" s="0" t="n">
        <f aca="false">IF(C244&gt;=6,0,1)</f>
        <v>1</v>
      </c>
      <c r="G244" s="0" t="n">
        <f aca="false">VLOOKUP(E244,Sheet1!$A$2:$B$25,2,0)</f>
        <v>0</v>
      </c>
    </row>
    <row r="245" customFormat="false" ht="15" hidden="false" customHeight="false" outlineLevel="0" collapsed="false">
      <c r="A245" s="11" t="n">
        <v>44572.125</v>
      </c>
      <c r="B245" s="0" t="n">
        <v>326.7</v>
      </c>
      <c r="C245" s="0" t="n">
        <f aca="false">WEEKDAY(A245,2)</f>
        <v>2</v>
      </c>
      <c r="D245" s="0" t="n">
        <f aca="false">DAY(A245)</f>
        <v>11</v>
      </c>
      <c r="E245" s="0" t="n">
        <f aca="false">HOUR(A245)</f>
        <v>3</v>
      </c>
      <c r="F245" s="0" t="n">
        <f aca="false">IF(C245&gt;=6,0,1)</f>
        <v>1</v>
      </c>
      <c r="G245" s="0" t="n">
        <f aca="false">VLOOKUP(E245,Sheet1!$A$2:$B$25,2,0)</f>
        <v>0</v>
      </c>
    </row>
    <row r="246" customFormat="false" ht="15" hidden="false" customHeight="false" outlineLevel="0" collapsed="false">
      <c r="A246" s="11" t="n">
        <v>44572.1666666667</v>
      </c>
      <c r="B246" s="0" t="n">
        <v>349.78</v>
      </c>
      <c r="C246" s="0" t="n">
        <f aca="false">WEEKDAY(A246,2)</f>
        <v>2</v>
      </c>
      <c r="D246" s="0" t="n">
        <f aca="false">DAY(A246)</f>
        <v>11</v>
      </c>
      <c r="E246" s="0" t="n">
        <f aca="false">HOUR(A246)</f>
        <v>4</v>
      </c>
      <c r="F246" s="0" t="n">
        <f aca="false">IF(C246&gt;=6,0,1)</f>
        <v>1</v>
      </c>
      <c r="G246" s="0" t="n">
        <f aca="false">VLOOKUP(E246,Sheet1!$A$2:$B$25,2,0)</f>
        <v>1</v>
      </c>
    </row>
    <row r="247" customFormat="false" ht="15" hidden="false" customHeight="false" outlineLevel="0" collapsed="false">
      <c r="A247" s="11" t="n">
        <v>44572.2083333333</v>
      </c>
      <c r="B247" s="0" t="n">
        <v>842</v>
      </c>
      <c r="C247" s="0" t="n">
        <f aca="false">WEEKDAY(A247,2)</f>
        <v>2</v>
      </c>
      <c r="D247" s="0" t="n">
        <f aca="false">DAY(A247)</f>
        <v>11</v>
      </c>
      <c r="E247" s="0" t="n">
        <f aca="false">HOUR(A247)</f>
        <v>5</v>
      </c>
      <c r="F247" s="0" t="n">
        <f aca="false">IF(C247&gt;=6,0,1)</f>
        <v>1</v>
      </c>
      <c r="G247" s="0" t="n">
        <f aca="false">VLOOKUP(E247,Sheet1!$A$2:$B$25,2,0)</f>
        <v>1</v>
      </c>
    </row>
    <row r="248" customFormat="false" ht="15" hidden="false" customHeight="false" outlineLevel="0" collapsed="false">
      <c r="A248" s="11" t="n">
        <v>44572.25</v>
      </c>
      <c r="B248" s="0" t="n">
        <v>850.54</v>
      </c>
      <c r="C248" s="0" t="n">
        <f aca="false">WEEKDAY(A248,2)</f>
        <v>2</v>
      </c>
      <c r="D248" s="0" t="n">
        <f aca="false">DAY(A248)</f>
        <v>11</v>
      </c>
      <c r="E248" s="0" t="n">
        <f aca="false">HOUR(A248)</f>
        <v>6</v>
      </c>
      <c r="F248" s="0" t="n">
        <f aca="false">IF(C248&gt;=6,0,1)</f>
        <v>1</v>
      </c>
      <c r="G248" s="0" t="n">
        <f aca="false">VLOOKUP(E248,Sheet1!$A$2:$B$25,2,0)</f>
        <v>1</v>
      </c>
    </row>
    <row r="249" customFormat="false" ht="15" hidden="false" customHeight="false" outlineLevel="0" collapsed="false">
      <c r="A249" s="11" t="n">
        <v>44572.2916666667</v>
      </c>
      <c r="B249" s="0" t="n">
        <v>853.97</v>
      </c>
      <c r="C249" s="0" t="n">
        <f aca="false">WEEKDAY(A249,2)</f>
        <v>2</v>
      </c>
      <c r="D249" s="0" t="n">
        <f aca="false">DAY(A249)</f>
        <v>11</v>
      </c>
      <c r="E249" s="0" t="n">
        <f aca="false">HOUR(A249)</f>
        <v>7</v>
      </c>
      <c r="F249" s="0" t="n">
        <f aca="false">IF(C249&gt;=6,0,1)</f>
        <v>1</v>
      </c>
      <c r="G249" s="0" t="n">
        <f aca="false">VLOOKUP(E249,Sheet1!$A$2:$B$25,2,0)</f>
        <v>1</v>
      </c>
    </row>
    <row r="250" customFormat="false" ht="15" hidden="false" customHeight="false" outlineLevel="0" collapsed="false">
      <c r="A250" s="11" t="n">
        <v>44572.3333333333</v>
      </c>
      <c r="B250" s="0" t="n">
        <v>862.3</v>
      </c>
      <c r="C250" s="0" t="n">
        <f aca="false">WEEKDAY(A250,2)</f>
        <v>2</v>
      </c>
      <c r="D250" s="0" t="n">
        <f aca="false">DAY(A250)</f>
        <v>11</v>
      </c>
      <c r="E250" s="0" t="n">
        <f aca="false">HOUR(A250)</f>
        <v>8</v>
      </c>
      <c r="F250" s="0" t="n">
        <f aca="false">IF(C250&gt;=6,0,1)</f>
        <v>1</v>
      </c>
      <c r="G250" s="0" t="n">
        <f aca="false">VLOOKUP(E250,Sheet1!$A$2:$B$25,2,0)</f>
        <v>1</v>
      </c>
    </row>
    <row r="251" customFormat="false" ht="15" hidden="false" customHeight="false" outlineLevel="0" collapsed="false">
      <c r="A251" s="11" t="n">
        <v>44572.375</v>
      </c>
      <c r="B251" s="0" t="n">
        <v>870.22</v>
      </c>
      <c r="C251" s="0" t="n">
        <f aca="false">WEEKDAY(A251,2)</f>
        <v>2</v>
      </c>
      <c r="D251" s="0" t="n">
        <f aca="false">DAY(A251)</f>
        <v>11</v>
      </c>
      <c r="E251" s="0" t="n">
        <f aca="false">HOUR(A251)</f>
        <v>9</v>
      </c>
      <c r="F251" s="0" t="n">
        <f aca="false">IF(C251&gt;=6,0,1)</f>
        <v>1</v>
      </c>
      <c r="G251" s="0" t="n">
        <f aca="false">VLOOKUP(E251,Sheet1!$A$2:$B$25,2,0)</f>
        <v>1</v>
      </c>
    </row>
    <row r="252" customFormat="false" ht="15" hidden="false" customHeight="false" outlineLevel="0" collapsed="false">
      <c r="A252" s="11" t="n">
        <v>44572.4166666667</v>
      </c>
      <c r="B252" s="0" t="n">
        <v>852.82</v>
      </c>
      <c r="C252" s="0" t="n">
        <f aca="false">WEEKDAY(A252,2)</f>
        <v>2</v>
      </c>
      <c r="D252" s="0" t="n">
        <f aca="false">DAY(A252)</f>
        <v>11</v>
      </c>
      <c r="E252" s="0" t="n">
        <f aca="false">HOUR(A252)</f>
        <v>10</v>
      </c>
      <c r="F252" s="0" t="n">
        <f aca="false">IF(C252&gt;=6,0,1)</f>
        <v>1</v>
      </c>
      <c r="G252" s="0" t="n">
        <f aca="false">VLOOKUP(E252,Sheet1!$A$2:$B$25,2,0)</f>
        <v>1</v>
      </c>
    </row>
    <row r="253" customFormat="false" ht="15" hidden="false" customHeight="false" outlineLevel="0" collapsed="false">
      <c r="A253" s="11" t="n">
        <v>44572.4583333333</v>
      </c>
      <c r="B253" s="0" t="n">
        <v>793.92</v>
      </c>
      <c r="C253" s="0" t="n">
        <f aca="false">WEEKDAY(A253,2)</f>
        <v>2</v>
      </c>
      <c r="D253" s="0" t="n">
        <f aca="false">DAY(A253)</f>
        <v>11</v>
      </c>
      <c r="E253" s="0" t="n">
        <f aca="false">HOUR(A253)</f>
        <v>11</v>
      </c>
      <c r="F253" s="0" t="n">
        <f aca="false">IF(C253&gt;=6,0,1)</f>
        <v>1</v>
      </c>
      <c r="G253" s="0" t="n">
        <f aca="false">VLOOKUP(E253,Sheet1!$A$2:$B$25,2,0)</f>
        <v>1</v>
      </c>
    </row>
    <row r="254" customFormat="false" ht="15" hidden="false" customHeight="false" outlineLevel="0" collapsed="false">
      <c r="A254" s="11" t="n">
        <v>44572.5</v>
      </c>
      <c r="B254" s="0" t="n">
        <v>780.06</v>
      </c>
      <c r="C254" s="0" t="n">
        <f aca="false">WEEKDAY(A254,2)</f>
        <v>2</v>
      </c>
      <c r="D254" s="0" t="n">
        <f aca="false">DAY(A254)</f>
        <v>11</v>
      </c>
      <c r="E254" s="0" t="n">
        <f aca="false">HOUR(A254)</f>
        <v>12</v>
      </c>
      <c r="F254" s="0" t="n">
        <f aca="false">IF(C254&gt;=6,0,1)</f>
        <v>1</v>
      </c>
      <c r="G254" s="0" t="n">
        <f aca="false">VLOOKUP(E254,Sheet1!$A$2:$B$25,2,0)</f>
        <v>1</v>
      </c>
    </row>
    <row r="255" customFormat="false" ht="15" hidden="false" customHeight="false" outlineLevel="0" collapsed="false">
      <c r="A255" s="11" t="n">
        <v>44572.5416666667</v>
      </c>
      <c r="B255" s="0" t="n">
        <v>517.71</v>
      </c>
      <c r="C255" s="0" t="n">
        <f aca="false">WEEKDAY(A255,2)</f>
        <v>2</v>
      </c>
      <c r="D255" s="0" t="n">
        <f aca="false">DAY(A255)</f>
        <v>11</v>
      </c>
      <c r="E255" s="0" t="n">
        <f aca="false">HOUR(A255)</f>
        <v>13</v>
      </c>
      <c r="F255" s="0" t="n">
        <f aca="false">IF(C255&gt;=6,0,1)</f>
        <v>1</v>
      </c>
      <c r="G255" s="0" t="n">
        <f aca="false">VLOOKUP(E255,Sheet1!$A$2:$B$25,2,0)</f>
        <v>1</v>
      </c>
    </row>
    <row r="256" customFormat="false" ht="15" hidden="false" customHeight="false" outlineLevel="0" collapsed="false">
      <c r="A256" s="11" t="n">
        <v>44572.5833333333</v>
      </c>
      <c r="B256" s="0" t="n">
        <v>349.89</v>
      </c>
      <c r="C256" s="0" t="n">
        <f aca="false">WEEKDAY(A256,2)</f>
        <v>2</v>
      </c>
      <c r="D256" s="0" t="n">
        <f aca="false">DAY(A256)</f>
        <v>11</v>
      </c>
      <c r="E256" s="0" t="n">
        <f aca="false">HOUR(A256)</f>
        <v>14</v>
      </c>
      <c r="F256" s="0" t="n">
        <f aca="false">IF(C256&gt;=6,0,1)</f>
        <v>1</v>
      </c>
      <c r="G256" s="0" t="n">
        <f aca="false">VLOOKUP(E256,Sheet1!$A$2:$B$25,2,0)</f>
        <v>1</v>
      </c>
    </row>
    <row r="257" customFormat="false" ht="15" hidden="false" customHeight="false" outlineLevel="0" collapsed="false">
      <c r="A257" s="11" t="n">
        <v>44572.625</v>
      </c>
      <c r="B257" s="0" t="n">
        <v>341.65</v>
      </c>
      <c r="C257" s="0" t="n">
        <f aca="false">WEEKDAY(A257,2)</f>
        <v>2</v>
      </c>
      <c r="D257" s="0" t="n">
        <f aca="false">DAY(A257)</f>
        <v>11</v>
      </c>
      <c r="E257" s="0" t="n">
        <f aca="false">HOUR(A257)</f>
        <v>15</v>
      </c>
      <c r="F257" s="0" t="n">
        <f aca="false">IF(C257&gt;=6,0,1)</f>
        <v>1</v>
      </c>
      <c r="G257" s="0" t="n">
        <f aca="false">VLOOKUP(E257,Sheet1!$A$2:$B$25,2,0)</f>
        <v>1</v>
      </c>
    </row>
    <row r="258" customFormat="false" ht="15" hidden="false" customHeight="false" outlineLevel="0" collapsed="false">
      <c r="A258" s="11" t="n">
        <v>44572.6666666667</v>
      </c>
      <c r="B258" s="0" t="n">
        <v>327.04</v>
      </c>
      <c r="C258" s="0" t="n">
        <f aca="false">WEEKDAY(A258,2)</f>
        <v>2</v>
      </c>
      <c r="D258" s="0" t="n">
        <f aca="false">DAY(A258)</f>
        <v>11</v>
      </c>
      <c r="E258" s="0" t="n">
        <f aca="false">HOUR(A258)</f>
        <v>16</v>
      </c>
      <c r="F258" s="0" t="n">
        <f aca="false">IF(C258&gt;=6,0,1)</f>
        <v>1</v>
      </c>
      <c r="G258" s="0" t="n">
        <f aca="false">VLOOKUP(E258,Sheet1!$A$2:$B$25,2,0)</f>
        <v>0</v>
      </c>
    </row>
    <row r="259" customFormat="false" ht="15" hidden="false" customHeight="false" outlineLevel="0" collapsed="false">
      <c r="A259" s="11" t="n">
        <v>44572.7083333333</v>
      </c>
      <c r="B259" s="0" t="n">
        <v>331.41</v>
      </c>
      <c r="C259" s="0" t="n">
        <f aca="false">WEEKDAY(A259,2)</f>
        <v>2</v>
      </c>
      <c r="D259" s="0" t="n">
        <f aca="false">DAY(A259)</f>
        <v>11</v>
      </c>
      <c r="E259" s="0" t="n">
        <f aca="false">HOUR(A259)</f>
        <v>17</v>
      </c>
      <c r="F259" s="0" t="n">
        <f aca="false">IF(C259&gt;=6,0,1)</f>
        <v>1</v>
      </c>
      <c r="G259" s="0" t="n">
        <f aca="false">VLOOKUP(E259,Sheet1!$A$2:$B$25,2,0)</f>
        <v>0</v>
      </c>
    </row>
    <row r="260" customFormat="false" ht="15" hidden="false" customHeight="false" outlineLevel="0" collapsed="false">
      <c r="A260" s="11" t="n">
        <v>44572.75</v>
      </c>
      <c r="B260" s="0" t="n">
        <v>313.56</v>
      </c>
      <c r="C260" s="0" t="n">
        <f aca="false">WEEKDAY(A260,2)</f>
        <v>2</v>
      </c>
      <c r="D260" s="0" t="n">
        <f aca="false">DAY(A260)</f>
        <v>11</v>
      </c>
      <c r="E260" s="0" t="n">
        <f aca="false">HOUR(A260)</f>
        <v>18</v>
      </c>
      <c r="F260" s="0" t="n">
        <f aca="false">IF(C260&gt;=6,0,1)</f>
        <v>1</v>
      </c>
      <c r="G260" s="0" t="n">
        <f aca="false">VLOOKUP(E260,Sheet1!$A$2:$B$25,2,0)</f>
        <v>0</v>
      </c>
    </row>
    <row r="261" customFormat="false" ht="15" hidden="false" customHeight="false" outlineLevel="0" collapsed="false">
      <c r="A261" s="11" t="n">
        <v>44572.7916666667</v>
      </c>
      <c r="B261" s="0" t="n">
        <v>315.7</v>
      </c>
      <c r="C261" s="0" t="n">
        <f aca="false">WEEKDAY(A261,2)</f>
        <v>2</v>
      </c>
      <c r="D261" s="0" t="n">
        <f aca="false">DAY(A261)</f>
        <v>11</v>
      </c>
      <c r="E261" s="0" t="n">
        <f aca="false">HOUR(A261)</f>
        <v>19</v>
      </c>
      <c r="F261" s="0" t="n">
        <f aca="false">IF(C261&gt;=6,0,1)</f>
        <v>1</v>
      </c>
      <c r="G261" s="0" t="n">
        <f aca="false">VLOOKUP(E261,Sheet1!$A$2:$B$25,2,0)</f>
        <v>0</v>
      </c>
    </row>
    <row r="262" customFormat="false" ht="15" hidden="false" customHeight="false" outlineLevel="0" collapsed="false">
      <c r="A262" s="11" t="n">
        <v>44572.8333333333</v>
      </c>
      <c r="B262" s="0" t="n">
        <v>306.91</v>
      </c>
      <c r="C262" s="0" t="n">
        <f aca="false">WEEKDAY(A262,2)</f>
        <v>2</v>
      </c>
      <c r="D262" s="0" t="n">
        <f aca="false">DAY(A262)</f>
        <v>11</v>
      </c>
      <c r="E262" s="0" t="n">
        <f aca="false">HOUR(A262)</f>
        <v>20</v>
      </c>
      <c r="F262" s="0" t="n">
        <f aca="false">IF(C262&gt;=6,0,1)</f>
        <v>1</v>
      </c>
      <c r="G262" s="0" t="n">
        <f aca="false">VLOOKUP(E262,Sheet1!$A$2:$B$25,2,0)</f>
        <v>0</v>
      </c>
    </row>
    <row r="263" customFormat="false" ht="15" hidden="false" customHeight="false" outlineLevel="0" collapsed="false">
      <c r="A263" s="11" t="n">
        <v>44572.875</v>
      </c>
      <c r="B263" s="0" t="n">
        <v>303.17</v>
      </c>
      <c r="C263" s="0" t="n">
        <f aca="false">WEEKDAY(A263,2)</f>
        <v>2</v>
      </c>
      <c r="D263" s="0" t="n">
        <f aca="false">DAY(A263)</f>
        <v>11</v>
      </c>
      <c r="E263" s="0" t="n">
        <f aca="false">HOUR(A263)</f>
        <v>21</v>
      </c>
      <c r="F263" s="0" t="n">
        <f aca="false">IF(C263&gt;=6,0,1)</f>
        <v>1</v>
      </c>
      <c r="G263" s="0" t="n">
        <f aca="false">VLOOKUP(E263,Sheet1!$A$2:$B$25,2,0)</f>
        <v>0</v>
      </c>
    </row>
    <row r="264" customFormat="false" ht="15" hidden="false" customHeight="false" outlineLevel="0" collapsed="false">
      <c r="A264" s="11" t="n">
        <v>44572.9166666667</v>
      </c>
      <c r="B264" s="0" t="n">
        <v>302.15</v>
      </c>
      <c r="C264" s="0" t="n">
        <f aca="false">WEEKDAY(A264,2)</f>
        <v>2</v>
      </c>
      <c r="D264" s="0" t="n">
        <f aca="false">DAY(A264)</f>
        <v>11</v>
      </c>
      <c r="E264" s="0" t="n">
        <f aca="false">HOUR(A264)</f>
        <v>22</v>
      </c>
      <c r="F264" s="0" t="n">
        <f aca="false">IF(C264&gt;=6,0,1)</f>
        <v>1</v>
      </c>
      <c r="G264" s="0" t="n">
        <f aca="false">VLOOKUP(E264,Sheet1!$A$2:$B$25,2,0)</f>
        <v>0</v>
      </c>
    </row>
    <row r="265" customFormat="false" ht="15" hidden="false" customHeight="false" outlineLevel="0" collapsed="false">
      <c r="A265" s="11" t="n">
        <v>44572.9583333333</v>
      </c>
      <c r="B265" s="0" t="n">
        <v>300.36</v>
      </c>
      <c r="C265" s="0" t="n">
        <f aca="false">WEEKDAY(A265,2)</f>
        <v>2</v>
      </c>
      <c r="D265" s="0" t="n">
        <f aca="false">DAY(A265)</f>
        <v>11</v>
      </c>
      <c r="E265" s="0" t="n">
        <f aca="false">HOUR(A265)</f>
        <v>23</v>
      </c>
      <c r="F265" s="0" t="n">
        <f aca="false">IF(C265&gt;=6,0,1)</f>
        <v>1</v>
      </c>
      <c r="G265" s="0" t="n">
        <f aca="false">VLOOKUP(E265,Sheet1!$A$2:$B$25,2,0)</f>
        <v>0</v>
      </c>
    </row>
    <row r="266" customFormat="false" ht="15" hidden="false" customHeight="false" outlineLevel="0" collapsed="false">
      <c r="A266" s="11" t="n">
        <v>44573</v>
      </c>
      <c r="B266" s="0" t="n">
        <v>305.63</v>
      </c>
      <c r="C266" s="0" t="n">
        <f aca="false">WEEKDAY(A266,2)</f>
        <v>3</v>
      </c>
      <c r="D266" s="0" t="n">
        <f aca="false">DAY(A266)</f>
        <v>12</v>
      </c>
      <c r="E266" s="0" t="n">
        <f aca="false">HOUR(A266)</f>
        <v>0</v>
      </c>
      <c r="F266" s="0" t="n">
        <f aca="false">IF(C266&gt;=6,0,1)</f>
        <v>1</v>
      </c>
      <c r="G266" s="0" t="n">
        <f aca="false">VLOOKUP(E266,Sheet1!$A$2:$B$25,2,0)</f>
        <v>0</v>
      </c>
    </row>
    <row r="267" customFormat="false" ht="15" hidden="false" customHeight="false" outlineLevel="0" collapsed="false">
      <c r="A267" s="11" t="n">
        <v>44573.0416666667</v>
      </c>
      <c r="B267" s="0" t="n">
        <v>302.72</v>
      </c>
      <c r="C267" s="0" t="n">
        <f aca="false">WEEKDAY(A267,2)</f>
        <v>3</v>
      </c>
      <c r="D267" s="0" t="n">
        <f aca="false">DAY(A267)</f>
        <v>12</v>
      </c>
      <c r="E267" s="0" t="n">
        <f aca="false">HOUR(A267)</f>
        <v>1</v>
      </c>
      <c r="F267" s="0" t="n">
        <f aca="false">IF(C267&gt;=6,0,1)</f>
        <v>1</v>
      </c>
      <c r="G267" s="0" t="n">
        <f aca="false">VLOOKUP(E267,Sheet1!$A$2:$B$25,2,0)</f>
        <v>0</v>
      </c>
    </row>
    <row r="268" customFormat="false" ht="15" hidden="false" customHeight="false" outlineLevel="0" collapsed="false">
      <c r="A268" s="11" t="n">
        <v>44573.0833333333</v>
      </c>
      <c r="B268" s="0" t="n">
        <v>302.35</v>
      </c>
      <c r="C268" s="0" t="n">
        <f aca="false">WEEKDAY(A268,2)</f>
        <v>3</v>
      </c>
      <c r="D268" s="0" t="n">
        <f aca="false">DAY(A268)</f>
        <v>12</v>
      </c>
      <c r="E268" s="0" t="n">
        <f aca="false">HOUR(A268)</f>
        <v>2</v>
      </c>
      <c r="F268" s="0" t="n">
        <f aca="false">IF(C268&gt;=6,0,1)</f>
        <v>1</v>
      </c>
      <c r="G268" s="0" t="n">
        <f aca="false">VLOOKUP(E268,Sheet1!$A$2:$B$25,2,0)</f>
        <v>0</v>
      </c>
    </row>
    <row r="269" customFormat="false" ht="15" hidden="false" customHeight="false" outlineLevel="0" collapsed="false">
      <c r="A269" s="11" t="n">
        <v>44573.125</v>
      </c>
      <c r="B269" s="0" t="n">
        <v>350.43</v>
      </c>
      <c r="C269" s="0" t="n">
        <f aca="false">WEEKDAY(A269,2)</f>
        <v>3</v>
      </c>
      <c r="D269" s="0" t="n">
        <f aca="false">DAY(A269)</f>
        <v>12</v>
      </c>
      <c r="E269" s="0" t="n">
        <f aca="false">HOUR(A269)</f>
        <v>3</v>
      </c>
      <c r="F269" s="0" t="n">
        <f aca="false">IF(C269&gt;=6,0,1)</f>
        <v>1</v>
      </c>
      <c r="G269" s="0" t="n">
        <f aca="false">VLOOKUP(E269,Sheet1!$A$2:$B$25,2,0)</f>
        <v>0</v>
      </c>
    </row>
    <row r="270" customFormat="false" ht="15" hidden="false" customHeight="false" outlineLevel="0" collapsed="false">
      <c r="A270" s="11" t="n">
        <v>44573.1666666667</v>
      </c>
      <c r="B270" s="0" t="n">
        <v>321.45</v>
      </c>
      <c r="C270" s="0" t="n">
        <f aca="false">WEEKDAY(A270,2)</f>
        <v>3</v>
      </c>
      <c r="D270" s="0" t="n">
        <f aca="false">DAY(A270)</f>
        <v>12</v>
      </c>
      <c r="E270" s="0" t="n">
        <f aca="false">HOUR(A270)</f>
        <v>4</v>
      </c>
      <c r="F270" s="0" t="n">
        <f aca="false">IF(C270&gt;=6,0,1)</f>
        <v>1</v>
      </c>
      <c r="G270" s="0" t="n">
        <f aca="false">VLOOKUP(E270,Sheet1!$A$2:$B$25,2,0)</f>
        <v>1</v>
      </c>
    </row>
    <row r="271" customFormat="false" ht="15" hidden="false" customHeight="false" outlineLevel="0" collapsed="false">
      <c r="A271" s="11" t="n">
        <v>44573.2083333333</v>
      </c>
      <c r="B271" s="0" t="n">
        <v>728.72</v>
      </c>
      <c r="C271" s="0" t="n">
        <f aca="false">WEEKDAY(A271,2)</f>
        <v>3</v>
      </c>
      <c r="D271" s="0" t="n">
        <f aca="false">DAY(A271)</f>
        <v>12</v>
      </c>
      <c r="E271" s="0" t="n">
        <f aca="false">HOUR(A271)</f>
        <v>5</v>
      </c>
      <c r="F271" s="0" t="n">
        <f aca="false">IF(C271&gt;=6,0,1)</f>
        <v>1</v>
      </c>
      <c r="G271" s="0" t="n">
        <f aca="false">VLOOKUP(E271,Sheet1!$A$2:$B$25,2,0)</f>
        <v>1</v>
      </c>
    </row>
    <row r="272" customFormat="false" ht="15" hidden="false" customHeight="false" outlineLevel="0" collapsed="false">
      <c r="A272" s="11" t="n">
        <v>44573.25</v>
      </c>
      <c r="B272" s="0" t="n">
        <v>832.55</v>
      </c>
      <c r="C272" s="0" t="n">
        <f aca="false">WEEKDAY(A272,2)</f>
        <v>3</v>
      </c>
      <c r="D272" s="0" t="n">
        <f aca="false">DAY(A272)</f>
        <v>12</v>
      </c>
      <c r="E272" s="0" t="n">
        <f aca="false">HOUR(A272)</f>
        <v>6</v>
      </c>
      <c r="F272" s="0" t="n">
        <f aca="false">IF(C272&gt;=6,0,1)</f>
        <v>1</v>
      </c>
      <c r="G272" s="0" t="n">
        <f aca="false">VLOOKUP(E272,Sheet1!$A$2:$B$25,2,0)</f>
        <v>1</v>
      </c>
    </row>
    <row r="273" customFormat="false" ht="15" hidden="false" customHeight="false" outlineLevel="0" collapsed="false">
      <c r="A273" s="11" t="n">
        <v>44573.2916666667</v>
      </c>
      <c r="B273" s="0" t="n">
        <v>839.83</v>
      </c>
      <c r="C273" s="0" t="n">
        <f aca="false">WEEKDAY(A273,2)</f>
        <v>3</v>
      </c>
      <c r="D273" s="0" t="n">
        <f aca="false">DAY(A273)</f>
        <v>12</v>
      </c>
      <c r="E273" s="0" t="n">
        <f aca="false">HOUR(A273)</f>
        <v>7</v>
      </c>
      <c r="F273" s="0" t="n">
        <f aca="false">IF(C273&gt;=6,0,1)</f>
        <v>1</v>
      </c>
      <c r="G273" s="0" t="n">
        <f aca="false">VLOOKUP(E273,Sheet1!$A$2:$B$25,2,0)</f>
        <v>1</v>
      </c>
    </row>
    <row r="274" customFormat="false" ht="15" hidden="false" customHeight="false" outlineLevel="0" collapsed="false">
      <c r="A274" s="11" t="n">
        <v>44573.3333333333</v>
      </c>
      <c r="B274" s="0" t="n">
        <v>843.7</v>
      </c>
      <c r="C274" s="0" t="n">
        <f aca="false">WEEKDAY(A274,2)</f>
        <v>3</v>
      </c>
      <c r="D274" s="0" t="n">
        <f aca="false">DAY(A274)</f>
        <v>12</v>
      </c>
      <c r="E274" s="0" t="n">
        <f aca="false">HOUR(A274)</f>
        <v>8</v>
      </c>
      <c r="F274" s="0" t="n">
        <f aca="false">IF(C274&gt;=6,0,1)</f>
        <v>1</v>
      </c>
      <c r="G274" s="0" t="n">
        <f aca="false">VLOOKUP(E274,Sheet1!$A$2:$B$25,2,0)</f>
        <v>1</v>
      </c>
    </row>
    <row r="275" customFormat="false" ht="15" hidden="false" customHeight="false" outlineLevel="0" collapsed="false">
      <c r="A275" s="11" t="n">
        <v>44573.375</v>
      </c>
      <c r="B275" s="0" t="n">
        <v>806.37</v>
      </c>
      <c r="C275" s="0" t="n">
        <f aca="false">WEEKDAY(A275,2)</f>
        <v>3</v>
      </c>
      <c r="D275" s="0" t="n">
        <f aca="false">DAY(A275)</f>
        <v>12</v>
      </c>
      <c r="E275" s="0" t="n">
        <f aca="false">HOUR(A275)</f>
        <v>9</v>
      </c>
      <c r="F275" s="0" t="n">
        <f aca="false">IF(C275&gt;=6,0,1)</f>
        <v>1</v>
      </c>
      <c r="G275" s="0" t="n">
        <f aca="false">VLOOKUP(E275,Sheet1!$A$2:$B$25,2,0)</f>
        <v>1</v>
      </c>
    </row>
    <row r="276" customFormat="false" ht="15" hidden="false" customHeight="false" outlineLevel="0" collapsed="false">
      <c r="A276" s="11" t="n">
        <v>44573.4166666667</v>
      </c>
      <c r="B276" s="0" t="n">
        <v>790.98</v>
      </c>
      <c r="C276" s="0" t="n">
        <f aca="false">WEEKDAY(A276,2)</f>
        <v>3</v>
      </c>
      <c r="D276" s="0" t="n">
        <f aca="false">DAY(A276)</f>
        <v>12</v>
      </c>
      <c r="E276" s="0" t="n">
        <f aca="false">HOUR(A276)</f>
        <v>10</v>
      </c>
      <c r="F276" s="0" t="n">
        <f aca="false">IF(C276&gt;=6,0,1)</f>
        <v>1</v>
      </c>
      <c r="G276" s="0" t="n">
        <f aca="false">VLOOKUP(E276,Sheet1!$A$2:$B$25,2,0)</f>
        <v>1</v>
      </c>
    </row>
    <row r="277" customFormat="false" ht="15" hidden="false" customHeight="false" outlineLevel="0" collapsed="false">
      <c r="A277" s="11" t="n">
        <v>44573.4583333333</v>
      </c>
      <c r="B277" s="0" t="n">
        <v>779.59</v>
      </c>
      <c r="C277" s="0" t="n">
        <f aca="false">WEEKDAY(A277,2)</f>
        <v>3</v>
      </c>
      <c r="D277" s="0" t="n">
        <f aca="false">DAY(A277)</f>
        <v>12</v>
      </c>
      <c r="E277" s="0" t="n">
        <f aca="false">HOUR(A277)</f>
        <v>11</v>
      </c>
      <c r="F277" s="0" t="n">
        <f aca="false">IF(C277&gt;=6,0,1)</f>
        <v>1</v>
      </c>
      <c r="G277" s="0" t="n">
        <f aca="false">VLOOKUP(E277,Sheet1!$A$2:$B$25,2,0)</f>
        <v>1</v>
      </c>
    </row>
    <row r="278" customFormat="false" ht="15" hidden="false" customHeight="false" outlineLevel="0" collapsed="false">
      <c r="A278" s="11" t="n">
        <v>44573.5</v>
      </c>
      <c r="B278" s="0" t="n">
        <v>778.4</v>
      </c>
      <c r="C278" s="0" t="n">
        <f aca="false">WEEKDAY(A278,2)</f>
        <v>3</v>
      </c>
      <c r="D278" s="0" t="n">
        <f aca="false">DAY(A278)</f>
        <v>12</v>
      </c>
      <c r="E278" s="0" t="n">
        <f aca="false">HOUR(A278)</f>
        <v>12</v>
      </c>
      <c r="F278" s="0" t="n">
        <f aca="false">IF(C278&gt;=6,0,1)</f>
        <v>1</v>
      </c>
      <c r="G278" s="0" t="n">
        <f aca="false">VLOOKUP(E278,Sheet1!$A$2:$B$25,2,0)</f>
        <v>1</v>
      </c>
    </row>
    <row r="279" customFormat="false" ht="15" hidden="false" customHeight="false" outlineLevel="0" collapsed="false">
      <c r="A279" s="11" t="n">
        <v>44573.5416666667</v>
      </c>
      <c r="B279" s="0" t="n">
        <v>705.82</v>
      </c>
      <c r="C279" s="0" t="n">
        <f aca="false">WEEKDAY(A279,2)</f>
        <v>3</v>
      </c>
      <c r="D279" s="0" t="n">
        <f aca="false">DAY(A279)</f>
        <v>12</v>
      </c>
      <c r="E279" s="0" t="n">
        <f aca="false">HOUR(A279)</f>
        <v>13</v>
      </c>
      <c r="F279" s="0" t="n">
        <f aca="false">IF(C279&gt;=6,0,1)</f>
        <v>1</v>
      </c>
      <c r="G279" s="0" t="n">
        <f aca="false">VLOOKUP(E279,Sheet1!$A$2:$B$25,2,0)</f>
        <v>1</v>
      </c>
    </row>
    <row r="280" customFormat="false" ht="15" hidden="false" customHeight="false" outlineLevel="0" collapsed="false">
      <c r="A280" s="11" t="n">
        <v>44573.5833333333</v>
      </c>
      <c r="B280" s="0" t="n">
        <v>332.89</v>
      </c>
      <c r="C280" s="0" t="n">
        <f aca="false">WEEKDAY(A280,2)</f>
        <v>3</v>
      </c>
      <c r="D280" s="0" t="n">
        <f aca="false">DAY(A280)</f>
        <v>12</v>
      </c>
      <c r="E280" s="0" t="n">
        <f aca="false">HOUR(A280)</f>
        <v>14</v>
      </c>
      <c r="F280" s="0" t="n">
        <f aca="false">IF(C280&gt;=6,0,1)</f>
        <v>1</v>
      </c>
      <c r="G280" s="0" t="n">
        <f aca="false">VLOOKUP(E280,Sheet1!$A$2:$B$25,2,0)</f>
        <v>1</v>
      </c>
    </row>
    <row r="281" customFormat="false" ht="15" hidden="false" customHeight="false" outlineLevel="0" collapsed="false">
      <c r="A281" s="11" t="n">
        <v>44573.625</v>
      </c>
      <c r="B281" s="0" t="n">
        <v>329.31</v>
      </c>
      <c r="C281" s="0" t="n">
        <f aca="false">WEEKDAY(A281,2)</f>
        <v>3</v>
      </c>
      <c r="D281" s="0" t="n">
        <f aca="false">DAY(A281)</f>
        <v>12</v>
      </c>
      <c r="E281" s="0" t="n">
        <f aca="false">HOUR(A281)</f>
        <v>15</v>
      </c>
      <c r="F281" s="0" t="n">
        <f aca="false">IF(C281&gt;=6,0,1)</f>
        <v>1</v>
      </c>
      <c r="G281" s="0" t="n">
        <f aca="false">VLOOKUP(E281,Sheet1!$A$2:$B$25,2,0)</f>
        <v>1</v>
      </c>
    </row>
    <row r="282" customFormat="false" ht="15" hidden="false" customHeight="false" outlineLevel="0" collapsed="false">
      <c r="A282" s="11" t="n">
        <v>44573.6666666667</v>
      </c>
      <c r="B282" s="0" t="n">
        <v>316.11</v>
      </c>
      <c r="C282" s="0" t="n">
        <f aca="false">WEEKDAY(A282,2)</f>
        <v>3</v>
      </c>
      <c r="D282" s="0" t="n">
        <f aca="false">DAY(A282)</f>
        <v>12</v>
      </c>
      <c r="E282" s="0" t="n">
        <f aca="false">HOUR(A282)</f>
        <v>16</v>
      </c>
      <c r="F282" s="0" t="n">
        <f aca="false">IF(C282&gt;=6,0,1)</f>
        <v>1</v>
      </c>
      <c r="G282" s="0" t="n">
        <f aca="false">VLOOKUP(E282,Sheet1!$A$2:$B$25,2,0)</f>
        <v>0</v>
      </c>
    </row>
    <row r="283" customFormat="false" ht="15" hidden="false" customHeight="false" outlineLevel="0" collapsed="false">
      <c r="A283" s="11" t="n">
        <v>44573.7083333333</v>
      </c>
      <c r="B283" s="0" t="n">
        <v>312.64</v>
      </c>
      <c r="C283" s="0" t="n">
        <f aca="false">WEEKDAY(A283,2)</f>
        <v>3</v>
      </c>
      <c r="D283" s="0" t="n">
        <f aca="false">DAY(A283)</f>
        <v>12</v>
      </c>
      <c r="E283" s="0" t="n">
        <f aca="false">HOUR(A283)</f>
        <v>17</v>
      </c>
      <c r="F283" s="0" t="n">
        <f aca="false">IF(C283&gt;=6,0,1)</f>
        <v>1</v>
      </c>
      <c r="G283" s="0" t="n">
        <f aca="false">VLOOKUP(E283,Sheet1!$A$2:$B$25,2,0)</f>
        <v>0</v>
      </c>
    </row>
    <row r="284" customFormat="false" ht="15" hidden="false" customHeight="false" outlineLevel="0" collapsed="false">
      <c r="A284" s="11" t="n">
        <v>44573.75</v>
      </c>
      <c r="B284" s="0" t="n">
        <v>312.44</v>
      </c>
      <c r="C284" s="0" t="n">
        <f aca="false">WEEKDAY(A284,2)</f>
        <v>3</v>
      </c>
      <c r="D284" s="0" t="n">
        <f aca="false">DAY(A284)</f>
        <v>12</v>
      </c>
      <c r="E284" s="0" t="n">
        <f aca="false">HOUR(A284)</f>
        <v>18</v>
      </c>
      <c r="F284" s="0" t="n">
        <f aca="false">IF(C284&gt;=6,0,1)</f>
        <v>1</v>
      </c>
      <c r="G284" s="0" t="n">
        <f aca="false">VLOOKUP(E284,Sheet1!$A$2:$B$25,2,0)</f>
        <v>0</v>
      </c>
    </row>
    <row r="285" customFormat="false" ht="15" hidden="false" customHeight="false" outlineLevel="0" collapsed="false">
      <c r="A285" s="11" t="n">
        <v>44573.7916666667</v>
      </c>
      <c r="B285" s="0" t="n">
        <v>310.14</v>
      </c>
      <c r="C285" s="0" t="n">
        <f aca="false">WEEKDAY(A285,2)</f>
        <v>3</v>
      </c>
      <c r="D285" s="0" t="n">
        <f aca="false">DAY(A285)</f>
        <v>12</v>
      </c>
      <c r="E285" s="0" t="n">
        <f aca="false">HOUR(A285)</f>
        <v>19</v>
      </c>
      <c r="F285" s="0" t="n">
        <f aca="false">IF(C285&gt;=6,0,1)</f>
        <v>1</v>
      </c>
      <c r="G285" s="0" t="n">
        <f aca="false">VLOOKUP(E285,Sheet1!$A$2:$B$25,2,0)</f>
        <v>0</v>
      </c>
    </row>
    <row r="286" customFormat="false" ht="15" hidden="false" customHeight="false" outlineLevel="0" collapsed="false">
      <c r="A286" s="11" t="n">
        <v>44573.8333333333</v>
      </c>
      <c r="B286" s="0" t="n">
        <v>311.58</v>
      </c>
      <c r="C286" s="0" t="n">
        <f aca="false">WEEKDAY(A286,2)</f>
        <v>3</v>
      </c>
      <c r="D286" s="0" t="n">
        <f aca="false">DAY(A286)</f>
        <v>12</v>
      </c>
      <c r="E286" s="0" t="n">
        <f aca="false">HOUR(A286)</f>
        <v>20</v>
      </c>
      <c r="F286" s="0" t="n">
        <f aca="false">IF(C286&gt;=6,0,1)</f>
        <v>1</v>
      </c>
      <c r="G286" s="0" t="n">
        <f aca="false">VLOOKUP(E286,Sheet1!$A$2:$B$25,2,0)</f>
        <v>0</v>
      </c>
    </row>
    <row r="287" customFormat="false" ht="15" hidden="false" customHeight="false" outlineLevel="0" collapsed="false">
      <c r="A287" s="11" t="n">
        <v>44573.875</v>
      </c>
      <c r="B287" s="0" t="n">
        <v>299.83</v>
      </c>
      <c r="C287" s="0" t="n">
        <f aca="false">WEEKDAY(A287,2)</f>
        <v>3</v>
      </c>
      <c r="D287" s="0" t="n">
        <f aca="false">DAY(A287)</f>
        <v>12</v>
      </c>
      <c r="E287" s="0" t="n">
        <f aca="false">HOUR(A287)</f>
        <v>21</v>
      </c>
      <c r="F287" s="0" t="n">
        <f aca="false">IF(C287&gt;=6,0,1)</f>
        <v>1</v>
      </c>
      <c r="G287" s="0" t="n">
        <f aca="false">VLOOKUP(E287,Sheet1!$A$2:$B$25,2,0)</f>
        <v>0</v>
      </c>
    </row>
    <row r="288" customFormat="false" ht="15" hidden="false" customHeight="false" outlineLevel="0" collapsed="false">
      <c r="A288" s="11" t="n">
        <v>44573.9166666667</v>
      </c>
      <c r="B288" s="0" t="n">
        <v>294.1</v>
      </c>
      <c r="C288" s="0" t="n">
        <f aca="false">WEEKDAY(A288,2)</f>
        <v>3</v>
      </c>
      <c r="D288" s="0" t="n">
        <f aca="false">DAY(A288)</f>
        <v>12</v>
      </c>
      <c r="E288" s="0" t="n">
        <f aca="false">HOUR(A288)</f>
        <v>22</v>
      </c>
      <c r="F288" s="0" t="n">
        <f aca="false">IF(C288&gt;=6,0,1)</f>
        <v>1</v>
      </c>
      <c r="G288" s="0" t="n">
        <f aca="false">VLOOKUP(E288,Sheet1!$A$2:$B$25,2,0)</f>
        <v>0</v>
      </c>
    </row>
    <row r="289" customFormat="false" ht="15" hidden="false" customHeight="false" outlineLevel="0" collapsed="false">
      <c r="A289" s="11" t="n">
        <v>44573.9583333333</v>
      </c>
      <c r="B289" s="0" t="n">
        <v>300.75</v>
      </c>
      <c r="C289" s="0" t="n">
        <f aca="false">WEEKDAY(A289,2)</f>
        <v>3</v>
      </c>
      <c r="D289" s="0" t="n">
        <f aca="false">DAY(A289)</f>
        <v>12</v>
      </c>
      <c r="E289" s="0" t="n">
        <f aca="false">HOUR(A289)</f>
        <v>23</v>
      </c>
      <c r="F289" s="0" t="n">
        <f aca="false">IF(C289&gt;=6,0,1)</f>
        <v>1</v>
      </c>
      <c r="G289" s="0" t="n">
        <f aca="false">VLOOKUP(E289,Sheet1!$A$2:$B$25,2,0)</f>
        <v>0</v>
      </c>
    </row>
    <row r="290" customFormat="false" ht="15" hidden="false" customHeight="false" outlineLevel="0" collapsed="false">
      <c r="A290" s="11" t="n">
        <v>44574</v>
      </c>
      <c r="B290" s="0" t="n">
        <v>301.55</v>
      </c>
      <c r="C290" s="0" t="n">
        <f aca="false">WEEKDAY(A290,2)</f>
        <v>4</v>
      </c>
      <c r="D290" s="0" t="n">
        <f aca="false">DAY(A290)</f>
        <v>13</v>
      </c>
      <c r="E290" s="0" t="n">
        <f aca="false">HOUR(A290)</f>
        <v>0</v>
      </c>
      <c r="F290" s="0" t="n">
        <f aca="false">IF(C290&gt;=6,0,1)</f>
        <v>1</v>
      </c>
      <c r="G290" s="0" t="n">
        <f aca="false">VLOOKUP(E290,Sheet1!$A$2:$B$25,2,0)</f>
        <v>0</v>
      </c>
    </row>
    <row r="291" customFormat="false" ht="15" hidden="false" customHeight="false" outlineLevel="0" collapsed="false">
      <c r="A291" s="11" t="n">
        <v>44574.0416666667</v>
      </c>
      <c r="B291" s="0" t="n">
        <v>299.93</v>
      </c>
      <c r="C291" s="0" t="n">
        <f aca="false">WEEKDAY(A291,2)</f>
        <v>4</v>
      </c>
      <c r="D291" s="0" t="n">
        <f aca="false">DAY(A291)</f>
        <v>13</v>
      </c>
      <c r="E291" s="0" t="n">
        <f aca="false">HOUR(A291)</f>
        <v>1</v>
      </c>
      <c r="F291" s="0" t="n">
        <f aca="false">IF(C291&gt;=6,0,1)</f>
        <v>1</v>
      </c>
      <c r="G291" s="0" t="n">
        <f aca="false">VLOOKUP(E291,Sheet1!$A$2:$B$25,2,0)</f>
        <v>0</v>
      </c>
    </row>
    <row r="292" customFormat="false" ht="15" hidden="false" customHeight="false" outlineLevel="0" collapsed="false">
      <c r="A292" s="11" t="n">
        <v>44574.0833333333</v>
      </c>
      <c r="B292" s="0" t="n">
        <v>299.44</v>
      </c>
      <c r="C292" s="0" t="n">
        <f aca="false">WEEKDAY(A292,2)</f>
        <v>4</v>
      </c>
      <c r="D292" s="0" t="n">
        <f aca="false">DAY(A292)</f>
        <v>13</v>
      </c>
      <c r="E292" s="0" t="n">
        <f aca="false">HOUR(A292)</f>
        <v>2</v>
      </c>
      <c r="F292" s="0" t="n">
        <f aca="false">IF(C292&gt;=6,0,1)</f>
        <v>1</v>
      </c>
      <c r="G292" s="0" t="n">
        <f aca="false">VLOOKUP(E292,Sheet1!$A$2:$B$25,2,0)</f>
        <v>0</v>
      </c>
    </row>
    <row r="293" customFormat="false" ht="15" hidden="false" customHeight="false" outlineLevel="0" collapsed="false">
      <c r="A293" s="11" t="n">
        <v>44574.125</v>
      </c>
      <c r="B293" s="0" t="n">
        <v>302.17</v>
      </c>
      <c r="C293" s="0" t="n">
        <f aca="false">WEEKDAY(A293,2)</f>
        <v>4</v>
      </c>
      <c r="D293" s="0" t="n">
        <f aca="false">DAY(A293)</f>
        <v>13</v>
      </c>
      <c r="E293" s="0" t="n">
        <f aca="false">HOUR(A293)</f>
        <v>3</v>
      </c>
      <c r="F293" s="0" t="n">
        <f aca="false">IF(C293&gt;=6,0,1)</f>
        <v>1</v>
      </c>
      <c r="G293" s="0" t="n">
        <f aca="false">VLOOKUP(E293,Sheet1!$A$2:$B$25,2,0)</f>
        <v>0</v>
      </c>
    </row>
    <row r="294" customFormat="false" ht="15" hidden="false" customHeight="false" outlineLevel="0" collapsed="false">
      <c r="A294" s="11" t="n">
        <v>44574.1666666667</v>
      </c>
      <c r="B294" s="0" t="n">
        <v>319.3</v>
      </c>
      <c r="C294" s="0" t="n">
        <f aca="false">WEEKDAY(A294,2)</f>
        <v>4</v>
      </c>
      <c r="D294" s="0" t="n">
        <f aca="false">DAY(A294)</f>
        <v>13</v>
      </c>
      <c r="E294" s="0" t="n">
        <f aca="false">HOUR(A294)</f>
        <v>4</v>
      </c>
      <c r="F294" s="0" t="n">
        <f aca="false">IF(C294&gt;=6,0,1)</f>
        <v>1</v>
      </c>
      <c r="G294" s="0" t="n">
        <f aca="false">VLOOKUP(E294,Sheet1!$A$2:$B$25,2,0)</f>
        <v>1</v>
      </c>
    </row>
    <row r="295" customFormat="false" ht="15" hidden="false" customHeight="false" outlineLevel="0" collapsed="false">
      <c r="A295" s="11" t="n">
        <v>44574.2083333333</v>
      </c>
      <c r="B295" s="0" t="n">
        <v>691.72</v>
      </c>
      <c r="C295" s="0" t="n">
        <f aca="false">WEEKDAY(A295,2)</f>
        <v>4</v>
      </c>
      <c r="D295" s="0" t="n">
        <f aca="false">DAY(A295)</f>
        <v>13</v>
      </c>
      <c r="E295" s="0" t="n">
        <f aca="false">HOUR(A295)</f>
        <v>5</v>
      </c>
      <c r="F295" s="0" t="n">
        <f aca="false">IF(C295&gt;=6,0,1)</f>
        <v>1</v>
      </c>
      <c r="G295" s="0" t="n">
        <f aca="false">VLOOKUP(E295,Sheet1!$A$2:$B$25,2,0)</f>
        <v>1</v>
      </c>
    </row>
    <row r="296" customFormat="false" ht="15" hidden="false" customHeight="false" outlineLevel="0" collapsed="false">
      <c r="A296" s="11" t="n">
        <v>44574.25</v>
      </c>
      <c r="B296" s="0" t="n">
        <v>639</v>
      </c>
      <c r="C296" s="0" t="n">
        <f aca="false">WEEKDAY(A296,2)</f>
        <v>4</v>
      </c>
      <c r="D296" s="0" t="n">
        <f aca="false">DAY(A296)</f>
        <v>13</v>
      </c>
      <c r="E296" s="0" t="n">
        <f aca="false">HOUR(A296)</f>
        <v>6</v>
      </c>
      <c r="F296" s="0" t="n">
        <f aca="false">IF(C296&gt;=6,0,1)</f>
        <v>1</v>
      </c>
      <c r="G296" s="0" t="n">
        <f aca="false">VLOOKUP(E296,Sheet1!$A$2:$B$25,2,0)</f>
        <v>1</v>
      </c>
    </row>
    <row r="297" customFormat="false" ht="15" hidden="false" customHeight="false" outlineLevel="0" collapsed="false">
      <c r="A297" s="11" t="n">
        <v>44574.2916666667</v>
      </c>
      <c r="B297" s="0" t="n">
        <v>542.69</v>
      </c>
      <c r="C297" s="0" t="n">
        <f aca="false">WEEKDAY(A297,2)</f>
        <v>4</v>
      </c>
      <c r="D297" s="0" t="n">
        <f aca="false">DAY(A297)</f>
        <v>13</v>
      </c>
      <c r="E297" s="0" t="n">
        <f aca="false">HOUR(A297)</f>
        <v>7</v>
      </c>
      <c r="F297" s="0" t="n">
        <f aca="false">IF(C297&gt;=6,0,1)</f>
        <v>1</v>
      </c>
      <c r="G297" s="0" t="n">
        <f aca="false">VLOOKUP(E297,Sheet1!$A$2:$B$25,2,0)</f>
        <v>1</v>
      </c>
    </row>
    <row r="298" customFormat="false" ht="15" hidden="false" customHeight="false" outlineLevel="0" collapsed="false">
      <c r="A298" s="11" t="n">
        <v>44574.3333333333</v>
      </c>
      <c r="B298" s="0" t="n">
        <v>552.23</v>
      </c>
      <c r="C298" s="0" t="n">
        <f aca="false">WEEKDAY(A298,2)</f>
        <v>4</v>
      </c>
      <c r="D298" s="0" t="n">
        <f aca="false">DAY(A298)</f>
        <v>13</v>
      </c>
      <c r="E298" s="0" t="n">
        <f aca="false">HOUR(A298)</f>
        <v>8</v>
      </c>
      <c r="F298" s="0" t="n">
        <f aca="false">IF(C298&gt;=6,0,1)</f>
        <v>1</v>
      </c>
      <c r="G298" s="0" t="n">
        <f aca="false">VLOOKUP(E298,Sheet1!$A$2:$B$25,2,0)</f>
        <v>1</v>
      </c>
    </row>
    <row r="299" customFormat="false" ht="15" hidden="false" customHeight="false" outlineLevel="0" collapsed="false">
      <c r="A299" s="11" t="n">
        <v>44574.375</v>
      </c>
      <c r="B299" s="0" t="n">
        <v>545.28</v>
      </c>
      <c r="C299" s="0" t="n">
        <f aca="false">WEEKDAY(A299,2)</f>
        <v>4</v>
      </c>
      <c r="D299" s="0" t="n">
        <f aca="false">DAY(A299)</f>
        <v>13</v>
      </c>
      <c r="E299" s="0" t="n">
        <f aca="false">HOUR(A299)</f>
        <v>9</v>
      </c>
      <c r="F299" s="0" t="n">
        <f aca="false">IF(C299&gt;=6,0,1)</f>
        <v>1</v>
      </c>
      <c r="G299" s="0" t="n">
        <f aca="false">VLOOKUP(E299,Sheet1!$A$2:$B$25,2,0)</f>
        <v>1</v>
      </c>
    </row>
    <row r="300" customFormat="false" ht="15" hidden="false" customHeight="false" outlineLevel="0" collapsed="false">
      <c r="A300" s="11" t="n">
        <v>44574.4166666667</v>
      </c>
      <c r="B300" s="0" t="n">
        <v>558.83</v>
      </c>
      <c r="C300" s="0" t="n">
        <f aca="false">WEEKDAY(A300,2)</f>
        <v>4</v>
      </c>
      <c r="D300" s="0" t="n">
        <f aca="false">DAY(A300)</f>
        <v>13</v>
      </c>
      <c r="E300" s="0" t="n">
        <f aca="false">HOUR(A300)</f>
        <v>10</v>
      </c>
      <c r="F300" s="0" t="n">
        <f aca="false">IF(C300&gt;=6,0,1)</f>
        <v>1</v>
      </c>
      <c r="G300" s="0" t="n">
        <f aca="false">VLOOKUP(E300,Sheet1!$A$2:$B$25,2,0)</f>
        <v>1</v>
      </c>
    </row>
    <row r="301" customFormat="false" ht="15" hidden="false" customHeight="false" outlineLevel="0" collapsed="false">
      <c r="A301" s="11" t="n">
        <v>44574.4583333333</v>
      </c>
      <c r="B301" s="0" t="n">
        <v>548.37</v>
      </c>
      <c r="C301" s="0" t="n">
        <f aca="false">WEEKDAY(A301,2)</f>
        <v>4</v>
      </c>
      <c r="D301" s="0" t="n">
        <f aca="false">DAY(A301)</f>
        <v>13</v>
      </c>
      <c r="E301" s="0" t="n">
        <f aca="false">HOUR(A301)</f>
        <v>11</v>
      </c>
      <c r="F301" s="0" t="n">
        <f aca="false">IF(C301&gt;=6,0,1)</f>
        <v>1</v>
      </c>
      <c r="G301" s="0" t="n">
        <f aca="false">VLOOKUP(E301,Sheet1!$A$2:$B$25,2,0)</f>
        <v>1</v>
      </c>
    </row>
    <row r="302" customFormat="false" ht="15" hidden="false" customHeight="false" outlineLevel="0" collapsed="false">
      <c r="A302" s="11" t="n">
        <v>44574.5</v>
      </c>
      <c r="B302" s="0" t="n">
        <v>525.78</v>
      </c>
      <c r="C302" s="0" t="n">
        <f aca="false">WEEKDAY(A302,2)</f>
        <v>4</v>
      </c>
      <c r="D302" s="0" t="n">
        <f aca="false">DAY(A302)</f>
        <v>13</v>
      </c>
      <c r="E302" s="0" t="n">
        <f aca="false">HOUR(A302)</f>
        <v>12</v>
      </c>
      <c r="F302" s="0" t="n">
        <f aca="false">IF(C302&gt;=6,0,1)</f>
        <v>1</v>
      </c>
      <c r="G302" s="0" t="n">
        <f aca="false">VLOOKUP(E302,Sheet1!$A$2:$B$25,2,0)</f>
        <v>1</v>
      </c>
    </row>
    <row r="303" customFormat="false" ht="15" hidden="false" customHeight="false" outlineLevel="0" collapsed="false">
      <c r="A303" s="11" t="n">
        <v>44574.5416666667</v>
      </c>
      <c r="B303" s="0" t="n">
        <v>442.25</v>
      </c>
      <c r="C303" s="0" t="n">
        <f aca="false">WEEKDAY(A303,2)</f>
        <v>4</v>
      </c>
      <c r="D303" s="0" t="n">
        <f aca="false">DAY(A303)</f>
        <v>13</v>
      </c>
      <c r="E303" s="0" t="n">
        <f aca="false">HOUR(A303)</f>
        <v>13</v>
      </c>
      <c r="F303" s="0" t="n">
        <f aca="false">IF(C303&gt;=6,0,1)</f>
        <v>1</v>
      </c>
      <c r="G303" s="0" t="n">
        <f aca="false">VLOOKUP(E303,Sheet1!$A$2:$B$25,2,0)</f>
        <v>1</v>
      </c>
    </row>
    <row r="304" customFormat="false" ht="15" hidden="false" customHeight="false" outlineLevel="0" collapsed="false">
      <c r="A304" s="11" t="n">
        <v>44574.5833333333</v>
      </c>
      <c r="B304" s="0" t="n">
        <v>325.4</v>
      </c>
      <c r="C304" s="0" t="n">
        <f aca="false">WEEKDAY(A304,2)</f>
        <v>4</v>
      </c>
      <c r="D304" s="0" t="n">
        <f aca="false">DAY(A304)</f>
        <v>13</v>
      </c>
      <c r="E304" s="0" t="n">
        <f aca="false">HOUR(A304)</f>
        <v>14</v>
      </c>
      <c r="F304" s="0" t="n">
        <f aca="false">IF(C304&gt;=6,0,1)</f>
        <v>1</v>
      </c>
      <c r="G304" s="0" t="n">
        <f aca="false">VLOOKUP(E304,Sheet1!$A$2:$B$25,2,0)</f>
        <v>1</v>
      </c>
    </row>
    <row r="305" customFormat="false" ht="15" hidden="false" customHeight="false" outlineLevel="0" collapsed="false">
      <c r="A305" s="11" t="n">
        <v>44574.625</v>
      </c>
      <c r="B305" s="0" t="n">
        <v>308.04</v>
      </c>
      <c r="C305" s="0" t="n">
        <f aca="false">WEEKDAY(A305,2)</f>
        <v>4</v>
      </c>
      <c r="D305" s="0" t="n">
        <f aca="false">DAY(A305)</f>
        <v>13</v>
      </c>
      <c r="E305" s="0" t="n">
        <f aca="false">HOUR(A305)</f>
        <v>15</v>
      </c>
      <c r="F305" s="0" t="n">
        <f aca="false">IF(C305&gt;=6,0,1)</f>
        <v>1</v>
      </c>
      <c r="G305" s="0" t="n">
        <f aca="false">VLOOKUP(E305,Sheet1!$A$2:$B$25,2,0)</f>
        <v>1</v>
      </c>
    </row>
    <row r="306" customFormat="false" ht="15" hidden="false" customHeight="false" outlineLevel="0" collapsed="false">
      <c r="A306" s="11" t="n">
        <v>44574.6666666667</v>
      </c>
      <c r="B306" s="0" t="n">
        <v>299.85</v>
      </c>
      <c r="C306" s="0" t="n">
        <f aca="false">WEEKDAY(A306,2)</f>
        <v>4</v>
      </c>
      <c r="D306" s="0" t="n">
        <f aca="false">DAY(A306)</f>
        <v>13</v>
      </c>
      <c r="E306" s="0" t="n">
        <f aca="false">HOUR(A306)</f>
        <v>16</v>
      </c>
      <c r="F306" s="0" t="n">
        <f aca="false">IF(C306&gt;=6,0,1)</f>
        <v>1</v>
      </c>
      <c r="G306" s="0" t="n">
        <f aca="false">VLOOKUP(E306,Sheet1!$A$2:$B$25,2,0)</f>
        <v>0</v>
      </c>
    </row>
    <row r="307" customFormat="false" ht="15" hidden="false" customHeight="false" outlineLevel="0" collapsed="false">
      <c r="A307" s="11" t="n">
        <v>44574.7083333333</v>
      </c>
      <c r="B307" s="0" t="n">
        <v>305.59</v>
      </c>
      <c r="C307" s="0" t="n">
        <f aca="false">WEEKDAY(A307,2)</f>
        <v>4</v>
      </c>
      <c r="D307" s="0" t="n">
        <f aca="false">DAY(A307)</f>
        <v>13</v>
      </c>
      <c r="E307" s="0" t="n">
        <f aca="false">HOUR(A307)</f>
        <v>17</v>
      </c>
      <c r="F307" s="0" t="n">
        <f aca="false">IF(C307&gt;=6,0,1)</f>
        <v>1</v>
      </c>
      <c r="G307" s="0" t="n">
        <f aca="false">VLOOKUP(E307,Sheet1!$A$2:$B$25,2,0)</f>
        <v>0</v>
      </c>
    </row>
    <row r="308" customFormat="false" ht="15" hidden="false" customHeight="false" outlineLevel="0" collapsed="false">
      <c r="A308" s="11" t="n">
        <v>44574.75</v>
      </c>
      <c r="B308" s="0" t="n">
        <v>299.79</v>
      </c>
      <c r="C308" s="0" t="n">
        <f aca="false">WEEKDAY(A308,2)</f>
        <v>4</v>
      </c>
      <c r="D308" s="0" t="n">
        <f aca="false">DAY(A308)</f>
        <v>13</v>
      </c>
      <c r="E308" s="0" t="n">
        <f aca="false">HOUR(A308)</f>
        <v>18</v>
      </c>
      <c r="F308" s="0" t="n">
        <f aca="false">IF(C308&gt;=6,0,1)</f>
        <v>1</v>
      </c>
      <c r="G308" s="0" t="n">
        <f aca="false">VLOOKUP(E308,Sheet1!$A$2:$B$25,2,0)</f>
        <v>0</v>
      </c>
    </row>
    <row r="309" customFormat="false" ht="15" hidden="false" customHeight="false" outlineLevel="0" collapsed="false">
      <c r="A309" s="11" t="n">
        <v>44574.7916666667</v>
      </c>
      <c r="B309" s="0" t="n">
        <v>288.38</v>
      </c>
      <c r="C309" s="0" t="n">
        <f aca="false">WEEKDAY(A309,2)</f>
        <v>4</v>
      </c>
      <c r="D309" s="0" t="n">
        <f aca="false">DAY(A309)</f>
        <v>13</v>
      </c>
      <c r="E309" s="0" t="n">
        <f aca="false">HOUR(A309)</f>
        <v>19</v>
      </c>
      <c r="F309" s="0" t="n">
        <f aca="false">IF(C309&gt;=6,0,1)</f>
        <v>1</v>
      </c>
      <c r="G309" s="0" t="n">
        <f aca="false">VLOOKUP(E309,Sheet1!$A$2:$B$25,2,0)</f>
        <v>0</v>
      </c>
    </row>
    <row r="310" customFormat="false" ht="15" hidden="false" customHeight="false" outlineLevel="0" collapsed="false">
      <c r="A310" s="11" t="n">
        <v>44574.8333333333</v>
      </c>
      <c r="B310" s="0" t="n">
        <v>284.18</v>
      </c>
      <c r="C310" s="0" t="n">
        <f aca="false">WEEKDAY(A310,2)</f>
        <v>4</v>
      </c>
      <c r="D310" s="0" t="n">
        <f aca="false">DAY(A310)</f>
        <v>13</v>
      </c>
      <c r="E310" s="0" t="n">
        <f aca="false">HOUR(A310)</f>
        <v>20</v>
      </c>
      <c r="F310" s="0" t="n">
        <f aca="false">IF(C310&gt;=6,0,1)</f>
        <v>1</v>
      </c>
      <c r="G310" s="0" t="n">
        <f aca="false">VLOOKUP(E310,Sheet1!$A$2:$B$25,2,0)</f>
        <v>0</v>
      </c>
    </row>
    <row r="311" customFormat="false" ht="15" hidden="false" customHeight="false" outlineLevel="0" collapsed="false">
      <c r="A311" s="11" t="n">
        <v>44574.875</v>
      </c>
      <c r="B311" s="0" t="n">
        <v>279.37</v>
      </c>
      <c r="C311" s="0" t="n">
        <f aca="false">WEEKDAY(A311,2)</f>
        <v>4</v>
      </c>
      <c r="D311" s="0" t="n">
        <f aca="false">DAY(A311)</f>
        <v>13</v>
      </c>
      <c r="E311" s="0" t="n">
        <f aca="false">HOUR(A311)</f>
        <v>21</v>
      </c>
      <c r="F311" s="0" t="n">
        <f aca="false">IF(C311&gt;=6,0,1)</f>
        <v>1</v>
      </c>
      <c r="G311" s="0" t="n">
        <f aca="false">VLOOKUP(E311,Sheet1!$A$2:$B$25,2,0)</f>
        <v>0</v>
      </c>
    </row>
    <row r="312" customFormat="false" ht="15" hidden="false" customHeight="false" outlineLevel="0" collapsed="false">
      <c r="A312" s="11" t="n">
        <v>44574.9166666667</v>
      </c>
      <c r="B312" s="0" t="n">
        <v>277.82</v>
      </c>
      <c r="C312" s="0" t="n">
        <f aca="false">WEEKDAY(A312,2)</f>
        <v>4</v>
      </c>
      <c r="D312" s="0" t="n">
        <f aca="false">DAY(A312)</f>
        <v>13</v>
      </c>
      <c r="E312" s="0" t="n">
        <f aca="false">HOUR(A312)</f>
        <v>22</v>
      </c>
      <c r="F312" s="0" t="n">
        <f aca="false">IF(C312&gt;=6,0,1)</f>
        <v>1</v>
      </c>
      <c r="G312" s="0" t="n">
        <f aca="false">VLOOKUP(E312,Sheet1!$A$2:$B$25,2,0)</f>
        <v>0</v>
      </c>
    </row>
    <row r="313" customFormat="false" ht="15" hidden="false" customHeight="false" outlineLevel="0" collapsed="false">
      <c r="A313" s="11" t="n">
        <v>44574.9583333333</v>
      </c>
      <c r="B313" s="0" t="n">
        <v>279.91</v>
      </c>
      <c r="C313" s="0" t="n">
        <f aca="false">WEEKDAY(A313,2)</f>
        <v>4</v>
      </c>
      <c r="D313" s="0" t="n">
        <f aca="false">DAY(A313)</f>
        <v>13</v>
      </c>
      <c r="E313" s="0" t="n">
        <f aca="false">HOUR(A313)</f>
        <v>23</v>
      </c>
      <c r="F313" s="0" t="n">
        <f aca="false">IF(C313&gt;=6,0,1)</f>
        <v>1</v>
      </c>
      <c r="G313" s="0" t="n">
        <f aca="false">VLOOKUP(E313,Sheet1!$A$2:$B$25,2,0)</f>
        <v>0</v>
      </c>
    </row>
    <row r="314" customFormat="false" ht="15" hidden="false" customHeight="false" outlineLevel="0" collapsed="false">
      <c r="A314" s="11" t="n">
        <v>44575</v>
      </c>
      <c r="B314" s="0" t="n">
        <v>279.87</v>
      </c>
      <c r="C314" s="0" t="n">
        <f aca="false">WEEKDAY(A314,2)</f>
        <v>5</v>
      </c>
      <c r="D314" s="0" t="n">
        <f aca="false">DAY(A314)</f>
        <v>14</v>
      </c>
      <c r="E314" s="0" t="n">
        <f aca="false">HOUR(A314)</f>
        <v>0</v>
      </c>
      <c r="F314" s="0" t="n">
        <f aca="false">IF(C314&gt;=6,0,1)</f>
        <v>1</v>
      </c>
      <c r="G314" s="0" t="n">
        <f aca="false">VLOOKUP(E314,Sheet1!$A$2:$B$25,2,0)</f>
        <v>0</v>
      </c>
    </row>
    <row r="315" customFormat="false" ht="15" hidden="false" customHeight="false" outlineLevel="0" collapsed="false">
      <c r="A315" s="11" t="n">
        <v>44575.0416666667</v>
      </c>
      <c r="B315" s="0" t="n">
        <v>283.03</v>
      </c>
      <c r="C315" s="0" t="n">
        <f aca="false">WEEKDAY(A315,2)</f>
        <v>5</v>
      </c>
      <c r="D315" s="0" t="n">
        <f aca="false">DAY(A315)</f>
        <v>14</v>
      </c>
      <c r="E315" s="0" t="n">
        <f aca="false">HOUR(A315)</f>
        <v>1</v>
      </c>
      <c r="F315" s="0" t="n">
        <f aca="false">IF(C315&gt;=6,0,1)</f>
        <v>1</v>
      </c>
      <c r="G315" s="0" t="n">
        <f aca="false">VLOOKUP(E315,Sheet1!$A$2:$B$25,2,0)</f>
        <v>0</v>
      </c>
    </row>
    <row r="316" customFormat="false" ht="15" hidden="false" customHeight="false" outlineLevel="0" collapsed="false">
      <c r="A316" s="11" t="n">
        <v>44575.0833333333</v>
      </c>
      <c r="B316" s="0" t="n">
        <v>284.57</v>
      </c>
      <c r="C316" s="0" t="n">
        <f aca="false">WEEKDAY(A316,2)</f>
        <v>5</v>
      </c>
      <c r="D316" s="0" t="n">
        <f aca="false">DAY(A316)</f>
        <v>14</v>
      </c>
      <c r="E316" s="0" t="n">
        <f aca="false">HOUR(A316)</f>
        <v>2</v>
      </c>
      <c r="F316" s="0" t="n">
        <f aca="false">IF(C316&gt;=6,0,1)</f>
        <v>1</v>
      </c>
      <c r="G316" s="0" t="n">
        <f aca="false">VLOOKUP(E316,Sheet1!$A$2:$B$25,2,0)</f>
        <v>0</v>
      </c>
    </row>
    <row r="317" customFormat="false" ht="15" hidden="false" customHeight="false" outlineLevel="0" collapsed="false">
      <c r="A317" s="11" t="n">
        <v>44575.125</v>
      </c>
      <c r="B317" s="0" t="n">
        <v>283.24</v>
      </c>
      <c r="C317" s="0" t="n">
        <f aca="false">WEEKDAY(A317,2)</f>
        <v>5</v>
      </c>
      <c r="D317" s="0" t="n">
        <f aca="false">DAY(A317)</f>
        <v>14</v>
      </c>
      <c r="E317" s="0" t="n">
        <f aca="false">HOUR(A317)</f>
        <v>3</v>
      </c>
      <c r="F317" s="0" t="n">
        <f aca="false">IF(C317&gt;=6,0,1)</f>
        <v>1</v>
      </c>
      <c r="G317" s="0" t="n">
        <f aca="false">VLOOKUP(E317,Sheet1!$A$2:$B$25,2,0)</f>
        <v>0</v>
      </c>
    </row>
    <row r="318" customFormat="false" ht="15" hidden="false" customHeight="false" outlineLevel="0" collapsed="false">
      <c r="A318" s="11" t="n">
        <v>44575.1666666667</v>
      </c>
      <c r="B318" s="0" t="n">
        <v>296.18</v>
      </c>
      <c r="C318" s="0" t="n">
        <f aca="false">WEEKDAY(A318,2)</f>
        <v>5</v>
      </c>
      <c r="D318" s="0" t="n">
        <f aca="false">DAY(A318)</f>
        <v>14</v>
      </c>
      <c r="E318" s="0" t="n">
        <f aca="false">HOUR(A318)</f>
        <v>4</v>
      </c>
      <c r="F318" s="0" t="n">
        <f aca="false">IF(C318&gt;=6,0,1)</f>
        <v>1</v>
      </c>
      <c r="G318" s="0" t="n">
        <f aca="false">VLOOKUP(E318,Sheet1!$A$2:$B$25,2,0)</f>
        <v>1</v>
      </c>
    </row>
    <row r="319" customFormat="false" ht="15" hidden="false" customHeight="false" outlineLevel="0" collapsed="false">
      <c r="A319" s="11" t="n">
        <v>44575.2083333333</v>
      </c>
      <c r="B319" s="0" t="n">
        <v>425.77</v>
      </c>
      <c r="C319" s="0" t="n">
        <f aca="false">WEEKDAY(A319,2)</f>
        <v>5</v>
      </c>
      <c r="D319" s="0" t="n">
        <f aca="false">DAY(A319)</f>
        <v>14</v>
      </c>
      <c r="E319" s="0" t="n">
        <f aca="false">HOUR(A319)</f>
        <v>5</v>
      </c>
      <c r="F319" s="0" t="n">
        <f aca="false">IF(C319&gt;=6,0,1)</f>
        <v>1</v>
      </c>
      <c r="G319" s="0" t="n">
        <f aca="false">VLOOKUP(E319,Sheet1!$A$2:$B$25,2,0)</f>
        <v>1</v>
      </c>
    </row>
    <row r="320" customFormat="false" ht="15" hidden="false" customHeight="false" outlineLevel="0" collapsed="false">
      <c r="A320" s="11" t="n">
        <v>44575.25</v>
      </c>
      <c r="B320" s="0" t="n">
        <v>610.03</v>
      </c>
      <c r="C320" s="0" t="n">
        <f aca="false">WEEKDAY(A320,2)</f>
        <v>5</v>
      </c>
      <c r="D320" s="0" t="n">
        <f aca="false">DAY(A320)</f>
        <v>14</v>
      </c>
      <c r="E320" s="0" t="n">
        <f aca="false">HOUR(A320)</f>
        <v>6</v>
      </c>
      <c r="F320" s="0" t="n">
        <f aca="false">IF(C320&gt;=6,0,1)</f>
        <v>1</v>
      </c>
      <c r="G320" s="0" t="n">
        <f aca="false">VLOOKUP(E320,Sheet1!$A$2:$B$25,2,0)</f>
        <v>1</v>
      </c>
    </row>
    <row r="321" customFormat="false" ht="15" hidden="false" customHeight="false" outlineLevel="0" collapsed="false">
      <c r="A321" s="11" t="n">
        <v>44575.2916666667</v>
      </c>
      <c r="B321" s="0" t="n">
        <v>621.6</v>
      </c>
      <c r="C321" s="0" t="n">
        <f aca="false">WEEKDAY(A321,2)</f>
        <v>5</v>
      </c>
      <c r="D321" s="0" t="n">
        <f aca="false">DAY(A321)</f>
        <v>14</v>
      </c>
      <c r="E321" s="0" t="n">
        <f aca="false">HOUR(A321)</f>
        <v>7</v>
      </c>
      <c r="F321" s="0" t="n">
        <f aca="false">IF(C321&gt;=6,0,1)</f>
        <v>1</v>
      </c>
      <c r="G321" s="0" t="n">
        <f aca="false">VLOOKUP(E321,Sheet1!$A$2:$B$25,2,0)</f>
        <v>1</v>
      </c>
    </row>
    <row r="322" customFormat="false" ht="15" hidden="false" customHeight="false" outlineLevel="0" collapsed="false">
      <c r="A322" s="11" t="n">
        <v>44575.3333333333</v>
      </c>
      <c r="B322" s="0" t="n">
        <v>572.18</v>
      </c>
      <c r="C322" s="0" t="n">
        <f aca="false">WEEKDAY(A322,2)</f>
        <v>5</v>
      </c>
      <c r="D322" s="0" t="n">
        <f aca="false">DAY(A322)</f>
        <v>14</v>
      </c>
      <c r="E322" s="0" t="n">
        <f aca="false">HOUR(A322)</f>
        <v>8</v>
      </c>
      <c r="F322" s="0" t="n">
        <f aca="false">IF(C322&gt;=6,0,1)</f>
        <v>1</v>
      </c>
      <c r="G322" s="0" t="n">
        <f aca="false">VLOOKUP(E322,Sheet1!$A$2:$B$25,2,0)</f>
        <v>1</v>
      </c>
    </row>
    <row r="323" customFormat="false" ht="15" hidden="false" customHeight="false" outlineLevel="0" collapsed="false">
      <c r="A323" s="11" t="n">
        <v>44575.375</v>
      </c>
      <c r="B323" s="0" t="n">
        <v>676.65</v>
      </c>
      <c r="C323" s="0" t="n">
        <f aca="false">WEEKDAY(A323,2)</f>
        <v>5</v>
      </c>
      <c r="D323" s="0" t="n">
        <f aca="false">DAY(A323)</f>
        <v>14</v>
      </c>
      <c r="E323" s="0" t="n">
        <f aca="false">HOUR(A323)</f>
        <v>9</v>
      </c>
      <c r="F323" s="0" t="n">
        <f aca="false">IF(C323&gt;=6,0,1)</f>
        <v>1</v>
      </c>
      <c r="G323" s="0" t="n">
        <f aca="false">VLOOKUP(E323,Sheet1!$A$2:$B$25,2,0)</f>
        <v>1</v>
      </c>
    </row>
    <row r="324" customFormat="false" ht="15" hidden="false" customHeight="false" outlineLevel="0" collapsed="false">
      <c r="A324" s="11" t="n">
        <v>44575.4166666667</v>
      </c>
      <c r="B324" s="0" t="n">
        <v>717.76</v>
      </c>
      <c r="C324" s="0" t="n">
        <f aca="false">WEEKDAY(A324,2)</f>
        <v>5</v>
      </c>
      <c r="D324" s="0" t="n">
        <f aca="false">DAY(A324)</f>
        <v>14</v>
      </c>
      <c r="E324" s="0" t="n">
        <f aca="false">HOUR(A324)</f>
        <v>10</v>
      </c>
      <c r="F324" s="0" t="n">
        <f aca="false">IF(C324&gt;=6,0,1)</f>
        <v>1</v>
      </c>
      <c r="G324" s="0" t="n">
        <f aca="false">VLOOKUP(E324,Sheet1!$A$2:$B$25,2,0)</f>
        <v>1</v>
      </c>
    </row>
    <row r="325" customFormat="false" ht="15" hidden="false" customHeight="false" outlineLevel="0" collapsed="false">
      <c r="A325" s="11" t="n">
        <v>44575.4583333333</v>
      </c>
      <c r="B325" s="0" t="n">
        <v>707.58</v>
      </c>
      <c r="C325" s="0" t="n">
        <f aca="false">WEEKDAY(A325,2)</f>
        <v>5</v>
      </c>
      <c r="D325" s="0" t="n">
        <f aca="false">DAY(A325)</f>
        <v>14</v>
      </c>
      <c r="E325" s="0" t="n">
        <f aca="false">HOUR(A325)</f>
        <v>11</v>
      </c>
      <c r="F325" s="0" t="n">
        <f aca="false">IF(C325&gt;=6,0,1)</f>
        <v>1</v>
      </c>
      <c r="G325" s="0" t="n">
        <f aca="false">VLOOKUP(E325,Sheet1!$A$2:$B$25,2,0)</f>
        <v>1</v>
      </c>
    </row>
    <row r="326" customFormat="false" ht="15" hidden="false" customHeight="false" outlineLevel="0" collapsed="false">
      <c r="A326" s="11" t="n">
        <v>44575.5</v>
      </c>
      <c r="B326" s="0" t="n">
        <v>688.44</v>
      </c>
      <c r="C326" s="0" t="n">
        <f aca="false">WEEKDAY(A326,2)</f>
        <v>5</v>
      </c>
      <c r="D326" s="0" t="n">
        <f aca="false">DAY(A326)</f>
        <v>14</v>
      </c>
      <c r="E326" s="0" t="n">
        <f aca="false">HOUR(A326)</f>
        <v>12</v>
      </c>
      <c r="F326" s="0" t="n">
        <f aca="false">IF(C326&gt;=6,0,1)</f>
        <v>1</v>
      </c>
      <c r="G326" s="0" t="n">
        <f aca="false">VLOOKUP(E326,Sheet1!$A$2:$B$25,2,0)</f>
        <v>1</v>
      </c>
    </row>
    <row r="327" customFormat="false" ht="15" hidden="false" customHeight="false" outlineLevel="0" collapsed="false">
      <c r="A327" s="11" t="n">
        <v>44575.5416666667</v>
      </c>
      <c r="B327" s="0" t="n">
        <v>425.84</v>
      </c>
      <c r="C327" s="0" t="n">
        <f aca="false">WEEKDAY(A327,2)</f>
        <v>5</v>
      </c>
      <c r="D327" s="0" t="n">
        <f aca="false">DAY(A327)</f>
        <v>14</v>
      </c>
      <c r="E327" s="0" t="n">
        <f aca="false">HOUR(A327)</f>
        <v>13</v>
      </c>
      <c r="F327" s="0" t="n">
        <f aca="false">IF(C327&gt;=6,0,1)</f>
        <v>1</v>
      </c>
      <c r="G327" s="0" t="n">
        <f aca="false">VLOOKUP(E327,Sheet1!$A$2:$B$25,2,0)</f>
        <v>1</v>
      </c>
    </row>
    <row r="328" customFormat="false" ht="15" hidden="false" customHeight="false" outlineLevel="0" collapsed="false">
      <c r="A328" s="11" t="n">
        <v>44575.5833333333</v>
      </c>
      <c r="B328" s="0" t="n">
        <v>319.67</v>
      </c>
      <c r="C328" s="0" t="n">
        <f aca="false">WEEKDAY(A328,2)</f>
        <v>5</v>
      </c>
      <c r="D328" s="0" t="n">
        <f aca="false">DAY(A328)</f>
        <v>14</v>
      </c>
      <c r="E328" s="0" t="n">
        <f aca="false">HOUR(A328)</f>
        <v>14</v>
      </c>
      <c r="F328" s="0" t="n">
        <f aca="false">IF(C328&gt;=6,0,1)</f>
        <v>1</v>
      </c>
      <c r="G328" s="0" t="n">
        <f aca="false">VLOOKUP(E328,Sheet1!$A$2:$B$25,2,0)</f>
        <v>1</v>
      </c>
    </row>
    <row r="329" customFormat="false" ht="15" hidden="false" customHeight="false" outlineLevel="0" collapsed="false">
      <c r="A329" s="11" t="n">
        <v>44575.625</v>
      </c>
      <c r="B329" s="0" t="n">
        <v>313.71</v>
      </c>
      <c r="C329" s="0" t="n">
        <f aca="false">WEEKDAY(A329,2)</f>
        <v>5</v>
      </c>
      <c r="D329" s="0" t="n">
        <f aca="false">DAY(A329)</f>
        <v>14</v>
      </c>
      <c r="E329" s="0" t="n">
        <f aca="false">HOUR(A329)</f>
        <v>15</v>
      </c>
      <c r="F329" s="0" t="n">
        <f aca="false">IF(C329&gt;=6,0,1)</f>
        <v>1</v>
      </c>
      <c r="G329" s="0" t="n">
        <f aca="false">VLOOKUP(E329,Sheet1!$A$2:$B$25,2,0)</f>
        <v>1</v>
      </c>
    </row>
    <row r="330" customFormat="false" ht="15" hidden="false" customHeight="false" outlineLevel="0" collapsed="false">
      <c r="A330" s="11" t="n">
        <v>44575.6666666667</v>
      </c>
      <c r="B330" s="0" t="n">
        <v>301.48</v>
      </c>
      <c r="C330" s="0" t="n">
        <f aca="false">WEEKDAY(A330,2)</f>
        <v>5</v>
      </c>
      <c r="D330" s="0" t="n">
        <f aca="false">DAY(A330)</f>
        <v>14</v>
      </c>
      <c r="E330" s="0" t="n">
        <f aca="false">HOUR(A330)</f>
        <v>16</v>
      </c>
      <c r="F330" s="0" t="n">
        <f aca="false">IF(C330&gt;=6,0,1)</f>
        <v>1</v>
      </c>
      <c r="G330" s="0" t="n">
        <f aca="false">VLOOKUP(E330,Sheet1!$A$2:$B$25,2,0)</f>
        <v>0</v>
      </c>
    </row>
    <row r="331" customFormat="false" ht="15" hidden="false" customHeight="false" outlineLevel="0" collapsed="false">
      <c r="A331" s="11" t="n">
        <v>44575.7083333333</v>
      </c>
      <c r="B331" s="0" t="n">
        <v>300.6</v>
      </c>
      <c r="C331" s="0" t="n">
        <f aca="false">WEEKDAY(A331,2)</f>
        <v>5</v>
      </c>
      <c r="D331" s="0" t="n">
        <f aca="false">DAY(A331)</f>
        <v>14</v>
      </c>
      <c r="E331" s="0" t="n">
        <f aca="false">HOUR(A331)</f>
        <v>17</v>
      </c>
      <c r="F331" s="0" t="n">
        <f aca="false">IF(C331&gt;=6,0,1)</f>
        <v>1</v>
      </c>
      <c r="G331" s="0" t="n">
        <f aca="false">VLOOKUP(E331,Sheet1!$A$2:$B$25,2,0)</f>
        <v>0</v>
      </c>
    </row>
    <row r="332" customFormat="false" ht="15" hidden="false" customHeight="false" outlineLevel="0" collapsed="false">
      <c r="A332" s="11" t="n">
        <v>44575.75</v>
      </c>
      <c r="B332" s="0" t="n">
        <v>294.82</v>
      </c>
      <c r="C332" s="0" t="n">
        <f aca="false">WEEKDAY(A332,2)</f>
        <v>5</v>
      </c>
      <c r="D332" s="0" t="n">
        <f aca="false">DAY(A332)</f>
        <v>14</v>
      </c>
      <c r="E332" s="0" t="n">
        <f aca="false">HOUR(A332)</f>
        <v>18</v>
      </c>
      <c r="F332" s="0" t="n">
        <f aca="false">IF(C332&gt;=6,0,1)</f>
        <v>1</v>
      </c>
      <c r="G332" s="0" t="n">
        <f aca="false">VLOOKUP(E332,Sheet1!$A$2:$B$25,2,0)</f>
        <v>0</v>
      </c>
    </row>
    <row r="333" customFormat="false" ht="15" hidden="false" customHeight="false" outlineLevel="0" collapsed="false">
      <c r="A333" s="11" t="n">
        <v>44575.7916666667</v>
      </c>
      <c r="B333" s="0" t="n">
        <v>295.56</v>
      </c>
      <c r="C333" s="0" t="n">
        <f aca="false">WEEKDAY(A333,2)</f>
        <v>5</v>
      </c>
      <c r="D333" s="0" t="n">
        <f aca="false">DAY(A333)</f>
        <v>14</v>
      </c>
      <c r="E333" s="0" t="n">
        <f aca="false">HOUR(A333)</f>
        <v>19</v>
      </c>
      <c r="F333" s="0" t="n">
        <f aca="false">IF(C333&gt;=6,0,1)</f>
        <v>1</v>
      </c>
      <c r="G333" s="0" t="n">
        <f aca="false">VLOOKUP(E333,Sheet1!$A$2:$B$25,2,0)</f>
        <v>0</v>
      </c>
    </row>
    <row r="334" customFormat="false" ht="15" hidden="false" customHeight="false" outlineLevel="0" collapsed="false">
      <c r="A334" s="11" t="n">
        <v>44575.8333333333</v>
      </c>
      <c r="B334" s="0" t="n">
        <v>294.47</v>
      </c>
      <c r="C334" s="0" t="n">
        <f aca="false">WEEKDAY(A334,2)</f>
        <v>5</v>
      </c>
      <c r="D334" s="0" t="n">
        <f aca="false">DAY(A334)</f>
        <v>14</v>
      </c>
      <c r="E334" s="0" t="n">
        <f aca="false">HOUR(A334)</f>
        <v>20</v>
      </c>
      <c r="F334" s="0" t="n">
        <f aca="false">IF(C334&gt;=6,0,1)</f>
        <v>1</v>
      </c>
      <c r="G334" s="0" t="n">
        <f aca="false">VLOOKUP(E334,Sheet1!$A$2:$B$25,2,0)</f>
        <v>0</v>
      </c>
    </row>
    <row r="335" customFormat="false" ht="15" hidden="false" customHeight="false" outlineLevel="0" collapsed="false">
      <c r="A335" s="11" t="n">
        <v>44575.875</v>
      </c>
      <c r="B335" s="0" t="n">
        <v>294.36</v>
      </c>
      <c r="C335" s="0" t="n">
        <f aca="false">WEEKDAY(A335,2)</f>
        <v>5</v>
      </c>
      <c r="D335" s="0" t="n">
        <f aca="false">DAY(A335)</f>
        <v>14</v>
      </c>
      <c r="E335" s="0" t="n">
        <f aca="false">HOUR(A335)</f>
        <v>21</v>
      </c>
      <c r="F335" s="0" t="n">
        <f aca="false">IF(C335&gt;=6,0,1)</f>
        <v>1</v>
      </c>
      <c r="G335" s="0" t="n">
        <f aca="false">VLOOKUP(E335,Sheet1!$A$2:$B$25,2,0)</f>
        <v>0</v>
      </c>
    </row>
    <row r="336" customFormat="false" ht="15" hidden="false" customHeight="false" outlineLevel="0" collapsed="false">
      <c r="A336" s="11" t="n">
        <v>44575.9166666667</v>
      </c>
      <c r="B336" s="0" t="n">
        <v>294.94</v>
      </c>
      <c r="C336" s="0" t="n">
        <f aca="false">WEEKDAY(A336,2)</f>
        <v>5</v>
      </c>
      <c r="D336" s="0" t="n">
        <f aca="false">DAY(A336)</f>
        <v>14</v>
      </c>
      <c r="E336" s="0" t="n">
        <f aca="false">HOUR(A336)</f>
        <v>22</v>
      </c>
      <c r="F336" s="0" t="n">
        <f aca="false">IF(C336&gt;=6,0,1)</f>
        <v>1</v>
      </c>
      <c r="G336" s="0" t="n">
        <f aca="false">VLOOKUP(E336,Sheet1!$A$2:$B$25,2,0)</f>
        <v>0</v>
      </c>
    </row>
    <row r="337" customFormat="false" ht="15" hidden="false" customHeight="false" outlineLevel="0" collapsed="false">
      <c r="A337" s="11" t="n">
        <v>44575.9583333333</v>
      </c>
      <c r="B337" s="0" t="n">
        <v>290.63</v>
      </c>
      <c r="C337" s="0" t="n">
        <f aca="false">WEEKDAY(A337,2)</f>
        <v>5</v>
      </c>
      <c r="D337" s="0" t="n">
        <f aca="false">DAY(A337)</f>
        <v>14</v>
      </c>
      <c r="E337" s="0" t="n">
        <f aca="false">HOUR(A337)</f>
        <v>23</v>
      </c>
      <c r="F337" s="0" t="n">
        <f aca="false">IF(C337&gt;=6,0,1)</f>
        <v>1</v>
      </c>
      <c r="G337" s="0" t="n">
        <f aca="false">VLOOKUP(E337,Sheet1!$A$2:$B$25,2,0)</f>
        <v>0</v>
      </c>
    </row>
    <row r="338" customFormat="false" ht="15" hidden="false" customHeight="false" outlineLevel="0" collapsed="false">
      <c r="A338" s="11" t="n">
        <v>44576</v>
      </c>
      <c r="B338" s="0" t="n">
        <v>289.04</v>
      </c>
      <c r="C338" s="0" t="n">
        <f aca="false">WEEKDAY(A338,2)</f>
        <v>6</v>
      </c>
      <c r="D338" s="0" t="n">
        <f aca="false">DAY(A338)</f>
        <v>15</v>
      </c>
      <c r="E338" s="0" t="n">
        <f aca="false">HOUR(A338)</f>
        <v>0</v>
      </c>
      <c r="F338" s="0" t="n">
        <f aca="false">IF(C338&gt;=6,0,1)</f>
        <v>0</v>
      </c>
      <c r="G338" s="0" t="n">
        <f aca="false">VLOOKUP(E338,Sheet1!$A$2:$B$25,2,0)</f>
        <v>0</v>
      </c>
    </row>
    <row r="339" customFormat="false" ht="15" hidden="false" customHeight="false" outlineLevel="0" collapsed="false">
      <c r="A339" s="11" t="n">
        <v>44576.0416666667</v>
      </c>
      <c r="B339" s="0" t="n">
        <v>288.49</v>
      </c>
      <c r="C339" s="0" t="n">
        <f aca="false">WEEKDAY(A339,2)</f>
        <v>6</v>
      </c>
      <c r="D339" s="0" t="n">
        <f aca="false">DAY(A339)</f>
        <v>15</v>
      </c>
      <c r="E339" s="0" t="n">
        <f aca="false">HOUR(A339)</f>
        <v>1</v>
      </c>
      <c r="F339" s="0" t="n">
        <f aca="false">IF(C339&gt;=6,0,1)</f>
        <v>0</v>
      </c>
      <c r="G339" s="0" t="n">
        <f aca="false">VLOOKUP(E339,Sheet1!$A$2:$B$25,2,0)</f>
        <v>0</v>
      </c>
    </row>
    <row r="340" customFormat="false" ht="15" hidden="false" customHeight="false" outlineLevel="0" collapsed="false">
      <c r="A340" s="11" t="n">
        <v>44576.0833333333</v>
      </c>
      <c r="B340" s="0" t="n">
        <v>297.82</v>
      </c>
      <c r="C340" s="0" t="n">
        <f aca="false">WEEKDAY(A340,2)</f>
        <v>6</v>
      </c>
      <c r="D340" s="0" t="n">
        <f aca="false">DAY(A340)</f>
        <v>15</v>
      </c>
      <c r="E340" s="0" t="n">
        <f aca="false">HOUR(A340)</f>
        <v>2</v>
      </c>
      <c r="F340" s="0" t="n">
        <f aca="false">IF(C340&gt;=6,0,1)</f>
        <v>0</v>
      </c>
      <c r="G340" s="0" t="n">
        <f aca="false">VLOOKUP(E340,Sheet1!$A$2:$B$25,2,0)</f>
        <v>0</v>
      </c>
    </row>
    <row r="341" customFormat="false" ht="15" hidden="false" customHeight="false" outlineLevel="0" collapsed="false">
      <c r="A341" s="11" t="n">
        <v>44576.125</v>
      </c>
      <c r="B341" s="0" t="n">
        <v>300.11</v>
      </c>
      <c r="C341" s="0" t="n">
        <f aca="false">WEEKDAY(A341,2)</f>
        <v>6</v>
      </c>
      <c r="D341" s="0" t="n">
        <f aca="false">DAY(A341)</f>
        <v>15</v>
      </c>
      <c r="E341" s="0" t="n">
        <f aca="false">HOUR(A341)</f>
        <v>3</v>
      </c>
      <c r="F341" s="0" t="n">
        <f aca="false">IF(C341&gt;=6,0,1)</f>
        <v>0</v>
      </c>
      <c r="G341" s="0" t="n">
        <f aca="false">VLOOKUP(E341,Sheet1!$A$2:$B$25,2,0)</f>
        <v>0</v>
      </c>
    </row>
    <row r="342" customFormat="false" ht="15" hidden="false" customHeight="false" outlineLevel="0" collapsed="false">
      <c r="A342" s="11" t="n">
        <v>44576.1666666667</v>
      </c>
      <c r="B342" s="0" t="n">
        <v>310.53</v>
      </c>
      <c r="C342" s="0" t="n">
        <f aca="false">WEEKDAY(A342,2)</f>
        <v>6</v>
      </c>
      <c r="D342" s="0" t="n">
        <f aca="false">DAY(A342)</f>
        <v>15</v>
      </c>
      <c r="E342" s="0" t="n">
        <f aca="false">HOUR(A342)</f>
        <v>4</v>
      </c>
      <c r="F342" s="0" t="n">
        <f aca="false">IF(C342&gt;=6,0,1)</f>
        <v>0</v>
      </c>
      <c r="G342" s="0" t="n">
        <f aca="false">VLOOKUP(E342,Sheet1!$A$2:$B$25,2,0)</f>
        <v>1</v>
      </c>
    </row>
    <row r="343" customFormat="false" ht="15" hidden="false" customHeight="false" outlineLevel="0" collapsed="false">
      <c r="A343" s="11" t="n">
        <v>44576.2083333333</v>
      </c>
      <c r="B343" s="0" t="n">
        <v>308.8</v>
      </c>
      <c r="C343" s="0" t="n">
        <f aca="false">WEEKDAY(A343,2)</f>
        <v>6</v>
      </c>
      <c r="D343" s="0" t="n">
        <f aca="false">DAY(A343)</f>
        <v>15</v>
      </c>
      <c r="E343" s="0" t="n">
        <f aca="false">HOUR(A343)</f>
        <v>5</v>
      </c>
      <c r="F343" s="0" t="n">
        <f aca="false">IF(C343&gt;=6,0,1)</f>
        <v>0</v>
      </c>
      <c r="G343" s="0" t="n">
        <f aca="false">VLOOKUP(E343,Sheet1!$A$2:$B$25,2,0)</f>
        <v>1</v>
      </c>
    </row>
    <row r="344" customFormat="false" ht="15" hidden="false" customHeight="false" outlineLevel="0" collapsed="false">
      <c r="A344" s="11" t="n">
        <v>44576.25</v>
      </c>
      <c r="B344" s="0" t="n">
        <v>304.31</v>
      </c>
      <c r="C344" s="0" t="n">
        <f aca="false">WEEKDAY(A344,2)</f>
        <v>6</v>
      </c>
      <c r="D344" s="0" t="n">
        <f aca="false">DAY(A344)</f>
        <v>15</v>
      </c>
      <c r="E344" s="0" t="n">
        <f aca="false">HOUR(A344)</f>
        <v>6</v>
      </c>
      <c r="F344" s="0" t="n">
        <f aca="false">IF(C344&gt;=6,0,1)</f>
        <v>0</v>
      </c>
      <c r="G344" s="0" t="n">
        <f aca="false">VLOOKUP(E344,Sheet1!$A$2:$B$25,2,0)</f>
        <v>1</v>
      </c>
    </row>
    <row r="345" customFormat="false" ht="15" hidden="false" customHeight="false" outlineLevel="0" collapsed="false">
      <c r="A345" s="11" t="n">
        <v>44576.2916666667</v>
      </c>
      <c r="B345" s="0" t="n">
        <v>305.97</v>
      </c>
      <c r="C345" s="0" t="n">
        <f aca="false">WEEKDAY(A345,2)</f>
        <v>6</v>
      </c>
      <c r="D345" s="0" t="n">
        <f aca="false">DAY(A345)</f>
        <v>15</v>
      </c>
      <c r="E345" s="0" t="n">
        <f aca="false">HOUR(A345)</f>
        <v>7</v>
      </c>
      <c r="F345" s="0" t="n">
        <f aca="false">IF(C345&gt;=6,0,1)</f>
        <v>0</v>
      </c>
      <c r="G345" s="0" t="n">
        <f aca="false">VLOOKUP(E345,Sheet1!$A$2:$B$25,2,0)</f>
        <v>1</v>
      </c>
    </row>
    <row r="346" customFormat="false" ht="15" hidden="false" customHeight="false" outlineLevel="0" collapsed="false">
      <c r="A346" s="11" t="n">
        <v>44576.3333333333</v>
      </c>
      <c r="B346" s="0" t="n">
        <v>300.67</v>
      </c>
      <c r="C346" s="0" t="n">
        <f aca="false">WEEKDAY(A346,2)</f>
        <v>6</v>
      </c>
      <c r="D346" s="0" t="n">
        <f aca="false">DAY(A346)</f>
        <v>15</v>
      </c>
      <c r="E346" s="0" t="n">
        <f aca="false">HOUR(A346)</f>
        <v>8</v>
      </c>
      <c r="F346" s="0" t="n">
        <f aca="false">IF(C346&gt;=6,0,1)</f>
        <v>0</v>
      </c>
      <c r="G346" s="0" t="n">
        <f aca="false">VLOOKUP(E346,Sheet1!$A$2:$B$25,2,0)</f>
        <v>1</v>
      </c>
    </row>
    <row r="347" customFormat="false" ht="15" hidden="false" customHeight="false" outlineLevel="0" collapsed="false">
      <c r="A347" s="11" t="n">
        <v>44576.375</v>
      </c>
      <c r="B347" s="0" t="n">
        <v>304.21</v>
      </c>
      <c r="C347" s="0" t="n">
        <f aca="false">WEEKDAY(A347,2)</f>
        <v>6</v>
      </c>
      <c r="D347" s="0" t="n">
        <f aca="false">DAY(A347)</f>
        <v>15</v>
      </c>
      <c r="E347" s="0" t="n">
        <f aca="false">HOUR(A347)</f>
        <v>9</v>
      </c>
      <c r="F347" s="0" t="n">
        <f aca="false">IF(C347&gt;=6,0,1)</f>
        <v>0</v>
      </c>
      <c r="G347" s="0" t="n">
        <f aca="false">VLOOKUP(E347,Sheet1!$A$2:$B$25,2,0)</f>
        <v>1</v>
      </c>
    </row>
    <row r="348" customFormat="false" ht="15" hidden="false" customHeight="false" outlineLevel="0" collapsed="false">
      <c r="A348" s="11" t="n">
        <v>44576.4166666667</v>
      </c>
      <c r="B348" s="0" t="n">
        <v>296.88</v>
      </c>
      <c r="C348" s="0" t="n">
        <f aca="false">WEEKDAY(A348,2)</f>
        <v>6</v>
      </c>
      <c r="D348" s="0" t="n">
        <f aca="false">DAY(A348)</f>
        <v>15</v>
      </c>
      <c r="E348" s="0" t="n">
        <f aca="false">HOUR(A348)</f>
        <v>10</v>
      </c>
      <c r="F348" s="0" t="n">
        <f aca="false">IF(C348&gt;=6,0,1)</f>
        <v>0</v>
      </c>
      <c r="G348" s="0" t="n">
        <f aca="false">VLOOKUP(E348,Sheet1!$A$2:$B$25,2,0)</f>
        <v>1</v>
      </c>
    </row>
    <row r="349" customFormat="false" ht="15" hidden="false" customHeight="false" outlineLevel="0" collapsed="false">
      <c r="A349" s="11" t="n">
        <v>44576.4583333333</v>
      </c>
      <c r="B349" s="0" t="n">
        <v>306.65</v>
      </c>
      <c r="C349" s="0" t="n">
        <f aca="false">WEEKDAY(A349,2)</f>
        <v>6</v>
      </c>
      <c r="D349" s="0" t="n">
        <f aca="false">DAY(A349)</f>
        <v>15</v>
      </c>
      <c r="E349" s="0" t="n">
        <f aca="false">HOUR(A349)</f>
        <v>11</v>
      </c>
      <c r="F349" s="0" t="n">
        <f aca="false">IF(C349&gt;=6,0,1)</f>
        <v>0</v>
      </c>
      <c r="G349" s="0" t="n">
        <f aca="false">VLOOKUP(E349,Sheet1!$A$2:$B$25,2,0)</f>
        <v>1</v>
      </c>
    </row>
    <row r="350" customFormat="false" ht="15" hidden="false" customHeight="false" outlineLevel="0" collapsed="false">
      <c r="A350" s="11" t="n">
        <v>44576.5</v>
      </c>
      <c r="B350" s="0" t="n">
        <v>298.31</v>
      </c>
      <c r="C350" s="0" t="n">
        <f aca="false">WEEKDAY(A350,2)</f>
        <v>6</v>
      </c>
      <c r="D350" s="0" t="n">
        <f aca="false">DAY(A350)</f>
        <v>15</v>
      </c>
      <c r="E350" s="0" t="n">
        <f aca="false">HOUR(A350)</f>
        <v>12</v>
      </c>
      <c r="F350" s="0" t="n">
        <f aca="false">IF(C350&gt;=6,0,1)</f>
        <v>0</v>
      </c>
      <c r="G350" s="0" t="n">
        <f aca="false">VLOOKUP(E350,Sheet1!$A$2:$B$25,2,0)</f>
        <v>1</v>
      </c>
    </row>
    <row r="351" customFormat="false" ht="15" hidden="false" customHeight="false" outlineLevel="0" collapsed="false">
      <c r="A351" s="11" t="n">
        <v>44576.5416666667</v>
      </c>
      <c r="B351" s="0" t="n">
        <v>296.34</v>
      </c>
      <c r="C351" s="0" t="n">
        <f aca="false">WEEKDAY(A351,2)</f>
        <v>6</v>
      </c>
      <c r="D351" s="0" t="n">
        <f aca="false">DAY(A351)</f>
        <v>15</v>
      </c>
      <c r="E351" s="0" t="n">
        <f aca="false">HOUR(A351)</f>
        <v>13</v>
      </c>
      <c r="F351" s="0" t="n">
        <f aca="false">IF(C351&gt;=6,0,1)</f>
        <v>0</v>
      </c>
      <c r="G351" s="0" t="n">
        <f aca="false">VLOOKUP(E351,Sheet1!$A$2:$B$25,2,0)</f>
        <v>1</v>
      </c>
    </row>
    <row r="352" customFormat="false" ht="15" hidden="false" customHeight="false" outlineLevel="0" collapsed="false">
      <c r="A352" s="11" t="n">
        <v>44576.5833333333</v>
      </c>
      <c r="B352" s="0" t="n">
        <v>300.15</v>
      </c>
      <c r="C352" s="0" t="n">
        <f aca="false">WEEKDAY(A352,2)</f>
        <v>6</v>
      </c>
      <c r="D352" s="0" t="n">
        <f aca="false">DAY(A352)</f>
        <v>15</v>
      </c>
      <c r="E352" s="0" t="n">
        <f aca="false">HOUR(A352)</f>
        <v>14</v>
      </c>
      <c r="F352" s="0" t="n">
        <f aca="false">IF(C352&gt;=6,0,1)</f>
        <v>0</v>
      </c>
      <c r="G352" s="0" t="n">
        <f aca="false">VLOOKUP(E352,Sheet1!$A$2:$B$25,2,0)</f>
        <v>1</v>
      </c>
    </row>
    <row r="353" customFormat="false" ht="15" hidden="false" customHeight="false" outlineLevel="0" collapsed="false">
      <c r="A353" s="11" t="n">
        <v>44576.625</v>
      </c>
      <c r="B353" s="0" t="n">
        <v>298.99</v>
      </c>
      <c r="C353" s="0" t="n">
        <f aca="false">WEEKDAY(A353,2)</f>
        <v>6</v>
      </c>
      <c r="D353" s="0" t="n">
        <f aca="false">DAY(A353)</f>
        <v>15</v>
      </c>
      <c r="E353" s="0" t="n">
        <f aca="false">HOUR(A353)</f>
        <v>15</v>
      </c>
      <c r="F353" s="0" t="n">
        <f aca="false">IF(C353&gt;=6,0,1)</f>
        <v>0</v>
      </c>
      <c r="G353" s="0" t="n">
        <f aca="false">VLOOKUP(E353,Sheet1!$A$2:$B$25,2,0)</f>
        <v>1</v>
      </c>
    </row>
    <row r="354" customFormat="false" ht="15" hidden="false" customHeight="false" outlineLevel="0" collapsed="false">
      <c r="A354" s="11" t="n">
        <v>44576.6666666667</v>
      </c>
      <c r="B354" s="0" t="n">
        <v>303.47</v>
      </c>
      <c r="C354" s="0" t="n">
        <f aca="false">WEEKDAY(A354,2)</f>
        <v>6</v>
      </c>
      <c r="D354" s="0" t="n">
        <f aca="false">DAY(A354)</f>
        <v>15</v>
      </c>
      <c r="E354" s="0" t="n">
        <f aca="false">HOUR(A354)</f>
        <v>16</v>
      </c>
      <c r="F354" s="0" t="n">
        <f aca="false">IF(C354&gt;=6,0,1)</f>
        <v>0</v>
      </c>
      <c r="G354" s="0" t="n">
        <f aca="false">VLOOKUP(E354,Sheet1!$A$2:$B$25,2,0)</f>
        <v>0</v>
      </c>
    </row>
    <row r="355" customFormat="false" ht="15" hidden="false" customHeight="false" outlineLevel="0" collapsed="false">
      <c r="A355" s="11" t="n">
        <v>44576.7083333333</v>
      </c>
      <c r="B355" s="0" t="n">
        <v>317.19</v>
      </c>
      <c r="C355" s="0" t="n">
        <f aca="false">WEEKDAY(A355,2)</f>
        <v>6</v>
      </c>
      <c r="D355" s="0" t="n">
        <f aca="false">DAY(A355)</f>
        <v>15</v>
      </c>
      <c r="E355" s="0" t="n">
        <f aca="false">HOUR(A355)</f>
        <v>17</v>
      </c>
      <c r="F355" s="0" t="n">
        <f aca="false">IF(C355&gt;=6,0,1)</f>
        <v>0</v>
      </c>
      <c r="G355" s="0" t="n">
        <f aca="false">VLOOKUP(E355,Sheet1!$A$2:$B$25,2,0)</f>
        <v>0</v>
      </c>
    </row>
    <row r="356" customFormat="false" ht="15" hidden="false" customHeight="false" outlineLevel="0" collapsed="false">
      <c r="A356" s="11" t="n">
        <v>44576.75</v>
      </c>
      <c r="B356" s="0" t="n">
        <v>309.67</v>
      </c>
      <c r="C356" s="0" t="n">
        <f aca="false">WEEKDAY(A356,2)</f>
        <v>6</v>
      </c>
      <c r="D356" s="0" t="n">
        <f aca="false">DAY(A356)</f>
        <v>15</v>
      </c>
      <c r="E356" s="0" t="n">
        <f aca="false">HOUR(A356)</f>
        <v>18</v>
      </c>
      <c r="F356" s="0" t="n">
        <f aca="false">IF(C356&gt;=6,0,1)</f>
        <v>0</v>
      </c>
      <c r="G356" s="0" t="n">
        <f aca="false">VLOOKUP(E356,Sheet1!$A$2:$B$25,2,0)</f>
        <v>0</v>
      </c>
    </row>
    <row r="357" customFormat="false" ht="15" hidden="false" customHeight="false" outlineLevel="0" collapsed="false">
      <c r="A357" s="11" t="n">
        <v>44576.7916666667</v>
      </c>
      <c r="B357" s="0" t="n">
        <v>309.01</v>
      </c>
      <c r="C357" s="0" t="n">
        <f aca="false">WEEKDAY(A357,2)</f>
        <v>6</v>
      </c>
      <c r="D357" s="0" t="n">
        <f aca="false">DAY(A357)</f>
        <v>15</v>
      </c>
      <c r="E357" s="0" t="n">
        <f aca="false">HOUR(A357)</f>
        <v>19</v>
      </c>
      <c r="F357" s="0" t="n">
        <f aca="false">IF(C357&gt;=6,0,1)</f>
        <v>0</v>
      </c>
      <c r="G357" s="0" t="n">
        <f aca="false">VLOOKUP(E357,Sheet1!$A$2:$B$25,2,0)</f>
        <v>0</v>
      </c>
    </row>
    <row r="358" customFormat="false" ht="15" hidden="false" customHeight="false" outlineLevel="0" collapsed="false">
      <c r="A358" s="11" t="n">
        <v>44576.8333333333</v>
      </c>
      <c r="B358" s="0" t="n">
        <v>307.18</v>
      </c>
      <c r="C358" s="0" t="n">
        <f aca="false">WEEKDAY(A358,2)</f>
        <v>6</v>
      </c>
      <c r="D358" s="0" t="n">
        <f aca="false">DAY(A358)</f>
        <v>15</v>
      </c>
      <c r="E358" s="0" t="n">
        <f aca="false">HOUR(A358)</f>
        <v>20</v>
      </c>
      <c r="F358" s="0" t="n">
        <f aca="false">IF(C358&gt;=6,0,1)</f>
        <v>0</v>
      </c>
      <c r="G358" s="0" t="n">
        <f aca="false">VLOOKUP(E358,Sheet1!$A$2:$B$25,2,0)</f>
        <v>0</v>
      </c>
    </row>
    <row r="359" customFormat="false" ht="15" hidden="false" customHeight="false" outlineLevel="0" collapsed="false">
      <c r="A359" s="11" t="n">
        <v>44576.875</v>
      </c>
      <c r="B359" s="0" t="n">
        <v>309.11</v>
      </c>
      <c r="C359" s="0" t="n">
        <f aca="false">WEEKDAY(A359,2)</f>
        <v>6</v>
      </c>
      <c r="D359" s="0" t="n">
        <f aca="false">DAY(A359)</f>
        <v>15</v>
      </c>
      <c r="E359" s="0" t="n">
        <f aca="false">HOUR(A359)</f>
        <v>21</v>
      </c>
      <c r="F359" s="0" t="n">
        <f aca="false">IF(C359&gt;=6,0,1)</f>
        <v>0</v>
      </c>
      <c r="G359" s="0" t="n">
        <f aca="false">VLOOKUP(E359,Sheet1!$A$2:$B$25,2,0)</f>
        <v>0</v>
      </c>
    </row>
    <row r="360" customFormat="false" ht="15" hidden="false" customHeight="false" outlineLevel="0" collapsed="false">
      <c r="A360" s="11" t="n">
        <v>44576.9166666667</v>
      </c>
      <c r="B360" s="0" t="n">
        <v>310.02</v>
      </c>
      <c r="C360" s="0" t="n">
        <f aca="false">WEEKDAY(A360,2)</f>
        <v>6</v>
      </c>
      <c r="D360" s="0" t="n">
        <f aca="false">DAY(A360)</f>
        <v>15</v>
      </c>
      <c r="E360" s="0" t="n">
        <f aca="false">HOUR(A360)</f>
        <v>22</v>
      </c>
      <c r="F360" s="0" t="n">
        <f aca="false">IF(C360&gt;=6,0,1)</f>
        <v>0</v>
      </c>
      <c r="G360" s="0" t="n">
        <f aca="false">VLOOKUP(E360,Sheet1!$A$2:$B$25,2,0)</f>
        <v>0</v>
      </c>
    </row>
    <row r="361" customFormat="false" ht="15" hidden="false" customHeight="false" outlineLevel="0" collapsed="false">
      <c r="A361" s="11" t="n">
        <v>44576.9583333333</v>
      </c>
      <c r="B361" s="0" t="n">
        <v>312.52</v>
      </c>
      <c r="C361" s="0" t="n">
        <f aca="false">WEEKDAY(A361,2)</f>
        <v>6</v>
      </c>
      <c r="D361" s="0" t="n">
        <f aca="false">DAY(A361)</f>
        <v>15</v>
      </c>
      <c r="E361" s="0" t="n">
        <f aca="false">HOUR(A361)</f>
        <v>23</v>
      </c>
      <c r="F361" s="0" t="n">
        <f aca="false">IF(C361&gt;=6,0,1)</f>
        <v>0</v>
      </c>
      <c r="G361" s="0" t="n">
        <f aca="false">VLOOKUP(E361,Sheet1!$A$2:$B$25,2,0)</f>
        <v>0</v>
      </c>
    </row>
    <row r="362" customFormat="false" ht="15" hidden="false" customHeight="false" outlineLevel="0" collapsed="false">
      <c r="A362" s="11" t="n">
        <v>44577</v>
      </c>
      <c r="B362" s="0" t="n">
        <v>319.53</v>
      </c>
      <c r="C362" s="0" t="n">
        <f aca="false">WEEKDAY(A362,2)</f>
        <v>7</v>
      </c>
      <c r="D362" s="0" t="n">
        <f aca="false">DAY(A362)</f>
        <v>16</v>
      </c>
      <c r="E362" s="0" t="n">
        <f aca="false">HOUR(A362)</f>
        <v>0</v>
      </c>
      <c r="F362" s="0" t="n">
        <f aca="false">IF(C362&gt;=6,0,1)</f>
        <v>0</v>
      </c>
      <c r="G362" s="0" t="n">
        <f aca="false">VLOOKUP(E362,Sheet1!$A$2:$B$25,2,0)</f>
        <v>0</v>
      </c>
    </row>
    <row r="363" customFormat="false" ht="15" hidden="false" customHeight="false" outlineLevel="0" collapsed="false">
      <c r="A363" s="11" t="n">
        <v>44577.0416666667</v>
      </c>
      <c r="B363" s="0" t="n">
        <v>315.45</v>
      </c>
      <c r="C363" s="0" t="n">
        <f aca="false">WEEKDAY(A363,2)</f>
        <v>7</v>
      </c>
      <c r="D363" s="0" t="n">
        <f aca="false">DAY(A363)</f>
        <v>16</v>
      </c>
      <c r="E363" s="0" t="n">
        <f aca="false">HOUR(A363)</f>
        <v>1</v>
      </c>
      <c r="F363" s="0" t="n">
        <f aca="false">IF(C363&gt;=6,0,1)</f>
        <v>0</v>
      </c>
      <c r="G363" s="0" t="n">
        <f aca="false">VLOOKUP(E363,Sheet1!$A$2:$B$25,2,0)</f>
        <v>0</v>
      </c>
    </row>
    <row r="364" customFormat="false" ht="15" hidden="false" customHeight="false" outlineLevel="0" collapsed="false">
      <c r="A364" s="11" t="n">
        <v>44577.0833333333</v>
      </c>
      <c r="B364" s="0" t="n">
        <v>314.76</v>
      </c>
      <c r="C364" s="0" t="n">
        <f aca="false">WEEKDAY(A364,2)</f>
        <v>7</v>
      </c>
      <c r="D364" s="0" t="n">
        <f aca="false">DAY(A364)</f>
        <v>16</v>
      </c>
      <c r="E364" s="0" t="n">
        <f aca="false">HOUR(A364)</f>
        <v>2</v>
      </c>
      <c r="F364" s="0" t="n">
        <f aca="false">IF(C364&gt;=6,0,1)</f>
        <v>0</v>
      </c>
      <c r="G364" s="0" t="n">
        <f aca="false">VLOOKUP(E364,Sheet1!$A$2:$B$25,2,0)</f>
        <v>0</v>
      </c>
    </row>
    <row r="365" customFormat="false" ht="15" hidden="false" customHeight="false" outlineLevel="0" collapsed="false">
      <c r="A365" s="11" t="n">
        <v>44577.125</v>
      </c>
      <c r="B365" s="0" t="n">
        <v>315.04</v>
      </c>
      <c r="C365" s="0" t="n">
        <f aca="false">WEEKDAY(A365,2)</f>
        <v>7</v>
      </c>
      <c r="D365" s="0" t="n">
        <f aca="false">DAY(A365)</f>
        <v>16</v>
      </c>
      <c r="E365" s="0" t="n">
        <f aca="false">HOUR(A365)</f>
        <v>3</v>
      </c>
      <c r="F365" s="0" t="n">
        <f aca="false">IF(C365&gt;=6,0,1)</f>
        <v>0</v>
      </c>
      <c r="G365" s="0" t="n">
        <f aca="false">VLOOKUP(E365,Sheet1!$A$2:$B$25,2,0)</f>
        <v>0</v>
      </c>
    </row>
    <row r="366" customFormat="false" ht="15" hidden="false" customHeight="false" outlineLevel="0" collapsed="false">
      <c r="A366" s="11" t="n">
        <v>44577.1666666667</v>
      </c>
      <c r="B366" s="0" t="n">
        <v>316.55</v>
      </c>
      <c r="C366" s="0" t="n">
        <f aca="false">WEEKDAY(A366,2)</f>
        <v>7</v>
      </c>
      <c r="D366" s="0" t="n">
        <f aca="false">DAY(A366)</f>
        <v>16</v>
      </c>
      <c r="E366" s="0" t="n">
        <f aca="false">HOUR(A366)</f>
        <v>4</v>
      </c>
      <c r="F366" s="0" t="n">
        <f aca="false">IF(C366&gt;=6,0,1)</f>
        <v>0</v>
      </c>
      <c r="G366" s="0" t="n">
        <f aca="false">VLOOKUP(E366,Sheet1!$A$2:$B$25,2,0)</f>
        <v>1</v>
      </c>
    </row>
    <row r="367" customFormat="false" ht="15" hidden="false" customHeight="false" outlineLevel="0" collapsed="false">
      <c r="A367" s="11" t="n">
        <v>44577.2083333333</v>
      </c>
      <c r="B367" s="0" t="n">
        <v>316.36</v>
      </c>
      <c r="C367" s="0" t="n">
        <f aca="false">WEEKDAY(A367,2)</f>
        <v>7</v>
      </c>
      <c r="D367" s="0" t="n">
        <f aca="false">DAY(A367)</f>
        <v>16</v>
      </c>
      <c r="E367" s="0" t="n">
        <f aca="false">HOUR(A367)</f>
        <v>5</v>
      </c>
      <c r="F367" s="0" t="n">
        <f aca="false">IF(C367&gt;=6,0,1)</f>
        <v>0</v>
      </c>
      <c r="G367" s="0" t="n">
        <f aca="false">VLOOKUP(E367,Sheet1!$A$2:$B$25,2,0)</f>
        <v>1</v>
      </c>
    </row>
    <row r="368" customFormat="false" ht="15" hidden="false" customHeight="false" outlineLevel="0" collapsed="false">
      <c r="A368" s="11" t="n">
        <v>44577.25</v>
      </c>
      <c r="B368" s="0" t="n">
        <v>313.71</v>
      </c>
      <c r="C368" s="0" t="n">
        <f aca="false">WEEKDAY(A368,2)</f>
        <v>7</v>
      </c>
      <c r="D368" s="0" t="n">
        <f aca="false">DAY(A368)</f>
        <v>16</v>
      </c>
      <c r="E368" s="0" t="n">
        <f aca="false">HOUR(A368)</f>
        <v>6</v>
      </c>
      <c r="F368" s="0" t="n">
        <f aca="false">IF(C368&gt;=6,0,1)</f>
        <v>0</v>
      </c>
      <c r="G368" s="0" t="n">
        <f aca="false">VLOOKUP(E368,Sheet1!$A$2:$B$25,2,0)</f>
        <v>1</v>
      </c>
    </row>
    <row r="369" customFormat="false" ht="15" hidden="false" customHeight="false" outlineLevel="0" collapsed="false">
      <c r="A369" s="11" t="n">
        <v>44577.2916666667</v>
      </c>
      <c r="B369" s="0" t="n">
        <v>319.16</v>
      </c>
      <c r="C369" s="0" t="n">
        <f aca="false">WEEKDAY(A369,2)</f>
        <v>7</v>
      </c>
      <c r="D369" s="0" t="n">
        <f aca="false">DAY(A369)</f>
        <v>16</v>
      </c>
      <c r="E369" s="0" t="n">
        <f aca="false">HOUR(A369)</f>
        <v>7</v>
      </c>
      <c r="F369" s="0" t="n">
        <f aca="false">IF(C369&gt;=6,0,1)</f>
        <v>0</v>
      </c>
      <c r="G369" s="0" t="n">
        <f aca="false">VLOOKUP(E369,Sheet1!$A$2:$B$25,2,0)</f>
        <v>1</v>
      </c>
    </row>
    <row r="370" customFormat="false" ht="15" hidden="false" customHeight="false" outlineLevel="0" collapsed="false">
      <c r="A370" s="11" t="n">
        <v>44577.3333333333</v>
      </c>
      <c r="B370" s="0" t="n">
        <v>305.46</v>
      </c>
      <c r="C370" s="0" t="n">
        <f aca="false">WEEKDAY(A370,2)</f>
        <v>7</v>
      </c>
      <c r="D370" s="0" t="n">
        <f aca="false">DAY(A370)</f>
        <v>16</v>
      </c>
      <c r="E370" s="0" t="n">
        <f aca="false">HOUR(A370)</f>
        <v>8</v>
      </c>
      <c r="F370" s="0" t="n">
        <f aca="false">IF(C370&gt;=6,0,1)</f>
        <v>0</v>
      </c>
      <c r="G370" s="0" t="n">
        <f aca="false">VLOOKUP(E370,Sheet1!$A$2:$B$25,2,0)</f>
        <v>1</v>
      </c>
    </row>
    <row r="371" customFormat="false" ht="15" hidden="false" customHeight="false" outlineLevel="0" collapsed="false">
      <c r="A371" s="11" t="n">
        <v>44577.375</v>
      </c>
      <c r="B371" s="0" t="n">
        <v>303.93</v>
      </c>
      <c r="C371" s="0" t="n">
        <f aca="false">WEEKDAY(A371,2)</f>
        <v>7</v>
      </c>
      <c r="D371" s="0" t="n">
        <f aca="false">DAY(A371)</f>
        <v>16</v>
      </c>
      <c r="E371" s="0" t="n">
        <f aca="false">HOUR(A371)</f>
        <v>9</v>
      </c>
      <c r="F371" s="0" t="n">
        <f aca="false">IF(C371&gt;=6,0,1)</f>
        <v>0</v>
      </c>
      <c r="G371" s="0" t="n">
        <f aca="false">VLOOKUP(E371,Sheet1!$A$2:$B$25,2,0)</f>
        <v>1</v>
      </c>
    </row>
    <row r="372" customFormat="false" ht="15" hidden="false" customHeight="false" outlineLevel="0" collapsed="false">
      <c r="A372" s="11" t="n">
        <v>44577.4166666667</v>
      </c>
      <c r="B372" s="0" t="n">
        <v>307.35</v>
      </c>
      <c r="C372" s="0" t="n">
        <f aca="false">WEEKDAY(A372,2)</f>
        <v>7</v>
      </c>
      <c r="D372" s="0" t="n">
        <f aca="false">DAY(A372)</f>
        <v>16</v>
      </c>
      <c r="E372" s="0" t="n">
        <f aca="false">HOUR(A372)</f>
        <v>10</v>
      </c>
      <c r="F372" s="0" t="n">
        <f aca="false">IF(C372&gt;=6,0,1)</f>
        <v>0</v>
      </c>
      <c r="G372" s="0" t="n">
        <f aca="false">VLOOKUP(E372,Sheet1!$A$2:$B$25,2,0)</f>
        <v>1</v>
      </c>
    </row>
    <row r="373" customFormat="false" ht="15" hidden="false" customHeight="false" outlineLevel="0" collapsed="false">
      <c r="A373" s="11" t="n">
        <v>44577.4583333333</v>
      </c>
      <c r="B373" s="0" t="n">
        <v>307.36</v>
      </c>
      <c r="C373" s="0" t="n">
        <f aca="false">WEEKDAY(A373,2)</f>
        <v>7</v>
      </c>
      <c r="D373" s="0" t="n">
        <f aca="false">DAY(A373)</f>
        <v>16</v>
      </c>
      <c r="E373" s="0" t="n">
        <f aca="false">HOUR(A373)</f>
        <v>11</v>
      </c>
      <c r="F373" s="0" t="n">
        <f aca="false">IF(C373&gt;=6,0,1)</f>
        <v>0</v>
      </c>
      <c r="G373" s="0" t="n">
        <f aca="false">VLOOKUP(E373,Sheet1!$A$2:$B$25,2,0)</f>
        <v>1</v>
      </c>
    </row>
    <row r="374" customFormat="false" ht="15" hidden="false" customHeight="false" outlineLevel="0" collapsed="false">
      <c r="A374" s="11" t="n">
        <v>44577.5</v>
      </c>
      <c r="B374" s="0" t="n">
        <v>313</v>
      </c>
      <c r="C374" s="0" t="n">
        <f aca="false">WEEKDAY(A374,2)</f>
        <v>7</v>
      </c>
      <c r="D374" s="0" t="n">
        <f aca="false">DAY(A374)</f>
        <v>16</v>
      </c>
      <c r="E374" s="0" t="n">
        <f aca="false">HOUR(A374)</f>
        <v>12</v>
      </c>
      <c r="F374" s="0" t="n">
        <f aca="false">IF(C374&gt;=6,0,1)</f>
        <v>0</v>
      </c>
      <c r="G374" s="0" t="n">
        <f aca="false">VLOOKUP(E374,Sheet1!$A$2:$B$25,2,0)</f>
        <v>1</v>
      </c>
    </row>
    <row r="375" customFormat="false" ht="15" hidden="false" customHeight="false" outlineLevel="0" collapsed="false">
      <c r="A375" s="11" t="n">
        <v>44577.5416666667</v>
      </c>
      <c r="B375" s="0" t="n">
        <v>301.37</v>
      </c>
      <c r="C375" s="0" t="n">
        <f aca="false">WEEKDAY(A375,2)</f>
        <v>7</v>
      </c>
      <c r="D375" s="0" t="n">
        <f aca="false">DAY(A375)</f>
        <v>16</v>
      </c>
      <c r="E375" s="0" t="n">
        <f aca="false">HOUR(A375)</f>
        <v>13</v>
      </c>
      <c r="F375" s="0" t="n">
        <f aca="false">IF(C375&gt;=6,0,1)</f>
        <v>0</v>
      </c>
      <c r="G375" s="0" t="n">
        <f aca="false">VLOOKUP(E375,Sheet1!$A$2:$B$25,2,0)</f>
        <v>1</v>
      </c>
    </row>
    <row r="376" customFormat="false" ht="15" hidden="false" customHeight="false" outlineLevel="0" collapsed="false">
      <c r="A376" s="11" t="n">
        <v>44577.5833333333</v>
      </c>
      <c r="B376" s="0" t="n">
        <v>303.4</v>
      </c>
      <c r="C376" s="0" t="n">
        <f aca="false">WEEKDAY(A376,2)</f>
        <v>7</v>
      </c>
      <c r="D376" s="0" t="n">
        <f aca="false">DAY(A376)</f>
        <v>16</v>
      </c>
      <c r="E376" s="0" t="n">
        <f aca="false">HOUR(A376)</f>
        <v>14</v>
      </c>
      <c r="F376" s="0" t="n">
        <f aca="false">IF(C376&gt;=6,0,1)</f>
        <v>0</v>
      </c>
      <c r="G376" s="0" t="n">
        <f aca="false">VLOOKUP(E376,Sheet1!$A$2:$B$25,2,0)</f>
        <v>1</v>
      </c>
    </row>
    <row r="377" customFormat="false" ht="15" hidden="false" customHeight="false" outlineLevel="0" collapsed="false">
      <c r="A377" s="11" t="n">
        <v>44577.625</v>
      </c>
      <c r="B377" s="0" t="n">
        <v>297.3</v>
      </c>
      <c r="C377" s="0" t="n">
        <f aca="false">WEEKDAY(A377,2)</f>
        <v>7</v>
      </c>
      <c r="D377" s="0" t="n">
        <f aca="false">DAY(A377)</f>
        <v>16</v>
      </c>
      <c r="E377" s="0" t="n">
        <f aca="false">HOUR(A377)</f>
        <v>15</v>
      </c>
      <c r="F377" s="0" t="n">
        <f aca="false">IF(C377&gt;=6,0,1)</f>
        <v>0</v>
      </c>
      <c r="G377" s="0" t="n">
        <f aca="false">VLOOKUP(E377,Sheet1!$A$2:$B$25,2,0)</f>
        <v>1</v>
      </c>
    </row>
    <row r="378" customFormat="false" ht="15" hidden="false" customHeight="false" outlineLevel="0" collapsed="false">
      <c r="A378" s="11" t="n">
        <v>44577.6666666667</v>
      </c>
      <c r="B378" s="0" t="n">
        <v>297.63</v>
      </c>
      <c r="C378" s="0" t="n">
        <f aca="false">WEEKDAY(A378,2)</f>
        <v>7</v>
      </c>
      <c r="D378" s="0" t="n">
        <f aca="false">DAY(A378)</f>
        <v>16</v>
      </c>
      <c r="E378" s="0" t="n">
        <f aca="false">HOUR(A378)</f>
        <v>16</v>
      </c>
      <c r="F378" s="0" t="n">
        <f aca="false">IF(C378&gt;=6,0,1)</f>
        <v>0</v>
      </c>
      <c r="G378" s="0" t="n">
        <f aca="false">VLOOKUP(E378,Sheet1!$A$2:$B$25,2,0)</f>
        <v>0</v>
      </c>
    </row>
    <row r="379" customFormat="false" ht="15" hidden="false" customHeight="false" outlineLevel="0" collapsed="false">
      <c r="A379" s="11" t="n">
        <v>44577.7083333333</v>
      </c>
      <c r="B379" s="0" t="n">
        <v>310.88</v>
      </c>
      <c r="C379" s="0" t="n">
        <f aca="false">WEEKDAY(A379,2)</f>
        <v>7</v>
      </c>
      <c r="D379" s="0" t="n">
        <f aca="false">DAY(A379)</f>
        <v>16</v>
      </c>
      <c r="E379" s="0" t="n">
        <f aca="false">HOUR(A379)</f>
        <v>17</v>
      </c>
      <c r="F379" s="0" t="n">
        <f aca="false">IF(C379&gt;=6,0,1)</f>
        <v>0</v>
      </c>
      <c r="G379" s="0" t="n">
        <f aca="false">VLOOKUP(E379,Sheet1!$A$2:$B$25,2,0)</f>
        <v>0</v>
      </c>
    </row>
    <row r="380" customFormat="false" ht="15" hidden="false" customHeight="false" outlineLevel="0" collapsed="false">
      <c r="A380" s="11" t="n">
        <v>44577.75</v>
      </c>
      <c r="B380" s="0" t="n">
        <v>305.69</v>
      </c>
      <c r="C380" s="0" t="n">
        <f aca="false">WEEKDAY(A380,2)</f>
        <v>7</v>
      </c>
      <c r="D380" s="0" t="n">
        <f aca="false">DAY(A380)</f>
        <v>16</v>
      </c>
      <c r="E380" s="0" t="n">
        <f aca="false">HOUR(A380)</f>
        <v>18</v>
      </c>
      <c r="F380" s="0" t="n">
        <f aca="false">IF(C380&gt;=6,0,1)</f>
        <v>0</v>
      </c>
      <c r="G380" s="0" t="n">
        <f aca="false">VLOOKUP(E380,Sheet1!$A$2:$B$25,2,0)</f>
        <v>0</v>
      </c>
    </row>
    <row r="381" customFormat="false" ht="15" hidden="false" customHeight="false" outlineLevel="0" collapsed="false">
      <c r="A381" s="11" t="n">
        <v>44577.7916666667</v>
      </c>
      <c r="B381" s="0" t="n">
        <v>298.58</v>
      </c>
      <c r="C381" s="0" t="n">
        <f aca="false">WEEKDAY(A381,2)</f>
        <v>7</v>
      </c>
      <c r="D381" s="0" t="n">
        <f aca="false">DAY(A381)</f>
        <v>16</v>
      </c>
      <c r="E381" s="0" t="n">
        <f aca="false">HOUR(A381)</f>
        <v>19</v>
      </c>
      <c r="F381" s="0" t="n">
        <f aca="false">IF(C381&gt;=6,0,1)</f>
        <v>0</v>
      </c>
      <c r="G381" s="0" t="n">
        <f aca="false">VLOOKUP(E381,Sheet1!$A$2:$B$25,2,0)</f>
        <v>0</v>
      </c>
    </row>
    <row r="382" customFormat="false" ht="15" hidden="false" customHeight="false" outlineLevel="0" collapsed="false">
      <c r="A382" s="11" t="n">
        <v>44577.8333333333</v>
      </c>
      <c r="B382" s="0" t="n">
        <v>302.56</v>
      </c>
      <c r="C382" s="0" t="n">
        <f aca="false">WEEKDAY(A382,2)</f>
        <v>7</v>
      </c>
      <c r="D382" s="0" t="n">
        <f aca="false">DAY(A382)</f>
        <v>16</v>
      </c>
      <c r="E382" s="0" t="n">
        <f aca="false">HOUR(A382)</f>
        <v>20</v>
      </c>
      <c r="F382" s="0" t="n">
        <f aca="false">IF(C382&gt;=6,0,1)</f>
        <v>0</v>
      </c>
      <c r="G382" s="0" t="n">
        <f aca="false">VLOOKUP(E382,Sheet1!$A$2:$B$25,2,0)</f>
        <v>0</v>
      </c>
    </row>
    <row r="383" customFormat="false" ht="15" hidden="false" customHeight="false" outlineLevel="0" collapsed="false">
      <c r="A383" s="11" t="n">
        <v>44577.875</v>
      </c>
      <c r="B383" s="0" t="n">
        <v>305.04</v>
      </c>
      <c r="C383" s="0" t="n">
        <f aca="false">WEEKDAY(A383,2)</f>
        <v>7</v>
      </c>
      <c r="D383" s="0" t="n">
        <f aca="false">DAY(A383)</f>
        <v>16</v>
      </c>
      <c r="E383" s="0" t="n">
        <f aca="false">HOUR(A383)</f>
        <v>21</v>
      </c>
      <c r="F383" s="0" t="n">
        <f aca="false">IF(C383&gt;=6,0,1)</f>
        <v>0</v>
      </c>
      <c r="G383" s="0" t="n">
        <f aca="false">VLOOKUP(E383,Sheet1!$A$2:$B$25,2,0)</f>
        <v>0</v>
      </c>
    </row>
    <row r="384" customFormat="false" ht="15" hidden="false" customHeight="false" outlineLevel="0" collapsed="false">
      <c r="A384" s="11" t="n">
        <v>44577.9166666667</v>
      </c>
      <c r="B384" s="0" t="n">
        <v>300.29</v>
      </c>
      <c r="C384" s="0" t="n">
        <f aca="false">WEEKDAY(A384,2)</f>
        <v>7</v>
      </c>
      <c r="D384" s="0" t="n">
        <f aca="false">DAY(A384)</f>
        <v>16</v>
      </c>
      <c r="E384" s="0" t="n">
        <f aca="false">HOUR(A384)</f>
        <v>22</v>
      </c>
      <c r="F384" s="0" t="n">
        <f aca="false">IF(C384&gt;=6,0,1)</f>
        <v>0</v>
      </c>
      <c r="G384" s="0" t="n">
        <f aca="false">VLOOKUP(E384,Sheet1!$A$2:$B$25,2,0)</f>
        <v>0</v>
      </c>
    </row>
    <row r="385" customFormat="false" ht="15" hidden="false" customHeight="false" outlineLevel="0" collapsed="false">
      <c r="A385" s="11" t="n">
        <v>44577.9583333333</v>
      </c>
      <c r="B385" s="0" t="n">
        <v>297.09</v>
      </c>
      <c r="C385" s="0" t="n">
        <f aca="false">WEEKDAY(A385,2)</f>
        <v>7</v>
      </c>
      <c r="D385" s="0" t="n">
        <f aca="false">DAY(A385)</f>
        <v>16</v>
      </c>
      <c r="E385" s="0" t="n">
        <f aca="false">HOUR(A385)</f>
        <v>23</v>
      </c>
      <c r="F385" s="0" t="n">
        <f aca="false">IF(C385&gt;=6,0,1)</f>
        <v>0</v>
      </c>
      <c r="G385" s="0" t="n">
        <f aca="false">VLOOKUP(E385,Sheet1!$A$2:$B$25,2,0)</f>
        <v>0</v>
      </c>
    </row>
    <row r="386" customFormat="false" ht="15" hidden="false" customHeight="false" outlineLevel="0" collapsed="false">
      <c r="A386" s="11" t="n">
        <v>44578</v>
      </c>
      <c r="B386" s="0" t="n">
        <v>297.97</v>
      </c>
      <c r="C386" s="0" t="n">
        <f aca="false">WEEKDAY(A386,2)</f>
        <v>1</v>
      </c>
      <c r="D386" s="0" t="n">
        <f aca="false">DAY(A386)</f>
        <v>17</v>
      </c>
      <c r="E386" s="0" t="n">
        <f aca="false">HOUR(A386)</f>
        <v>0</v>
      </c>
      <c r="F386" s="0" t="n">
        <f aca="false">IF(C386&gt;=6,0,1)</f>
        <v>1</v>
      </c>
      <c r="G386" s="0" t="n">
        <f aca="false">VLOOKUP(E386,Sheet1!$A$2:$B$25,2,0)</f>
        <v>0</v>
      </c>
    </row>
    <row r="387" customFormat="false" ht="15" hidden="false" customHeight="false" outlineLevel="0" collapsed="false">
      <c r="A387" s="11" t="n">
        <v>44578.0416666667</v>
      </c>
      <c r="B387" s="0" t="n">
        <v>296.53</v>
      </c>
      <c r="C387" s="0" t="n">
        <f aca="false">WEEKDAY(A387,2)</f>
        <v>1</v>
      </c>
      <c r="D387" s="0" t="n">
        <f aca="false">DAY(A387)</f>
        <v>17</v>
      </c>
      <c r="E387" s="0" t="n">
        <f aca="false">HOUR(A387)</f>
        <v>1</v>
      </c>
      <c r="F387" s="0" t="n">
        <f aca="false">IF(C387&gt;=6,0,1)</f>
        <v>1</v>
      </c>
      <c r="G387" s="0" t="n">
        <f aca="false">VLOOKUP(E387,Sheet1!$A$2:$B$25,2,0)</f>
        <v>0</v>
      </c>
    </row>
    <row r="388" customFormat="false" ht="15" hidden="false" customHeight="false" outlineLevel="0" collapsed="false">
      <c r="A388" s="11" t="n">
        <v>44578.0833333333</v>
      </c>
      <c r="B388" s="0" t="n">
        <v>300.41</v>
      </c>
      <c r="C388" s="0" t="n">
        <f aca="false">WEEKDAY(A388,2)</f>
        <v>1</v>
      </c>
      <c r="D388" s="0" t="n">
        <f aca="false">DAY(A388)</f>
        <v>17</v>
      </c>
      <c r="E388" s="0" t="n">
        <f aca="false">HOUR(A388)</f>
        <v>2</v>
      </c>
      <c r="F388" s="0" t="n">
        <f aca="false">IF(C388&gt;=6,0,1)</f>
        <v>1</v>
      </c>
      <c r="G388" s="0" t="n">
        <f aca="false">VLOOKUP(E388,Sheet1!$A$2:$B$25,2,0)</f>
        <v>0</v>
      </c>
    </row>
    <row r="389" customFormat="false" ht="15" hidden="false" customHeight="false" outlineLevel="0" collapsed="false">
      <c r="A389" s="11" t="n">
        <v>44578.125</v>
      </c>
      <c r="B389" s="0" t="n">
        <v>321.82</v>
      </c>
      <c r="C389" s="0" t="n">
        <f aca="false">WEEKDAY(A389,2)</f>
        <v>1</v>
      </c>
      <c r="D389" s="0" t="n">
        <f aca="false">DAY(A389)</f>
        <v>17</v>
      </c>
      <c r="E389" s="0" t="n">
        <f aca="false">HOUR(A389)</f>
        <v>3</v>
      </c>
      <c r="F389" s="0" t="n">
        <f aca="false">IF(C389&gt;=6,0,1)</f>
        <v>1</v>
      </c>
      <c r="G389" s="0" t="n">
        <f aca="false">VLOOKUP(E389,Sheet1!$A$2:$B$25,2,0)</f>
        <v>0</v>
      </c>
    </row>
    <row r="390" customFormat="false" ht="15" hidden="false" customHeight="false" outlineLevel="0" collapsed="false">
      <c r="A390" s="11" t="n">
        <v>44578.1666666667</v>
      </c>
      <c r="B390" s="0" t="n">
        <v>936.55</v>
      </c>
      <c r="C390" s="0" t="n">
        <f aca="false">WEEKDAY(A390,2)</f>
        <v>1</v>
      </c>
      <c r="D390" s="0" t="n">
        <f aca="false">DAY(A390)</f>
        <v>17</v>
      </c>
      <c r="E390" s="0" t="n">
        <f aca="false">HOUR(A390)</f>
        <v>4</v>
      </c>
      <c r="F390" s="0" t="n">
        <f aca="false">IF(C390&gt;=6,0,1)</f>
        <v>1</v>
      </c>
      <c r="G390" s="0" t="n">
        <f aca="false">VLOOKUP(E390,Sheet1!$A$2:$B$25,2,0)</f>
        <v>1</v>
      </c>
    </row>
    <row r="391" customFormat="false" ht="15" hidden="false" customHeight="false" outlineLevel="0" collapsed="false">
      <c r="A391" s="11" t="n">
        <v>44578.2083333333</v>
      </c>
      <c r="B391" s="0" t="n">
        <v>779.14</v>
      </c>
      <c r="C391" s="0" t="n">
        <f aca="false">WEEKDAY(A391,2)</f>
        <v>1</v>
      </c>
      <c r="D391" s="0" t="n">
        <f aca="false">DAY(A391)</f>
        <v>17</v>
      </c>
      <c r="E391" s="0" t="n">
        <f aca="false">HOUR(A391)</f>
        <v>5</v>
      </c>
      <c r="F391" s="0" t="n">
        <f aca="false">IF(C391&gt;=6,0,1)</f>
        <v>1</v>
      </c>
      <c r="G391" s="0" t="n">
        <f aca="false">VLOOKUP(E391,Sheet1!$A$2:$B$25,2,0)</f>
        <v>1</v>
      </c>
    </row>
    <row r="392" customFormat="false" ht="15" hidden="false" customHeight="false" outlineLevel="0" collapsed="false">
      <c r="A392" s="11" t="n">
        <v>44578.25</v>
      </c>
      <c r="B392" s="0" t="n">
        <v>927.02</v>
      </c>
      <c r="C392" s="0" t="n">
        <f aca="false">WEEKDAY(A392,2)</f>
        <v>1</v>
      </c>
      <c r="D392" s="0" t="n">
        <f aca="false">DAY(A392)</f>
        <v>17</v>
      </c>
      <c r="E392" s="0" t="n">
        <f aca="false">HOUR(A392)</f>
        <v>6</v>
      </c>
      <c r="F392" s="0" t="n">
        <f aca="false">IF(C392&gt;=6,0,1)</f>
        <v>1</v>
      </c>
      <c r="G392" s="0" t="n">
        <f aca="false">VLOOKUP(E392,Sheet1!$A$2:$B$25,2,0)</f>
        <v>1</v>
      </c>
    </row>
    <row r="393" customFormat="false" ht="15" hidden="false" customHeight="false" outlineLevel="0" collapsed="false">
      <c r="A393" s="11" t="n">
        <v>44578.2916666667</v>
      </c>
      <c r="B393" s="0" t="n">
        <v>956.09</v>
      </c>
      <c r="C393" s="0" t="n">
        <f aca="false">WEEKDAY(A393,2)</f>
        <v>1</v>
      </c>
      <c r="D393" s="0" t="n">
        <f aca="false">DAY(A393)</f>
        <v>17</v>
      </c>
      <c r="E393" s="0" t="n">
        <f aca="false">HOUR(A393)</f>
        <v>7</v>
      </c>
      <c r="F393" s="0" t="n">
        <f aca="false">IF(C393&gt;=6,0,1)</f>
        <v>1</v>
      </c>
      <c r="G393" s="0" t="n">
        <f aca="false">VLOOKUP(E393,Sheet1!$A$2:$B$25,2,0)</f>
        <v>1</v>
      </c>
    </row>
    <row r="394" customFormat="false" ht="15" hidden="false" customHeight="false" outlineLevel="0" collapsed="false">
      <c r="A394" s="11" t="n">
        <v>44578.3333333333</v>
      </c>
      <c r="B394" s="0" t="n">
        <v>929.2</v>
      </c>
      <c r="C394" s="0" t="n">
        <f aca="false">WEEKDAY(A394,2)</f>
        <v>1</v>
      </c>
      <c r="D394" s="0" t="n">
        <f aca="false">DAY(A394)</f>
        <v>17</v>
      </c>
      <c r="E394" s="0" t="n">
        <f aca="false">HOUR(A394)</f>
        <v>8</v>
      </c>
      <c r="F394" s="0" t="n">
        <f aca="false">IF(C394&gt;=6,0,1)</f>
        <v>1</v>
      </c>
      <c r="G394" s="0" t="n">
        <f aca="false">VLOOKUP(E394,Sheet1!$A$2:$B$25,2,0)</f>
        <v>1</v>
      </c>
    </row>
    <row r="395" customFormat="false" ht="15" hidden="false" customHeight="false" outlineLevel="0" collapsed="false">
      <c r="A395" s="11" t="n">
        <v>44578.375</v>
      </c>
      <c r="B395" s="0" t="n">
        <v>974.24</v>
      </c>
      <c r="C395" s="0" t="n">
        <f aca="false">WEEKDAY(A395,2)</f>
        <v>1</v>
      </c>
      <c r="D395" s="0" t="n">
        <f aca="false">DAY(A395)</f>
        <v>17</v>
      </c>
      <c r="E395" s="0" t="n">
        <f aca="false">HOUR(A395)</f>
        <v>9</v>
      </c>
      <c r="F395" s="0" t="n">
        <f aca="false">IF(C395&gt;=6,0,1)</f>
        <v>1</v>
      </c>
      <c r="G395" s="0" t="n">
        <f aca="false">VLOOKUP(E395,Sheet1!$A$2:$B$25,2,0)</f>
        <v>1</v>
      </c>
    </row>
    <row r="396" customFormat="false" ht="15" hidden="false" customHeight="false" outlineLevel="0" collapsed="false">
      <c r="A396" s="11" t="n">
        <v>44578.4166666667</v>
      </c>
      <c r="B396" s="0" t="n">
        <v>942.29</v>
      </c>
      <c r="C396" s="0" t="n">
        <f aca="false">WEEKDAY(A396,2)</f>
        <v>1</v>
      </c>
      <c r="D396" s="0" t="n">
        <f aca="false">DAY(A396)</f>
        <v>17</v>
      </c>
      <c r="E396" s="0" t="n">
        <f aca="false">HOUR(A396)</f>
        <v>10</v>
      </c>
      <c r="F396" s="0" t="n">
        <f aca="false">IF(C396&gt;=6,0,1)</f>
        <v>1</v>
      </c>
      <c r="G396" s="0" t="n">
        <f aca="false">VLOOKUP(E396,Sheet1!$A$2:$B$25,2,0)</f>
        <v>1</v>
      </c>
    </row>
    <row r="397" customFormat="false" ht="15" hidden="false" customHeight="false" outlineLevel="0" collapsed="false">
      <c r="A397" s="11" t="n">
        <v>44578.4583333333</v>
      </c>
      <c r="B397" s="0" t="n">
        <v>957.23</v>
      </c>
      <c r="C397" s="0" t="n">
        <f aca="false">WEEKDAY(A397,2)</f>
        <v>1</v>
      </c>
      <c r="D397" s="0" t="n">
        <f aca="false">DAY(A397)</f>
        <v>17</v>
      </c>
      <c r="E397" s="0" t="n">
        <f aca="false">HOUR(A397)</f>
        <v>11</v>
      </c>
      <c r="F397" s="0" t="n">
        <f aca="false">IF(C397&gt;=6,0,1)</f>
        <v>1</v>
      </c>
      <c r="G397" s="0" t="n">
        <f aca="false">VLOOKUP(E397,Sheet1!$A$2:$B$25,2,0)</f>
        <v>1</v>
      </c>
    </row>
    <row r="398" customFormat="false" ht="15" hidden="false" customHeight="false" outlineLevel="0" collapsed="false">
      <c r="A398" s="11" t="n">
        <v>44578.5</v>
      </c>
      <c r="B398" s="0" t="n">
        <v>960.65</v>
      </c>
      <c r="C398" s="0" t="n">
        <f aca="false">WEEKDAY(A398,2)</f>
        <v>1</v>
      </c>
      <c r="D398" s="0" t="n">
        <f aca="false">DAY(A398)</f>
        <v>17</v>
      </c>
      <c r="E398" s="0" t="n">
        <f aca="false">HOUR(A398)</f>
        <v>12</v>
      </c>
      <c r="F398" s="0" t="n">
        <f aca="false">IF(C398&gt;=6,0,1)</f>
        <v>1</v>
      </c>
      <c r="G398" s="0" t="n">
        <f aca="false">VLOOKUP(E398,Sheet1!$A$2:$B$25,2,0)</f>
        <v>1</v>
      </c>
    </row>
    <row r="399" customFormat="false" ht="15" hidden="false" customHeight="false" outlineLevel="0" collapsed="false">
      <c r="A399" s="11" t="n">
        <v>44578.5416666667</v>
      </c>
      <c r="B399" s="0" t="n">
        <v>944.14</v>
      </c>
      <c r="C399" s="0" t="n">
        <f aca="false">WEEKDAY(A399,2)</f>
        <v>1</v>
      </c>
      <c r="D399" s="0" t="n">
        <f aca="false">DAY(A399)</f>
        <v>17</v>
      </c>
      <c r="E399" s="0" t="n">
        <f aca="false">HOUR(A399)</f>
        <v>13</v>
      </c>
      <c r="F399" s="0" t="n">
        <f aca="false">IF(C399&gt;=6,0,1)</f>
        <v>1</v>
      </c>
      <c r="G399" s="0" t="n">
        <f aca="false">VLOOKUP(E399,Sheet1!$A$2:$B$25,2,0)</f>
        <v>1</v>
      </c>
    </row>
    <row r="400" customFormat="false" ht="15" hidden="false" customHeight="false" outlineLevel="0" collapsed="false">
      <c r="A400" s="11" t="n">
        <v>44578.5833333333</v>
      </c>
      <c r="B400" s="0" t="n">
        <v>674.72</v>
      </c>
      <c r="C400" s="0" t="n">
        <f aca="false">WEEKDAY(A400,2)</f>
        <v>1</v>
      </c>
      <c r="D400" s="0" t="n">
        <f aca="false">DAY(A400)</f>
        <v>17</v>
      </c>
      <c r="E400" s="0" t="n">
        <f aca="false">HOUR(A400)</f>
        <v>14</v>
      </c>
      <c r="F400" s="0" t="n">
        <f aca="false">IF(C400&gt;=6,0,1)</f>
        <v>1</v>
      </c>
      <c r="G400" s="0" t="n">
        <f aca="false">VLOOKUP(E400,Sheet1!$A$2:$B$25,2,0)</f>
        <v>1</v>
      </c>
    </row>
    <row r="401" customFormat="false" ht="15" hidden="false" customHeight="false" outlineLevel="0" collapsed="false">
      <c r="A401" s="11" t="n">
        <v>44578.625</v>
      </c>
      <c r="B401" s="0" t="n">
        <v>605.6</v>
      </c>
      <c r="C401" s="0" t="n">
        <f aca="false">WEEKDAY(A401,2)</f>
        <v>1</v>
      </c>
      <c r="D401" s="0" t="n">
        <f aca="false">DAY(A401)</f>
        <v>17</v>
      </c>
      <c r="E401" s="0" t="n">
        <f aca="false">HOUR(A401)</f>
        <v>15</v>
      </c>
      <c r="F401" s="0" t="n">
        <f aca="false">IF(C401&gt;=6,0,1)</f>
        <v>1</v>
      </c>
      <c r="G401" s="0" t="n">
        <f aca="false">VLOOKUP(E401,Sheet1!$A$2:$B$25,2,0)</f>
        <v>1</v>
      </c>
    </row>
    <row r="402" customFormat="false" ht="15" hidden="false" customHeight="false" outlineLevel="0" collapsed="false">
      <c r="A402" s="11" t="n">
        <v>44578.6666666667</v>
      </c>
      <c r="B402" s="0" t="n">
        <v>446.58</v>
      </c>
      <c r="C402" s="0" t="n">
        <f aca="false">WEEKDAY(A402,2)</f>
        <v>1</v>
      </c>
      <c r="D402" s="0" t="n">
        <f aca="false">DAY(A402)</f>
        <v>17</v>
      </c>
      <c r="E402" s="0" t="n">
        <f aca="false">HOUR(A402)</f>
        <v>16</v>
      </c>
      <c r="F402" s="0" t="n">
        <f aca="false">IF(C402&gt;=6,0,1)</f>
        <v>1</v>
      </c>
      <c r="G402" s="0" t="n">
        <f aca="false">VLOOKUP(E402,Sheet1!$A$2:$B$25,2,0)</f>
        <v>0</v>
      </c>
    </row>
    <row r="403" customFormat="false" ht="15" hidden="false" customHeight="false" outlineLevel="0" collapsed="false">
      <c r="A403" s="11" t="n">
        <v>44578.7083333333</v>
      </c>
      <c r="B403" s="0" t="n">
        <v>376.08</v>
      </c>
      <c r="C403" s="0" t="n">
        <f aca="false">WEEKDAY(A403,2)</f>
        <v>1</v>
      </c>
      <c r="D403" s="0" t="n">
        <f aca="false">DAY(A403)</f>
        <v>17</v>
      </c>
      <c r="E403" s="0" t="n">
        <f aca="false">HOUR(A403)</f>
        <v>17</v>
      </c>
      <c r="F403" s="0" t="n">
        <f aca="false">IF(C403&gt;=6,0,1)</f>
        <v>1</v>
      </c>
      <c r="G403" s="0" t="n">
        <f aca="false">VLOOKUP(E403,Sheet1!$A$2:$B$25,2,0)</f>
        <v>0</v>
      </c>
    </row>
    <row r="404" customFormat="false" ht="15" hidden="false" customHeight="false" outlineLevel="0" collapsed="false">
      <c r="A404" s="11" t="n">
        <v>44578.75</v>
      </c>
      <c r="B404" s="0" t="n">
        <v>353.62</v>
      </c>
      <c r="C404" s="0" t="n">
        <f aca="false">WEEKDAY(A404,2)</f>
        <v>1</v>
      </c>
      <c r="D404" s="0" t="n">
        <f aca="false">DAY(A404)</f>
        <v>17</v>
      </c>
      <c r="E404" s="0" t="n">
        <f aca="false">HOUR(A404)</f>
        <v>18</v>
      </c>
      <c r="F404" s="0" t="n">
        <f aca="false">IF(C404&gt;=6,0,1)</f>
        <v>1</v>
      </c>
      <c r="G404" s="0" t="n">
        <f aca="false">VLOOKUP(E404,Sheet1!$A$2:$B$25,2,0)</f>
        <v>0</v>
      </c>
    </row>
    <row r="405" customFormat="false" ht="15" hidden="false" customHeight="false" outlineLevel="0" collapsed="false">
      <c r="A405" s="11" t="n">
        <v>44578.7916666667</v>
      </c>
      <c r="B405" s="0" t="n">
        <v>330.8</v>
      </c>
      <c r="C405" s="0" t="n">
        <f aca="false">WEEKDAY(A405,2)</f>
        <v>1</v>
      </c>
      <c r="D405" s="0" t="n">
        <f aca="false">DAY(A405)</f>
        <v>17</v>
      </c>
      <c r="E405" s="0" t="n">
        <f aca="false">HOUR(A405)</f>
        <v>19</v>
      </c>
      <c r="F405" s="0" t="n">
        <f aca="false">IF(C405&gt;=6,0,1)</f>
        <v>1</v>
      </c>
      <c r="G405" s="0" t="n">
        <f aca="false">VLOOKUP(E405,Sheet1!$A$2:$B$25,2,0)</f>
        <v>0</v>
      </c>
    </row>
    <row r="406" customFormat="false" ht="15" hidden="false" customHeight="false" outlineLevel="0" collapsed="false">
      <c r="A406" s="11" t="n">
        <v>44578.8333333333</v>
      </c>
      <c r="B406" s="0" t="n">
        <v>329.11</v>
      </c>
      <c r="C406" s="0" t="n">
        <f aca="false">WEEKDAY(A406,2)</f>
        <v>1</v>
      </c>
      <c r="D406" s="0" t="n">
        <f aca="false">DAY(A406)</f>
        <v>17</v>
      </c>
      <c r="E406" s="0" t="n">
        <f aca="false">HOUR(A406)</f>
        <v>20</v>
      </c>
      <c r="F406" s="0" t="n">
        <f aca="false">IF(C406&gt;=6,0,1)</f>
        <v>1</v>
      </c>
      <c r="G406" s="0" t="n">
        <f aca="false">VLOOKUP(E406,Sheet1!$A$2:$B$25,2,0)</f>
        <v>0</v>
      </c>
    </row>
    <row r="407" customFormat="false" ht="15" hidden="false" customHeight="false" outlineLevel="0" collapsed="false">
      <c r="A407" s="11" t="n">
        <v>44578.875</v>
      </c>
      <c r="B407" s="0" t="n">
        <v>330.73</v>
      </c>
      <c r="C407" s="0" t="n">
        <f aca="false">WEEKDAY(A407,2)</f>
        <v>1</v>
      </c>
      <c r="D407" s="0" t="n">
        <f aca="false">DAY(A407)</f>
        <v>17</v>
      </c>
      <c r="E407" s="0" t="n">
        <f aca="false">HOUR(A407)</f>
        <v>21</v>
      </c>
      <c r="F407" s="0" t="n">
        <f aca="false">IF(C407&gt;=6,0,1)</f>
        <v>1</v>
      </c>
      <c r="G407" s="0" t="n">
        <f aca="false">VLOOKUP(E407,Sheet1!$A$2:$B$25,2,0)</f>
        <v>0</v>
      </c>
    </row>
    <row r="408" customFormat="false" ht="15" hidden="false" customHeight="false" outlineLevel="0" collapsed="false">
      <c r="A408" s="11" t="n">
        <v>44578.9166666667</v>
      </c>
      <c r="B408" s="0" t="n">
        <v>310.67</v>
      </c>
      <c r="C408" s="0" t="n">
        <f aca="false">WEEKDAY(A408,2)</f>
        <v>1</v>
      </c>
      <c r="D408" s="0" t="n">
        <f aca="false">DAY(A408)</f>
        <v>17</v>
      </c>
      <c r="E408" s="0" t="n">
        <f aca="false">HOUR(A408)</f>
        <v>22</v>
      </c>
      <c r="F408" s="0" t="n">
        <f aca="false">IF(C408&gt;=6,0,1)</f>
        <v>1</v>
      </c>
      <c r="G408" s="0" t="n">
        <f aca="false">VLOOKUP(E408,Sheet1!$A$2:$B$25,2,0)</f>
        <v>0</v>
      </c>
    </row>
    <row r="409" customFormat="false" ht="15" hidden="false" customHeight="false" outlineLevel="0" collapsed="false">
      <c r="A409" s="11" t="n">
        <v>44578.9583333333</v>
      </c>
      <c r="B409" s="0" t="n">
        <v>304.37</v>
      </c>
      <c r="C409" s="0" t="n">
        <f aca="false">WEEKDAY(A409,2)</f>
        <v>1</v>
      </c>
      <c r="D409" s="0" t="n">
        <f aca="false">DAY(A409)</f>
        <v>17</v>
      </c>
      <c r="E409" s="0" t="n">
        <f aca="false">HOUR(A409)</f>
        <v>23</v>
      </c>
      <c r="F409" s="0" t="n">
        <f aca="false">IF(C409&gt;=6,0,1)</f>
        <v>1</v>
      </c>
      <c r="G409" s="0" t="n">
        <f aca="false">VLOOKUP(E409,Sheet1!$A$2:$B$25,2,0)</f>
        <v>0</v>
      </c>
    </row>
    <row r="410" customFormat="false" ht="15" hidden="false" customHeight="false" outlineLevel="0" collapsed="false">
      <c r="A410" s="11" t="n">
        <v>44579</v>
      </c>
      <c r="B410" s="0" t="n">
        <v>304.88</v>
      </c>
      <c r="C410" s="0" t="n">
        <f aca="false">WEEKDAY(A410,2)</f>
        <v>2</v>
      </c>
      <c r="D410" s="0" t="n">
        <f aca="false">DAY(A410)</f>
        <v>18</v>
      </c>
      <c r="E410" s="0" t="n">
        <f aca="false">HOUR(A410)</f>
        <v>0</v>
      </c>
      <c r="F410" s="0" t="n">
        <f aca="false">IF(C410&gt;=6,0,1)</f>
        <v>1</v>
      </c>
      <c r="G410" s="0" t="n">
        <f aca="false">VLOOKUP(E410,Sheet1!$A$2:$B$25,2,0)</f>
        <v>0</v>
      </c>
    </row>
    <row r="411" customFormat="false" ht="15" hidden="false" customHeight="false" outlineLevel="0" collapsed="false">
      <c r="A411" s="11" t="n">
        <v>44579.0416666667</v>
      </c>
      <c r="B411" s="0" t="n">
        <v>310.86</v>
      </c>
      <c r="C411" s="0" t="n">
        <f aca="false">WEEKDAY(A411,2)</f>
        <v>2</v>
      </c>
      <c r="D411" s="0" t="n">
        <f aca="false">DAY(A411)</f>
        <v>18</v>
      </c>
      <c r="E411" s="0" t="n">
        <f aca="false">HOUR(A411)</f>
        <v>1</v>
      </c>
      <c r="F411" s="0" t="n">
        <f aca="false">IF(C411&gt;=6,0,1)</f>
        <v>1</v>
      </c>
      <c r="G411" s="0" t="n">
        <f aca="false">VLOOKUP(E411,Sheet1!$A$2:$B$25,2,0)</f>
        <v>0</v>
      </c>
    </row>
    <row r="412" customFormat="false" ht="15" hidden="false" customHeight="false" outlineLevel="0" collapsed="false">
      <c r="A412" s="11" t="n">
        <v>44579.0833333333</v>
      </c>
      <c r="B412" s="0" t="n">
        <v>311.06</v>
      </c>
      <c r="C412" s="0" t="n">
        <f aca="false">WEEKDAY(A412,2)</f>
        <v>2</v>
      </c>
      <c r="D412" s="0" t="n">
        <f aca="false">DAY(A412)</f>
        <v>18</v>
      </c>
      <c r="E412" s="0" t="n">
        <f aca="false">HOUR(A412)</f>
        <v>2</v>
      </c>
      <c r="F412" s="0" t="n">
        <f aca="false">IF(C412&gt;=6,0,1)</f>
        <v>1</v>
      </c>
      <c r="G412" s="0" t="n">
        <f aca="false">VLOOKUP(E412,Sheet1!$A$2:$B$25,2,0)</f>
        <v>0</v>
      </c>
    </row>
    <row r="413" customFormat="false" ht="15" hidden="false" customHeight="false" outlineLevel="0" collapsed="false">
      <c r="A413" s="11" t="n">
        <v>44579.125</v>
      </c>
      <c r="B413" s="0" t="n">
        <v>315.33</v>
      </c>
      <c r="C413" s="0" t="n">
        <f aca="false">WEEKDAY(A413,2)</f>
        <v>2</v>
      </c>
      <c r="D413" s="0" t="n">
        <f aca="false">DAY(A413)</f>
        <v>18</v>
      </c>
      <c r="E413" s="0" t="n">
        <f aca="false">HOUR(A413)</f>
        <v>3</v>
      </c>
      <c r="F413" s="0" t="n">
        <f aca="false">IF(C413&gt;=6,0,1)</f>
        <v>1</v>
      </c>
      <c r="G413" s="0" t="n">
        <f aca="false">VLOOKUP(E413,Sheet1!$A$2:$B$25,2,0)</f>
        <v>0</v>
      </c>
    </row>
    <row r="414" customFormat="false" ht="15" hidden="false" customHeight="false" outlineLevel="0" collapsed="false">
      <c r="A414" s="11" t="n">
        <v>44579.1666666667</v>
      </c>
      <c r="B414" s="0" t="n">
        <v>686.47</v>
      </c>
      <c r="C414" s="0" t="n">
        <f aca="false">WEEKDAY(A414,2)</f>
        <v>2</v>
      </c>
      <c r="D414" s="0" t="n">
        <f aca="false">DAY(A414)</f>
        <v>18</v>
      </c>
      <c r="E414" s="0" t="n">
        <f aca="false">HOUR(A414)</f>
        <v>4</v>
      </c>
      <c r="F414" s="0" t="n">
        <f aca="false">IF(C414&gt;=6,0,1)</f>
        <v>1</v>
      </c>
      <c r="G414" s="0" t="n">
        <f aca="false">VLOOKUP(E414,Sheet1!$A$2:$B$25,2,0)</f>
        <v>1</v>
      </c>
    </row>
    <row r="415" customFormat="false" ht="15" hidden="false" customHeight="false" outlineLevel="0" collapsed="false">
      <c r="A415" s="11" t="n">
        <v>44579.2083333333</v>
      </c>
      <c r="B415" s="0" t="n">
        <v>698.18</v>
      </c>
      <c r="C415" s="0" t="n">
        <f aca="false">WEEKDAY(A415,2)</f>
        <v>2</v>
      </c>
      <c r="D415" s="0" t="n">
        <f aca="false">DAY(A415)</f>
        <v>18</v>
      </c>
      <c r="E415" s="0" t="n">
        <f aca="false">HOUR(A415)</f>
        <v>5</v>
      </c>
      <c r="F415" s="0" t="n">
        <f aca="false">IF(C415&gt;=6,0,1)</f>
        <v>1</v>
      </c>
      <c r="G415" s="0" t="n">
        <f aca="false">VLOOKUP(E415,Sheet1!$A$2:$B$25,2,0)</f>
        <v>1</v>
      </c>
    </row>
    <row r="416" customFormat="false" ht="15" hidden="false" customHeight="false" outlineLevel="0" collapsed="false">
      <c r="A416" s="11" t="n">
        <v>44579.25</v>
      </c>
      <c r="B416" s="0" t="n">
        <v>853.3</v>
      </c>
      <c r="C416" s="0" t="n">
        <f aca="false">WEEKDAY(A416,2)</f>
        <v>2</v>
      </c>
      <c r="D416" s="0" t="n">
        <f aca="false">DAY(A416)</f>
        <v>18</v>
      </c>
      <c r="E416" s="0" t="n">
        <f aca="false">HOUR(A416)</f>
        <v>6</v>
      </c>
      <c r="F416" s="0" t="n">
        <f aca="false">IF(C416&gt;=6,0,1)</f>
        <v>1</v>
      </c>
      <c r="G416" s="0" t="n">
        <f aca="false">VLOOKUP(E416,Sheet1!$A$2:$B$25,2,0)</f>
        <v>1</v>
      </c>
    </row>
    <row r="417" customFormat="false" ht="15" hidden="false" customHeight="false" outlineLevel="0" collapsed="false">
      <c r="A417" s="11" t="n">
        <v>44579.2916666667</v>
      </c>
      <c r="B417" s="0" t="n">
        <v>854.84</v>
      </c>
      <c r="C417" s="0" t="n">
        <f aca="false">WEEKDAY(A417,2)</f>
        <v>2</v>
      </c>
      <c r="D417" s="0" t="n">
        <f aca="false">DAY(A417)</f>
        <v>18</v>
      </c>
      <c r="E417" s="0" t="n">
        <f aca="false">HOUR(A417)</f>
        <v>7</v>
      </c>
      <c r="F417" s="0" t="n">
        <f aca="false">IF(C417&gt;=6,0,1)</f>
        <v>1</v>
      </c>
      <c r="G417" s="0" t="n">
        <f aca="false">VLOOKUP(E417,Sheet1!$A$2:$B$25,2,0)</f>
        <v>1</v>
      </c>
    </row>
    <row r="418" customFormat="false" ht="15" hidden="false" customHeight="false" outlineLevel="0" collapsed="false">
      <c r="A418" s="11" t="n">
        <v>44579.3333333333</v>
      </c>
      <c r="B418" s="0" t="n">
        <v>852.02</v>
      </c>
      <c r="C418" s="0" t="n">
        <f aca="false">WEEKDAY(A418,2)</f>
        <v>2</v>
      </c>
      <c r="D418" s="0" t="n">
        <f aca="false">DAY(A418)</f>
        <v>18</v>
      </c>
      <c r="E418" s="0" t="n">
        <f aca="false">HOUR(A418)</f>
        <v>8</v>
      </c>
      <c r="F418" s="0" t="n">
        <f aca="false">IF(C418&gt;=6,0,1)</f>
        <v>1</v>
      </c>
      <c r="G418" s="0" t="n">
        <f aca="false">VLOOKUP(E418,Sheet1!$A$2:$B$25,2,0)</f>
        <v>1</v>
      </c>
    </row>
    <row r="419" customFormat="false" ht="15" hidden="false" customHeight="false" outlineLevel="0" collapsed="false">
      <c r="A419" s="11" t="n">
        <v>44579.375</v>
      </c>
      <c r="B419" s="0" t="n">
        <v>852</v>
      </c>
      <c r="C419" s="0" t="n">
        <f aca="false">WEEKDAY(A419,2)</f>
        <v>2</v>
      </c>
      <c r="D419" s="0" t="n">
        <f aca="false">DAY(A419)</f>
        <v>18</v>
      </c>
      <c r="E419" s="0" t="n">
        <f aca="false">HOUR(A419)</f>
        <v>9</v>
      </c>
      <c r="F419" s="0" t="n">
        <f aca="false">IF(C419&gt;=6,0,1)</f>
        <v>1</v>
      </c>
      <c r="G419" s="0" t="n">
        <f aca="false">VLOOKUP(E419,Sheet1!$A$2:$B$25,2,0)</f>
        <v>1</v>
      </c>
    </row>
    <row r="420" customFormat="false" ht="15" hidden="false" customHeight="false" outlineLevel="0" collapsed="false">
      <c r="A420" s="11" t="n">
        <v>44579.4166666667</v>
      </c>
      <c r="B420" s="0" t="n">
        <v>845.32</v>
      </c>
      <c r="C420" s="0" t="n">
        <f aca="false">WEEKDAY(A420,2)</f>
        <v>2</v>
      </c>
      <c r="D420" s="0" t="n">
        <f aca="false">DAY(A420)</f>
        <v>18</v>
      </c>
      <c r="E420" s="0" t="n">
        <f aca="false">HOUR(A420)</f>
        <v>10</v>
      </c>
      <c r="F420" s="0" t="n">
        <f aca="false">IF(C420&gt;=6,0,1)</f>
        <v>1</v>
      </c>
      <c r="G420" s="0" t="n">
        <f aca="false">VLOOKUP(E420,Sheet1!$A$2:$B$25,2,0)</f>
        <v>1</v>
      </c>
    </row>
    <row r="421" customFormat="false" ht="15" hidden="false" customHeight="false" outlineLevel="0" collapsed="false">
      <c r="A421" s="11" t="n">
        <v>44579.4583333333</v>
      </c>
      <c r="B421" s="0" t="n">
        <v>848.93</v>
      </c>
      <c r="C421" s="0" t="n">
        <f aca="false">WEEKDAY(A421,2)</f>
        <v>2</v>
      </c>
      <c r="D421" s="0" t="n">
        <f aca="false">DAY(A421)</f>
        <v>18</v>
      </c>
      <c r="E421" s="0" t="n">
        <f aca="false">HOUR(A421)</f>
        <v>11</v>
      </c>
      <c r="F421" s="0" t="n">
        <f aca="false">IF(C421&gt;=6,0,1)</f>
        <v>1</v>
      </c>
      <c r="G421" s="0" t="n">
        <f aca="false">VLOOKUP(E421,Sheet1!$A$2:$B$25,2,0)</f>
        <v>1</v>
      </c>
    </row>
    <row r="422" customFormat="false" ht="15" hidden="false" customHeight="false" outlineLevel="0" collapsed="false">
      <c r="A422" s="11" t="n">
        <v>44579.5</v>
      </c>
      <c r="B422" s="0" t="n">
        <v>843.71</v>
      </c>
      <c r="C422" s="0" t="n">
        <f aca="false">WEEKDAY(A422,2)</f>
        <v>2</v>
      </c>
      <c r="D422" s="0" t="n">
        <f aca="false">DAY(A422)</f>
        <v>18</v>
      </c>
      <c r="E422" s="0" t="n">
        <f aca="false">HOUR(A422)</f>
        <v>12</v>
      </c>
      <c r="F422" s="0" t="n">
        <f aca="false">IF(C422&gt;=6,0,1)</f>
        <v>1</v>
      </c>
      <c r="G422" s="0" t="n">
        <f aca="false">VLOOKUP(E422,Sheet1!$A$2:$B$25,2,0)</f>
        <v>1</v>
      </c>
    </row>
    <row r="423" customFormat="false" ht="15" hidden="false" customHeight="false" outlineLevel="0" collapsed="false">
      <c r="A423" s="11" t="n">
        <v>44579.5416666667</v>
      </c>
      <c r="B423" s="0" t="n">
        <v>769.12</v>
      </c>
      <c r="C423" s="0" t="n">
        <f aca="false">WEEKDAY(A423,2)</f>
        <v>2</v>
      </c>
      <c r="D423" s="0" t="n">
        <f aca="false">DAY(A423)</f>
        <v>18</v>
      </c>
      <c r="E423" s="0" t="n">
        <f aca="false">HOUR(A423)</f>
        <v>13</v>
      </c>
      <c r="F423" s="0" t="n">
        <f aca="false">IF(C423&gt;=6,0,1)</f>
        <v>1</v>
      </c>
      <c r="G423" s="0" t="n">
        <f aca="false">VLOOKUP(E423,Sheet1!$A$2:$B$25,2,0)</f>
        <v>1</v>
      </c>
    </row>
    <row r="424" customFormat="false" ht="15" hidden="false" customHeight="false" outlineLevel="0" collapsed="false">
      <c r="A424" s="11" t="n">
        <v>44579.5833333333</v>
      </c>
      <c r="B424" s="0" t="n">
        <v>480.28</v>
      </c>
      <c r="C424" s="0" t="n">
        <f aca="false">WEEKDAY(A424,2)</f>
        <v>2</v>
      </c>
      <c r="D424" s="0" t="n">
        <f aca="false">DAY(A424)</f>
        <v>18</v>
      </c>
      <c r="E424" s="0" t="n">
        <f aca="false">HOUR(A424)</f>
        <v>14</v>
      </c>
      <c r="F424" s="0" t="n">
        <f aca="false">IF(C424&gt;=6,0,1)</f>
        <v>1</v>
      </c>
      <c r="G424" s="0" t="n">
        <f aca="false">VLOOKUP(E424,Sheet1!$A$2:$B$25,2,0)</f>
        <v>1</v>
      </c>
    </row>
    <row r="425" customFormat="false" ht="15" hidden="false" customHeight="false" outlineLevel="0" collapsed="false">
      <c r="A425" s="11" t="n">
        <v>44579.625</v>
      </c>
      <c r="B425" s="0" t="n">
        <v>425.53</v>
      </c>
      <c r="C425" s="0" t="n">
        <f aca="false">WEEKDAY(A425,2)</f>
        <v>2</v>
      </c>
      <c r="D425" s="0" t="n">
        <f aca="false">DAY(A425)</f>
        <v>18</v>
      </c>
      <c r="E425" s="0" t="n">
        <f aca="false">HOUR(A425)</f>
        <v>15</v>
      </c>
      <c r="F425" s="0" t="n">
        <f aca="false">IF(C425&gt;=6,0,1)</f>
        <v>1</v>
      </c>
      <c r="G425" s="0" t="n">
        <f aca="false">VLOOKUP(E425,Sheet1!$A$2:$B$25,2,0)</f>
        <v>1</v>
      </c>
    </row>
    <row r="426" customFormat="false" ht="15" hidden="false" customHeight="false" outlineLevel="0" collapsed="false">
      <c r="A426" s="11" t="n">
        <v>44579.6666666667</v>
      </c>
      <c r="B426" s="0" t="n">
        <v>362.97</v>
      </c>
      <c r="C426" s="0" t="n">
        <f aca="false">WEEKDAY(A426,2)</f>
        <v>2</v>
      </c>
      <c r="D426" s="0" t="n">
        <f aca="false">DAY(A426)</f>
        <v>18</v>
      </c>
      <c r="E426" s="0" t="n">
        <f aca="false">HOUR(A426)</f>
        <v>16</v>
      </c>
      <c r="F426" s="0" t="n">
        <f aca="false">IF(C426&gt;=6,0,1)</f>
        <v>1</v>
      </c>
      <c r="G426" s="0" t="n">
        <f aca="false">VLOOKUP(E426,Sheet1!$A$2:$B$25,2,0)</f>
        <v>0</v>
      </c>
    </row>
    <row r="427" customFormat="false" ht="15" hidden="false" customHeight="false" outlineLevel="0" collapsed="false">
      <c r="A427" s="11" t="n">
        <v>44579.7083333333</v>
      </c>
      <c r="B427" s="0" t="n">
        <v>357.26</v>
      </c>
      <c r="C427" s="0" t="n">
        <f aca="false">WEEKDAY(A427,2)</f>
        <v>2</v>
      </c>
      <c r="D427" s="0" t="n">
        <f aca="false">DAY(A427)</f>
        <v>18</v>
      </c>
      <c r="E427" s="0" t="n">
        <f aca="false">HOUR(A427)</f>
        <v>17</v>
      </c>
      <c r="F427" s="0" t="n">
        <f aca="false">IF(C427&gt;=6,0,1)</f>
        <v>1</v>
      </c>
      <c r="G427" s="0" t="n">
        <f aca="false">VLOOKUP(E427,Sheet1!$A$2:$B$25,2,0)</f>
        <v>0</v>
      </c>
    </row>
    <row r="428" customFormat="false" ht="15" hidden="false" customHeight="false" outlineLevel="0" collapsed="false">
      <c r="A428" s="11" t="n">
        <v>44579.75</v>
      </c>
      <c r="B428" s="0" t="n">
        <v>349.22</v>
      </c>
      <c r="C428" s="0" t="n">
        <f aca="false">WEEKDAY(A428,2)</f>
        <v>2</v>
      </c>
      <c r="D428" s="0" t="n">
        <f aca="false">DAY(A428)</f>
        <v>18</v>
      </c>
      <c r="E428" s="0" t="n">
        <f aca="false">HOUR(A428)</f>
        <v>18</v>
      </c>
      <c r="F428" s="0" t="n">
        <f aca="false">IF(C428&gt;=6,0,1)</f>
        <v>1</v>
      </c>
      <c r="G428" s="0" t="n">
        <f aca="false">VLOOKUP(E428,Sheet1!$A$2:$B$25,2,0)</f>
        <v>0</v>
      </c>
    </row>
    <row r="429" customFormat="false" ht="15" hidden="false" customHeight="false" outlineLevel="0" collapsed="false">
      <c r="A429" s="11" t="n">
        <v>44579.7916666667</v>
      </c>
      <c r="B429" s="0" t="n">
        <v>342.15</v>
      </c>
      <c r="C429" s="0" t="n">
        <f aca="false">WEEKDAY(A429,2)</f>
        <v>2</v>
      </c>
      <c r="D429" s="0" t="n">
        <f aca="false">DAY(A429)</f>
        <v>18</v>
      </c>
      <c r="E429" s="0" t="n">
        <f aca="false">HOUR(A429)</f>
        <v>19</v>
      </c>
      <c r="F429" s="0" t="n">
        <f aca="false">IF(C429&gt;=6,0,1)</f>
        <v>1</v>
      </c>
      <c r="G429" s="0" t="n">
        <f aca="false">VLOOKUP(E429,Sheet1!$A$2:$B$25,2,0)</f>
        <v>0</v>
      </c>
    </row>
    <row r="430" customFormat="false" ht="15" hidden="false" customHeight="false" outlineLevel="0" collapsed="false">
      <c r="A430" s="11" t="n">
        <v>44579.8333333333</v>
      </c>
      <c r="B430" s="0" t="n">
        <v>337.79</v>
      </c>
      <c r="C430" s="0" t="n">
        <f aca="false">WEEKDAY(A430,2)</f>
        <v>2</v>
      </c>
      <c r="D430" s="0" t="n">
        <f aca="false">DAY(A430)</f>
        <v>18</v>
      </c>
      <c r="E430" s="0" t="n">
        <f aca="false">HOUR(A430)</f>
        <v>20</v>
      </c>
      <c r="F430" s="0" t="n">
        <f aca="false">IF(C430&gt;=6,0,1)</f>
        <v>1</v>
      </c>
      <c r="G430" s="0" t="n">
        <f aca="false">VLOOKUP(E430,Sheet1!$A$2:$B$25,2,0)</f>
        <v>0</v>
      </c>
    </row>
    <row r="431" customFormat="false" ht="15" hidden="false" customHeight="false" outlineLevel="0" collapsed="false">
      <c r="A431" s="11" t="n">
        <v>44579.875</v>
      </c>
      <c r="B431" s="0" t="n">
        <v>332.62</v>
      </c>
      <c r="C431" s="0" t="n">
        <f aca="false">WEEKDAY(A431,2)</f>
        <v>2</v>
      </c>
      <c r="D431" s="0" t="n">
        <f aca="false">DAY(A431)</f>
        <v>18</v>
      </c>
      <c r="E431" s="0" t="n">
        <f aca="false">HOUR(A431)</f>
        <v>21</v>
      </c>
      <c r="F431" s="0" t="n">
        <f aca="false">IF(C431&gt;=6,0,1)</f>
        <v>1</v>
      </c>
      <c r="G431" s="0" t="n">
        <f aca="false">VLOOKUP(E431,Sheet1!$A$2:$B$25,2,0)</f>
        <v>0</v>
      </c>
    </row>
    <row r="432" customFormat="false" ht="15" hidden="false" customHeight="false" outlineLevel="0" collapsed="false">
      <c r="A432" s="11" t="n">
        <v>44579.9166666667</v>
      </c>
      <c r="B432" s="0" t="n">
        <v>311.45</v>
      </c>
      <c r="C432" s="0" t="n">
        <f aca="false">WEEKDAY(A432,2)</f>
        <v>2</v>
      </c>
      <c r="D432" s="0" t="n">
        <f aca="false">DAY(A432)</f>
        <v>18</v>
      </c>
      <c r="E432" s="0" t="n">
        <f aca="false">HOUR(A432)</f>
        <v>22</v>
      </c>
      <c r="F432" s="0" t="n">
        <f aca="false">IF(C432&gt;=6,0,1)</f>
        <v>1</v>
      </c>
      <c r="G432" s="0" t="n">
        <f aca="false">VLOOKUP(E432,Sheet1!$A$2:$B$25,2,0)</f>
        <v>0</v>
      </c>
    </row>
    <row r="433" customFormat="false" ht="15" hidden="false" customHeight="false" outlineLevel="0" collapsed="false">
      <c r="A433" s="11" t="n">
        <v>44579.9583333333</v>
      </c>
      <c r="B433" s="0" t="n">
        <v>310.99</v>
      </c>
      <c r="C433" s="0" t="n">
        <f aca="false">WEEKDAY(A433,2)</f>
        <v>2</v>
      </c>
      <c r="D433" s="0" t="n">
        <f aca="false">DAY(A433)</f>
        <v>18</v>
      </c>
      <c r="E433" s="0" t="n">
        <f aca="false">HOUR(A433)</f>
        <v>23</v>
      </c>
      <c r="F433" s="0" t="n">
        <f aca="false">IF(C433&gt;=6,0,1)</f>
        <v>1</v>
      </c>
      <c r="G433" s="0" t="n">
        <f aca="false">VLOOKUP(E433,Sheet1!$A$2:$B$25,2,0)</f>
        <v>0</v>
      </c>
    </row>
    <row r="434" customFormat="false" ht="15" hidden="false" customHeight="false" outlineLevel="0" collapsed="false">
      <c r="A434" s="11" t="n">
        <v>44580</v>
      </c>
      <c r="B434" s="0" t="n">
        <v>313.25</v>
      </c>
      <c r="C434" s="0" t="n">
        <f aca="false">WEEKDAY(A434,2)</f>
        <v>3</v>
      </c>
      <c r="D434" s="0" t="n">
        <f aca="false">DAY(A434)</f>
        <v>19</v>
      </c>
      <c r="E434" s="0" t="n">
        <f aca="false">HOUR(A434)</f>
        <v>0</v>
      </c>
      <c r="F434" s="0" t="n">
        <f aca="false">IF(C434&gt;=6,0,1)</f>
        <v>1</v>
      </c>
      <c r="G434" s="0" t="n">
        <f aca="false">VLOOKUP(E434,Sheet1!$A$2:$B$25,2,0)</f>
        <v>0</v>
      </c>
    </row>
    <row r="435" customFormat="false" ht="15" hidden="false" customHeight="false" outlineLevel="0" collapsed="false">
      <c r="A435" s="11" t="n">
        <v>44580.0416666667</v>
      </c>
      <c r="B435" s="0" t="n">
        <v>308.03</v>
      </c>
      <c r="C435" s="0" t="n">
        <f aca="false">WEEKDAY(A435,2)</f>
        <v>3</v>
      </c>
      <c r="D435" s="0" t="n">
        <f aca="false">DAY(A435)</f>
        <v>19</v>
      </c>
      <c r="E435" s="0" t="n">
        <f aca="false">HOUR(A435)</f>
        <v>1</v>
      </c>
      <c r="F435" s="0" t="n">
        <f aca="false">IF(C435&gt;=6,0,1)</f>
        <v>1</v>
      </c>
      <c r="G435" s="0" t="n">
        <f aca="false">VLOOKUP(E435,Sheet1!$A$2:$B$25,2,0)</f>
        <v>0</v>
      </c>
    </row>
    <row r="436" customFormat="false" ht="15" hidden="false" customHeight="false" outlineLevel="0" collapsed="false">
      <c r="A436" s="11" t="n">
        <v>44580.0833333333</v>
      </c>
      <c r="B436" s="0" t="n">
        <v>313.23</v>
      </c>
      <c r="C436" s="0" t="n">
        <f aca="false">WEEKDAY(A436,2)</f>
        <v>3</v>
      </c>
      <c r="D436" s="0" t="n">
        <f aca="false">DAY(A436)</f>
        <v>19</v>
      </c>
      <c r="E436" s="0" t="n">
        <f aca="false">HOUR(A436)</f>
        <v>2</v>
      </c>
      <c r="F436" s="0" t="n">
        <f aca="false">IF(C436&gt;=6,0,1)</f>
        <v>1</v>
      </c>
      <c r="G436" s="0" t="n">
        <f aca="false">VLOOKUP(E436,Sheet1!$A$2:$B$25,2,0)</f>
        <v>0</v>
      </c>
    </row>
    <row r="437" customFormat="false" ht="15" hidden="false" customHeight="false" outlineLevel="0" collapsed="false">
      <c r="A437" s="11" t="n">
        <v>44580.125</v>
      </c>
      <c r="B437" s="0" t="n">
        <v>360.16</v>
      </c>
      <c r="C437" s="0" t="n">
        <f aca="false">WEEKDAY(A437,2)</f>
        <v>3</v>
      </c>
      <c r="D437" s="0" t="n">
        <f aca="false">DAY(A437)</f>
        <v>19</v>
      </c>
      <c r="E437" s="0" t="n">
        <f aca="false">HOUR(A437)</f>
        <v>3</v>
      </c>
      <c r="F437" s="0" t="n">
        <f aca="false">IF(C437&gt;=6,0,1)</f>
        <v>1</v>
      </c>
      <c r="G437" s="0" t="n">
        <f aca="false">VLOOKUP(E437,Sheet1!$A$2:$B$25,2,0)</f>
        <v>0</v>
      </c>
    </row>
    <row r="438" customFormat="false" ht="15" hidden="false" customHeight="false" outlineLevel="0" collapsed="false">
      <c r="A438" s="11" t="n">
        <v>44580.1666666667</v>
      </c>
      <c r="B438" s="0" t="n">
        <v>580.57</v>
      </c>
      <c r="C438" s="0" t="n">
        <f aca="false">WEEKDAY(A438,2)</f>
        <v>3</v>
      </c>
      <c r="D438" s="0" t="n">
        <f aca="false">DAY(A438)</f>
        <v>19</v>
      </c>
      <c r="E438" s="0" t="n">
        <f aca="false">HOUR(A438)</f>
        <v>4</v>
      </c>
      <c r="F438" s="0" t="n">
        <f aca="false">IF(C438&gt;=6,0,1)</f>
        <v>1</v>
      </c>
      <c r="G438" s="0" t="n">
        <f aca="false">VLOOKUP(E438,Sheet1!$A$2:$B$25,2,0)</f>
        <v>1</v>
      </c>
    </row>
    <row r="439" customFormat="false" ht="15" hidden="false" customHeight="false" outlineLevel="0" collapsed="false">
      <c r="A439" s="11" t="n">
        <v>44580.2083333333</v>
      </c>
      <c r="B439" s="0" t="n">
        <v>687</v>
      </c>
      <c r="C439" s="0" t="n">
        <f aca="false">WEEKDAY(A439,2)</f>
        <v>3</v>
      </c>
      <c r="D439" s="0" t="n">
        <f aca="false">DAY(A439)</f>
        <v>19</v>
      </c>
      <c r="E439" s="0" t="n">
        <f aca="false">HOUR(A439)</f>
        <v>5</v>
      </c>
      <c r="F439" s="0" t="n">
        <f aca="false">IF(C439&gt;=6,0,1)</f>
        <v>1</v>
      </c>
      <c r="G439" s="0" t="n">
        <f aca="false">VLOOKUP(E439,Sheet1!$A$2:$B$25,2,0)</f>
        <v>1</v>
      </c>
    </row>
    <row r="440" customFormat="false" ht="15" hidden="false" customHeight="false" outlineLevel="0" collapsed="false">
      <c r="A440" s="11" t="n">
        <v>44580.25</v>
      </c>
      <c r="B440" s="0" t="n">
        <v>858.05</v>
      </c>
      <c r="C440" s="0" t="n">
        <f aca="false">WEEKDAY(A440,2)</f>
        <v>3</v>
      </c>
      <c r="D440" s="0" t="n">
        <f aca="false">DAY(A440)</f>
        <v>19</v>
      </c>
      <c r="E440" s="0" t="n">
        <f aca="false">HOUR(A440)</f>
        <v>6</v>
      </c>
      <c r="F440" s="0" t="n">
        <f aca="false">IF(C440&gt;=6,0,1)</f>
        <v>1</v>
      </c>
      <c r="G440" s="0" t="n">
        <f aca="false">VLOOKUP(E440,Sheet1!$A$2:$B$25,2,0)</f>
        <v>1</v>
      </c>
    </row>
    <row r="441" customFormat="false" ht="15" hidden="false" customHeight="false" outlineLevel="0" collapsed="false">
      <c r="A441" s="11" t="n">
        <v>44580.2916666667</v>
      </c>
      <c r="B441" s="0" t="n">
        <v>848.27</v>
      </c>
      <c r="C441" s="0" t="n">
        <f aca="false">WEEKDAY(A441,2)</f>
        <v>3</v>
      </c>
      <c r="D441" s="0" t="n">
        <f aca="false">DAY(A441)</f>
        <v>19</v>
      </c>
      <c r="E441" s="0" t="n">
        <f aca="false">HOUR(A441)</f>
        <v>7</v>
      </c>
      <c r="F441" s="0" t="n">
        <f aca="false">IF(C441&gt;=6,0,1)</f>
        <v>1</v>
      </c>
      <c r="G441" s="0" t="n">
        <f aca="false">VLOOKUP(E441,Sheet1!$A$2:$B$25,2,0)</f>
        <v>1</v>
      </c>
    </row>
    <row r="442" customFormat="false" ht="15" hidden="false" customHeight="false" outlineLevel="0" collapsed="false">
      <c r="A442" s="11" t="n">
        <v>44580.3333333333</v>
      </c>
      <c r="B442" s="0" t="n">
        <v>803.78</v>
      </c>
      <c r="C442" s="0" t="n">
        <f aca="false">WEEKDAY(A442,2)</f>
        <v>3</v>
      </c>
      <c r="D442" s="0" t="n">
        <f aca="false">DAY(A442)</f>
        <v>19</v>
      </c>
      <c r="E442" s="0" t="n">
        <f aca="false">HOUR(A442)</f>
        <v>8</v>
      </c>
      <c r="F442" s="0" t="n">
        <f aca="false">IF(C442&gt;=6,0,1)</f>
        <v>1</v>
      </c>
      <c r="G442" s="0" t="n">
        <f aca="false">VLOOKUP(E442,Sheet1!$A$2:$B$25,2,0)</f>
        <v>1</v>
      </c>
    </row>
    <row r="443" customFormat="false" ht="15" hidden="false" customHeight="false" outlineLevel="0" collapsed="false">
      <c r="A443" s="11" t="n">
        <v>44580.375</v>
      </c>
      <c r="B443" s="0" t="n">
        <v>805.99</v>
      </c>
      <c r="C443" s="0" t="n">
        <f aca="false">WEEKDAY(A443,2)</f>
        <v>3</v>
      </c>
      <c r="D443" s="0" t="n">
        <f aca="false">DAY(A443)</f>
        <v>19</v>
      </c>
      <c r="E443" s="0" t="n">
        <f aca="false">HOUR(A443)</f>
        <v>9</v>
      </c>
      <c r="F443" s="0" t="n">
        <f aca="false">IF(C443&gt;=6,0,1)</f>
        <v>1</v>
      </c>
      <c r="G443" s="0" t="n">
        <f aca="false">VLOOKUP(E443,Sheet1!$A$2:$B$25,2,0)</f>
        <v>1</v>
      </c>
    </row>
    <row r="444" customFormat="false" ht="15" hidden="false" customHeight="false" outlineLevel="0" collapsed="false">
      <c r="A444" s="11" t="n">
        <v>44580.4166666667</v>
      </c>
      <c r="B444" s="0" t="n">
        <v>851.24</v>
      </c>
      <c r="C444" s="0" t="n">
        <f aca="false">WEEKDAY(A444,2)</f>
        <v>3</v>
      </c>
      <c r="D444" s="0" t="n">
        <f aca="false">DAY(A444)</f>
        <v>19</v>
      </c>
      <c r="E444" s="0" t="n">
        <f aca="false">HOUR(A444)</f>
        <v>10</v>
      </c>
      <c r="F444" s="0" t="n">
        <f aca="false">IF(C444&gt;=6,0,1)</f>
        <v>1</v>
      </c>
      <c r="G444" s="0" t="n">
        <f aca="false">VLOOKUP(E444,Sheet1!$A$2:$B$25,2,0)</f>
        <v>1</v>
      </c>
    </row>
    <row r="445" customFormat="false" ht="15" hidden="false" customHeight="false" outlineLevel="0" collapsed="false">
      <c r="A445" s="11" t="n">
        <v>44580.4583333333</v>
      </c>
      <c r="B445" s="0" t="n">
        <v>868.7</v>
      </c>
      <c r="C445" s="0" t="n">
        <f aca="false">WEEKDAY(A445,2)</f>
        <v>3</v>
      </c>
      <c r="D445" s="0" t="n">
        <f aca="false">DAY(A445)</f>
        <v>19</v>
      </c>
      <c r="E445" s="0" t="n">
        <f aca="false">HOUR(A445)</f>
        <v>11</v>
      </c>
      <c r="F445" s="0" t="n">
        <f aca="false">IF(C445&gt;=6,0,1)</f>
        <v>1</v>
      </c>
      <c r="G445" s="0" t="n">
        <f aca="false">VLOOKUP(E445,Sheet1!$A$2:$B$25,2,0)</f>
        <v>1</v>
      </c>
    </row>
    <row r="446" customFormat="false" ht="15" hidden="false" customHeight="false" outlineLevel="0" collapsed="false">
      <c r="A446" s="11" t="n">
        <v>44580.5</v>
      </c>
      <c r="B446" s="0" t="n">
        <v>815.06</v>
      </c>
      <c r="C446" s="0" t="n">
        <f aca="false">WEEKDAY(A446,2)</f>
        <v>3</v>
      </c>
      <c r="D446" s="0" t="n">
        <f aca="false">DAY(A446)</f>
        <v>19</v>
      </c>
      <c r="E446" s="0" t="n">
        <f aca="false">HOUR(A446)</f>
        <v>12</v>
      </c>
      <c r="F446" s="0" t="n">
        <f aca="false">IF(C446&gt;=6,0,1)</f>
        <v>1</v>
      </c>
      <c r="G446" s="0" t="n">
        <f aca="false">VLOOKUP(E446,Sheet1!$A$2:$B$25,2,0)</f>
        <v>1</v>
      </c>
    </row>
    <row r="447" customFormat="false" ht="15" hidden="false" customHeight="false" outlineLevel="0" collapsed="false">
      <c r="A447" s="11" t="n">
        <v>44580.5416666667</v>
      </c>
      <c r="B447" s="0" t="n">
        <v>748.68</v>
      </c>
      <c r="C447" s="0" t="n">
        <f aca="false">WEEKDAY(A447,2)</f>
        <v>3</v>
      </c>
      <c r="D447" s="0" t="n">
        <f aca="false">DAY(A447)</f>
        <v>19</v>
      </c>
      <c r="E447" s="0" t="n">
        <f aca="false">HOUR(A447)</f>
        <v>13</v>
      </c>
      <c r="F447" s="0" t="n">
        <f aca="false">IF(C447&gt;=6,0,1)</f>
        <v>1</v>
      </c>
      <c r="G447" s="0" t="n">
        <f aca="false">VLOOKUP(E447,Sheet1!$A$2:$B$25,2,0)</f>
        <v>1</v>
      </c>
    </row>
    <row r="448" customFormat="false" ht="15" hidden="false" customHeight="false" outlineLevel="0" collapsed="false">
      <c r="A448" s="11" t="n">
        <v>44580.5833333333</v>
      </c>
      <c r="B448" s="0" t="n">
        <v>420.07</v>
      </c>
      <c r="C448" s="0" t="n">
        <f aca="false">WEEKDAY(A448,2)</f>
        <v>3</v>
      </c>
      <c r="D448" s="0" t="n">
        <f aca="false">DAY(A448)</f>
        <v>19</v>
      </c>
      <c r="E448" s="0" t="n">
        <f aca="false">HOUR(A448)</f>
        <v>14</v>
      </c>
      <c r="F448" s="0" t="n">
        <f aca="false">IF(C448&gt;=6,0,1)</f>
        <v>1</v>
      </c>
      <c r="G448" s="0" t="n">
        <f aca="false">VLOOKUP(E448,Sheet1!$A$2:$B$25,2,0)</f>
        <v>1</v>
      </c>
    </row>
    <row r="449" customFormat="false" ht="15" hidden="false" customHeight="false" outlineLevel="0" collapsed="false">
      <c r="A449" s="11" t="n">
        <v>44580.625</v>
      </c>
      <c r="B449" s="0" t="n">
        <v>394.38</v>
      </c>
      <c r="C449" s="0" t="n">
        <f aca="false">WEEKDAY(A449,2)</f>
        <v>3</v>
      </c>
      <c r="D449" s="0" t="n">
        <f aca="false">DAY(A449)</f>
        <v>19</v>
      </c>
      <c r="E449" s="0" t="n">
        <f aca="false">HOUR(A449)</f>
        <v>15</v>
      </c>
      <c r="F449" s="0" t="n">
        <f aca="false">IF(C449&gt;=6,0,1)</f>
        <v>1</v>
      </c>
      <c r="G449" s="0" t="n">
        <f aca="false">VLOOKUP(E449,Sheet1!$A$2:$B$25,2,0)</f>
        <v>1</v>
      </c>
    </row>
    <row r="450" customFormat="false" ht="15" hidden="false" customHeight="false" outlineLevel="0" collapsed="false">
      <c r="A450" s="11" t="n">
        <v>44580.6666666667</v>
      </c>
      <c r="B450" s="0" t="n">
        <v>377.67</v>
      </c>
      <c r="C450" s="0" t="n">
        <f aca="false">WEEKDAY(A450,2)</f>
        <v>3</v>
      </c>
      <c r="D450" s="0" t="n">
        <f aca="false">DAY(A450)</f>
        <v>19</v>
      </c>
      <c r="E450" s="0" t="n">
        <f aca="false">HOUR(A450)</f>
        <v>16</v>
      </c>
      <c r="F450" s="0" t="n">
        <f aca="false">IF(C450&gt;=6,0,1)</f>
        <v>1</v>
      </c>
      <c r="G450" s="0" t="n">
        <f aca="false">VLOOKUP(E450,Sheet1!$A$2:$B$25,2,0)</f>
        <v>0</v>
      </c>
    </row>
    <row r="451" customFormat="false" ht="15" hidden="false" customHeight="false" outlineLevel="0" collapsed="false">
      <c r="A451" s="11" t="n">
        <v>44580.7083333333</v>
      </c>
      <c r="B451" s="0" t="n">
        <v>378.27</v>
      </c>
      <c r="C451" s="0" t="n">
        <f aca="false">WEEKDAY(A451,2)</f>
        <v>3</v>
      </c>
      <c r="D451" s="0" t="n">
        <f aca="false">DAY(A451)</f>
        <v>19</v>
      </c>
      <c r="E451" s="0" t="n">
        <f aca="false">HOUR(A451)</f>
        <v>17</v>
      </c>
      <c r="F451" s="0" t="n">
        <f aca="false">IF(C451&gt;=6,0,1)</f>
        <v>1</v>
      </c>
      <c r="G451" s="0" t="n">
        <f aca="false">VLOOKUP(E451,Sheet1!$A$2:$B$25,2,0)</f>
        <v>0</v>
      </c>
    </row>
    <row r="452" customFormat="false" ht="15" hidden="false" customHeight="false" outlineLevel="0" collapsed="false">
      <c r="A452" s="11" t="n">
        <v>44580.75</v>
      </c>
      <c r="B452" s="0" t="n">
        <v>372.29</v>
      </c>
      <c r="C452" s="0" t="n">
        <f aca="false">WEEKDAY(A452,2)</f>
        <v>3</v>
      </c>
      <c r="D452" s="0" t="n">
        <f aca="false">DAY(A452)</f>
        <v>19</v>
      </c>
      <c r="E452" s="0" t="n">
        <f aca="false">HOUR(A452)</f>
        <v>18</v>
      </c>
      <c r="F452" s="0" t="n">
        <f aca="false">IF(C452&gt;=6,0,1)</f>
        <v>1</v>
      </c>
      <c r="G452" s="0" t="n">
        <f aca="false">VLOOKUP(E452,Sheet1!$A$2:$B$25,2,0)</f>
        <v>0</v>
      </c>
    </row>
    <row r="453" customFormat="false" ht="15" hidden="false" customHeight="false" outlineLevel="0" collapsed="false">
      <c r="A453" s="11" t="n">
        <v>44580.7916666667</v>
      </c>
      <c r="B453" s="0" t="n">
        <v>351.53</v>
      </c>
      <c r="C453" s="0" t="n">
        <f aca="false">WEEKDAY(A453,2)</f>
        <v>3</v>
      </c>
      <c r="D453" s="0" t="n">
        <f aca="false">DAY(A453)</f>
        <v>19</v>
      </c>
      <c r="E453" s="0" t="n">
        <f aca="false">HOUR(A453)</f>
        <v>19</v>
      </c>
      <c r="F453" s="0" t="n">
        <f aca="false">IF(C453&gt;=6,0,1)</f>
        <v>1</v>
      </c>
      <c r="G453" s="0" t="n">
        <f aca="false">VLOOKUP(E453,Sheet1!$A$2:$B$25,2,0)</f>
        <v>0</v>
      </c>
    </row>
    <row r="454" customFormat="false" ht="15" hidden="false" customHeight="false" outlineLevel="0" collapsed="false">
      <c r="A454" s="11" t="n">
        <v>44580.8333333333</v>
      </c>
      <c r="B454" s="0" t="n">
        <v>342.67</v>
      </c>
      <c r="C454" s="0" t="n">
        <f aca="false">WEEKDAY(A454,2)</f>
        <v>3</v>
      </c>
      <c r="D454" s="0" t="n">
        <f aca="false">DAY(A454)</f>
        <v>19</v>
      </c>
      <c r="E454" s="0" t="n">
        <f aca="false">HOUR(A454)</f>
        <v>20</v>
      </c>
      <c r="F454" s="0" t="n">
        <f aca="false">IF(C454&gt;=6,0,1)</f>
        <v>1</v>
      </c>
      <c r="G454" s="0" t="n">
        <f aca="false">VLOOKUP(E454,Sheet1!$A$2:$B$25,2,0)</f>
        <v>0</v>
      </c>
    </row>
    <row r="455" customFormat="false" ht="15" hidden="false" customHeight="false" outlineLevel="0" collapsed="false">
      <c r="A455" s="11" t="n">
        <v>44580.875</v>
      </c>
      <c r="B455" s="0" t="n">
        <v>328.66</v>
      </c>
      <c r="C455" s="0" t="n">
        <f aca="false">WEEKDAY(A455,2)</f>
        <v>3</v>
      </c>
      <c r="D455" s="0" t="n">
        <f aca="false">DAY(A455)</f>
        <v>19</v>
      </c>
      <c r="E455" s="0" t="n">
        <f aca="false">HOUR(A455)</f>
        <v>21</v>
      </c>
      <c r="F455" s="0" t="n">
        <f aca="false">IF(C455&gt;=6,0,1)</f>
        <v>1</v>
      </c>
      <c r="G455" s="0" t="n">
        <f aca="false">VLOOKUP(E455,Sheet1!$A$2:$B$25,2,0)</f>
        <v>0</v>
      </c>
    </row>
    <row r="456" customFormat="false" ht="15" hidden="false" customHeight="false" outlineLevel="0" collapsed="false">
      <c r="A456" s="11" t="n">
        <v>44580.9166666667</v>
      </c>
      <c r="B456" s="0" t="n">
        <v>328.71</v>
      </c>
      <c r="C456" s="0" t="n">
        <f aca="false">WEEKDAY(A456,2)</f>
        <v>3</v>
      </c>
      <c r="D456" s="0" t="n">
        <f aca="false">DAY(A456)</f>
        <v>19</v>
      </c>
      <c r="E456" s="0" t="n">
        <f aca="false">HOUR(A456)</f>
        <v>22</v>
      </c>
      <c r="F456" s="0" t="n">
        <f aca="false">IF(C456&gt;=6,0,1)</f>
        <v>1</v>
      </c>
      <c r="G456" s="0" t="n">
        <f aca="false">VLOOKUP(E456,Sheet1!$A$2:$B$25,2,0)</f>
        <v>0</v>
      </c>
    </row>
    <row r="457" customFormat="false" ht="15" hidden="false" customHeight="false" outlineLevel="0" collapsed="false">
      <c r="A457" s="11" t="n">
        <v>44580.9583333333</v>
      </c>
      <c r="B457" s="0" t="n">
        <v>328.55</v>
      </c>
      <c r="C457" s="0" t="n">
        <f aca="false">WEEKDAY(A457,2)</f>
        <v>3</v>
      </c>
      <c r="D457" s="0" t="n">
        <f aca="false">DAY(A457)</f>
        <v>19</v>
      </c>
      <c r="E457" s="0" t="n">
        <f aca="false">HOUR(A457)</f>
        <v>23</v>
      </c>
      <c r="F457" s="0" t="n">
        <f aca="false">IF(C457&gt;=6,0,1)</f>
        <v>1</v>
      </c>
      <c r="G457" s="0" t="n">
        <f aca="false">VLOOKUP(E457,Sheet1!$A$2:$B$25,2,0)</f>
        <v>0</v>
      </c>
    </row>
    <row r="458" customFormat="false" ht="15" hidden="false" customHeight="false" outlineLevel="0" collapsed="false">
      <c r="A458" s="11" t="n">
        <v>44581</v>
      </c>
      <c r="B458" s="0" t="n">
        <v>328.27</v>
      </c>
      <c r="C458" s="0" t="n">
        <f aca="false">WEEKDAY(A458,2)</f>
        <v>4</v>
      </c>
      <c r="D458" s="0" t="n">
        <f aca="false">DAY(A458)</f>
        <v>20</v>
      </c>
      <c r="E458" s="0" t="n">
        <f aca="false">HOUR(A458)</f>
        <v>0</v>
      </c>
      <c r="F458" s="0" t="n">
        <f aca="false">IF(C458&gt;=6,0,1)</f>
        <v>1</v>
      </c>
      <c r="G458" s="0" t="n">
        <f aca="false">VLOOKUP(E458,Sheet1!$A$2:$B$25,2,0)</f>
        <v>0</v>
      </c>
    </row>
    <row r="459" customFormat="false" ht="15" hidden="false" customHeight="false" outlineLevel="0" collapsed="false">
      <c r="A459" s="11" t="n">
        <v>44581.0416666667</v>
      </c>
      <c r="B459" s="0" t="n">
        <v>330.1</v>
      </c>
      <c r="C459" s="0" t="n">
        <f aca="false">WEEKDAY(A459,2)</f>
        <v>4</v>
      </c>
      <c r="D459" s="0" t="n">
        <f aca="false">DAY(A459)</f>
        <v>20</v>
      </c>
      <c r="E459" s="0" t="n">
        <f aca="false">HOUR(A459)</f>
        <v>1</v>
      </c>
      <c r="F459" s="0" t="n">
        <f aca="false">IF(C459&gt;=6,0,1)</f>
        <v>1</v>
      </c>
      <c r="G459" s="0" t="n">
        <f aca="false">VLOOKUP(E459,Sheet1!$A$2:$B$25,2,0)</f>
        <v>0</v>
      </c>
    </row>
    <row r="460" customFormat="false" ht="15" hidden="false" customHeight="false" outlineLevel="0" collapsed="false">
      <c r="A460" s="11" t="n">
        <v>44581.0833333333</v>
      </c>
      <c r="B460" s="0" t="n">
        <v>345.72</v>
      </c>
      <c r="C460" s="0" t="n">
        <f aca="false">WEEKDAY(A460,2)</f>
        <v>4</v>
      </c>
      <c r="D460" s="0" t="n">
        <f aca="false">DAY(A460)</f>
        <v>20</v>
      </c>
      <c r="E460" s="0" t="n">
        <f aca="false">HOUR(A460)</f>
        <v>2</v>
      </c>
      <c r="F460" s="0" t="n">
        <f aca="false">IF(C460&gt;=6,0,1)</f>
        <v>1</v>
      </c>
      <c r="G460" s="0" t="n">
        <f aca="false">VLOOKUP(E460,Sheet1!$A$2:$B$25,2,0)</f>
        <v>0</v>
      </c>
    </row>
    <row r="461" customFormat="false" ht="15" hidden="false" customHeight="false" outlineLevel="0" collapsed="false">
      <c r="A461" s="11" t="n">
        <v>44581.125</v>
      </c>
      <c r="B461" s="0" t="n">
        <v>449.56</v>
      </c>
      <c r="C461" s="0" t="n">
        <f aca="false">WEEKDAY(A461,2)</f>
        <v>4</v>
      </c>
      <c r="D461" s="0" t="n">
        <f aca="false">DAY(A461)</f>
        <v>20</v>
      </c>
      <c r="E461" s="0" t="n">
        <f aca="false">HOUR(A461)</f>
        <v>3</v>
      </c>
      <c r="F461" s="0" t="n">
        <f aca="false">IF(C461&gt;=6,0,1)</f>
        <v>1</v>
      </c>
      <c r="G461" s="0" t="n">
        <f aca="false">VLOOKUP(E461,Sheet1!$A$2:$B$25,2,0)</f>
        <v>0</v>
      </c>
    </row>
    <row r="462" customFormat="false" ht="15" hidden="false" customHeight="false" outlineLevel="0" collapsed="false">
      <c r="A462" s="11" t="n">
        <v>44581.1666666667</v>
      </c>
      <c r="B462" s="0" t="n">
        <v>724.86</v>
      </c>
      <c r="C462" s="0" t="n">
        <f aca="false">WEEKDAY(A462,2)</f>
        <v>4</v>
      </c>
      <c r="D462" s="0" t="n">
        <f aca="false">DAY(A462)</f>
        <v>20</v>
      </c>
      <c r="E462" s="0" t="n">
        <f aca="false">HOUR(A462)</f>
        <v>4</v>
      </c>
      <c r="F462" s="0" t="n">
        <f aca="false">IF(C462&gt;=6,0,1)</f>
        <v>1</v>
      </c>
      <c r="G462" s="0" t="n">
        <f aca="false">VLOOKUP(E462,Sheet1!$A$2:$B$25,2,0)</f>
        <v>1</v>
      </c>
    </row>
    <row r="463" customFormat="false" ht="15" hidden="false" customHeight="false" outlineLevel="0" collapsed="false">
      <c r="A463" s="11" t="n">
        <v>44581.2083333333</v>
      </c>
      <c r="B463" s="0" t="n">
        <v>694.14</v>
      </c>
      <c r="C463" s="0" t="n">
        <f aca="false">WEEKDAY(A463,2)</f>
        <v>4</v>
      </c>
      <c r="D463" s="0" t="n">
        <f aca="false">DAY(A463)</f>
        <v>20</v>
      </c>
      <c r="E463" s="0" t="n">
        <f aca="false">HOUR(A463)</f>
        <v>5</v>
      </c>
      <c r="F463" s="0" t="n">
        <f aca="false">IF(C463&gt;=6,0,1)</f>
        <v>1</v>
      </c>
      <c r="G463" s="0" t="n">
        <f aca="false">VLOOKUP(E463,Sheet1!$A$2:$B$25,2,0)</f>
        <v>1</v>
      </c>
    </row>
    <row r="464" customFormat="false" ht="15" hidden="false" customHeight="false" outlineLevel="0" collapsed="false">
      <c r="A464" s="11" t="n">
        <v>44581.25</v>
      </c>
      <c r="B464" s="0" t="n">
        <v>851.16</v>
      </c>
      <c r="C464" s="0" t="n">
        <f aca="false">WEEKDAY(A464,2)</f>
        <v>4</v>
      </c>
      <c r="D464" s="0" t="n">
        <f aca="false">DAY(A464)</f>
        <v>20</v>
      </c>
      <c r="E464" s="0" t="n">
        <f aca="false">HOUR(A464)</f>
        <v>6</v>
      </c>
      <c r="F464" s="0" t="n">
        <f aca="false">IF(C464&gt;=6,0,1)</f>
        <v>1</v>
      </c>
      <c r="G464" s="0" t="n">
        <f aca="false">VLOOKUP(E464,Sheet1!$A$2:$B$25,2,0)</f>
        <v>1</v>
      </c>
    </row>
    <row r="465" customFormat="false" ht="15" hidden="false" customHeight="false" outlineLevel="0" collapsed="false">
      <c r="A465" s="11" t="n">
        <v>44581.2916666667</v>
      </c>
      <c r="B465" s="0" t="n">
        <v>920.16</v>
      </c>
      <c r="C465" s="0" t="n">
        <f aca="false">WEEKDAY(A465,2)</f>
        <v>4</v>
      </c>
      <c r="D465" s="0" t="n">
        <f aca="false">DAY(A465)</f>
        <v>20</v>
      </c>
      <c r="E465" s="0" t="n">
        <f aca="false">HOUR(A465)</f>
        <v>7</v>
      </c>
      <c r="F465" s="0" t="n">
        <f aca="false">IF(C465&gt;=6,0,1)</f>
        <v>1</v>
      </c>
      <c r="G465" s="0" t="n">
        <f aca="false">VLOOKUP(E465,Sheet1!$A$2:$B$25,2,0)</f>
        <v>1</v>
      </c>
    </row>
    <row r="466" customFormat="false" ht="15" hidden="false" customHeight="false" outlineLevel="0" collapsed="false">
      <c r="A466" s="11" t="n">
        <v>44581.3333333333</v>
      </c>
      <c r="B466" s="0" t="n">
        <v>961.38</v>
      </c>
      <c r="C466" s="0" t="n">
        <f aca="false">WEEKDAY(A466,2)</f>
        <v>4</v>
      </c>
      <c r="D466" s="0" t="n">
        <f aca="false">DAY(A466)</f>
        <v>20</v>
      </c>
      <c r="E466" s="0" t="n">
        <f aca="false">HOUR(A466)</f>
        <v>8</v>
      </c>
      <c r="F466" s="0" t="n">
        <f aca="false">IF(C466&gt;=6,0,1)</f>
        <v>1</v>
      </c>
      <c r="G466" s="0" t="n">
        <f aca="false">VLOOKUP(E466,Sheet1!$A$2:$B$25,2,0)</f>
        <v>1</v>
      </c>
    </row>
    <row r="467" customFormat="false" ht="15" hidden="false" customHeight="false" outlineLevel="0" collapsed="false">
      <c r="A467" s="11" t="n">
        <v>44581.375</v>
      </c>
      <c r="B467" s="0" t="n">
        <v>952.57</v>
      </c>
      <c r="C467" s="0" t="n">
        <f aca="false">WEEKDAY(A467,2)</f>
        <v>4</v>
      </c>
      <c r="D467" s="0" t="n">
        <f aca="false">DAY(A467)</f>
        <v>20</v>
      </c>
      <c r="E467" s="0" t="n">
        <f aca="false">HOUR(A467)</f>
        <v>9</v>
      </c>
      <c r="F467" s="0" t="n">
        <f aca="false">IF(C467&gt;=6,0,1)</f>
        <v>1</v>
      </c>
      <c r="G467" s="0" t="n">
        <f aca="false">VLOOKUP(E467,Sheet1!$A$2:$B$25,2,0)</f>
        <v>1</v>
      </c>
    </row>
    <row r="468" customFormat="false" ht="15" hidden="false" customHeight="false" outlineLevel="0" collapsed="false">
      <c r="A468" s="11" t="n">
        <v>44581.4166666667</v>
      </c>
      <c r="B468" s="0" t="n">
        <v>943.48</v>
      </c>
      <c r="C468" s="0" t="n">
        <f aca="false">WEEKDAY(A468,2)</f>
        <v>4</v>
      </c>
      <c r="D468" s="0" t="n">
        <f aca="false">DAY(A468)</f>
        <v>20</v>
      </c>
      <c r="E468" s="0" t="n">
        <f aca="false">HOUR(A468)</f>
        <v>10</v>
      </c>
      <c r="F468" s="0" t="n">
        <f aca="false">IF(C468&gt;=6,0,1)</f>
        <v>1</v>
      </c>
      <c r="G468" s="0" t="n">
        <f aca="false">VLOOKUP(E468,Sheet1!$A$2:$B$25,2,0)</f>
        <v>1</v>
      </c>
    </row>
    <row r="469" customFormat="false" ht="15" hidden="false" customHeight="false" outlineLevel="0" collapsed="false">
      <c r="A469" s="11" t="n">
        <v>44581.4583333333</v>
      </c>
      <c r="B469" s="0" t="n">
        <v>870.3</v>
      </c>
      <c r="C469" s="0" t="n">
        <f aca="false">WEEKDAY(A469,2)</f>
        <v>4</v>
      </c>
      <c r="D469" s="0" t="n">
        <f aca="false">DAY(A469)</f>
        <v>20</v>
      </c>
      <c r="E469" s="0" t="n">
        <f aca="false">HOUR(A469)</f>
        <v>11</v>
      </c>
      <c r="F469" s="0" t="n">
        <f aca="false">IF(C469&gt;=6,0,1)</f>
        <v>1</v>
      </c>
      <c r="G469" s="0" t="n">
        <f aca="false">VLOOKUP(E469,Sheet1!$A$2:$B$25,2,0)</f>
        <v>1</v>
      </c>
    </row>
    <row r="470" customFormat="false" ht="15" hidden="false" customHeight="false" outlineLevel="0" collapsed="false">
      <c r="A470" s="11" t="n">
        <v>44581.5</v>
      </c>
      <c r="B470" s="0" t="n">
        <v>851.93</v>
      </c>
      <c r="C470" s="0" t="n">
        <f aca="false">WEEKDAY(A470,2)</f>
        <v>4</v>
      </c>
      <c r="D470" s="0" t="n">
        <f aca="false">DAY(A470)</f>
        <v>20</v>
      </c>
      <c r="E470" s="0" t="n">
        <f aca="false">HOUR(A470)</f>
        <v>12</v>
      </c>
      <c r="F470" s="0" t="n">
        <f aca="false">IF(C470&gt;=6,0,1)</f>
        <v>1</v>
      </c>
      <c r="G470" s="0" t="n">
        <f aca="false">VLOOKUP(E470,Sheet1!$A$2:$B$25,2,0)</f>
        <v>1</v>
      </c>
    </row>
    <row r="471" customFormat="false" ht="15" hidden="false" customHeight="false" outlineLevel="0" collapsed="false">
      <c r="A471" s="11" t="n">
        <v>44581.5416666667</v>
      </c>
      <c r="B471" s="0" t="n">
        <v>751.99</v>
      </c>
      <c r="C471" s="0" t="n">
        <f aca="false">WEEKDAY(A471,2)</f>
        <v>4</v>
      </c>
      <c r="D471" s="0" t="n">
        <f aca="false">DAY(A471)</f>
        <v>20</v>
      </c>
      <c r="E471" s="0" t="n">
        <f aca="false">HOUR(A471)</f>
        <v>13</v>
      </c>
      <c r="F471" s="0" t="n">
        <f aca="false">IF(C471&gt;=6,0,1)</f>
        <v>1</v>
      </c>
      <c r="G471" s="0" t="n">
        <f aca="false">VLOOKUP(E471,Sheet1!$A$2:$B$25,2,0)</f>
        <v>1</v>
      </c>
    </row>
    <row r="472" customFormat="false" ht="15" hidden="false" customHeight="false" outlineLevel="0" collapsed="false">
      <c r="A472" s="11" t="n">
        <v>44581.5833333333</v>
      </c>
      <c r="B472" s="0" t="n">
        <v>422.9</v>
      </c>
      <c r="C472" s="0" t="n">
        <f aca="false">WEEKDAY(A472,2)</f>
        <v>4</v>
      </c>
      <c r="D472" s="0" t="n">
        <f aca="false">DAY(A472)</f>
        <v>20</v>
      </c>
      <c r="E472" s="0" t="n">
        <f aca="false">HOUR(A472)</f>
        <v>14</v>
      </c>
      <c r="F472" s="0" t="n">
        <f aca="false">IF(C472&gt;=6,0,1)</f>
        <v>1</v>
      </c>
      <c r="G472" s="0" t="n">
        <f aca="false">VLOOKUP(E472,Sheet1!$A$2:$B$25,2,0)</f>
        <v>1</v>
      </c>
    </row>
    <row r="473" customFormat="false" ht="15" hidden="false" customHeight="false" outlineLevel="0" collapsed="false">
      <c r="A473" s="11" t="n">
        <v>44581.625</v>
      </c>
      <c r="B473" s="0" t="n">
        <v>393.67</v>
      </c>
      <c r="C473" s="0" t="n">
        <f aca="false">WEEKDAY(A473,2)</f>
        <v>4</v>
      </c>
      <c r="D473" s="0" t="n">
        <f aca="false">DAY(A473)</f>
        <v>20</v>
      </c>
      <c r="E473" s="0" t="n">
        <f aca="false">HOUR(A473)</f>
        <v>15</v>
      </c>
      <c r="F473" s="0" t="n">
        <f aca="false">IF(C473&gt;=6,0,1)</f>
        <v>1</v>
      </c>
      <c r="G473" s="0" t="n">
        <f aca="false">VLOOKUP(E473,Sheet1!$A$2:$B$25,2,0)</f>
        <v>1</v>
      </c>
    </row>
    <row r="474" customFormat="false" ht="15" hidden="false" customHeight="false" outlineLevel="0" collapsed="false">
      <c r="A474" s="11" t="n">
        <v>44581.6666666667</v>
      </c>
      <c r="B474" s="0" t="n">
        <v>374.49</v>
      </c>
      <c r="C474" s="0" t="n">
        <f aca="false">WEEKDAY(A474,2)</f>
        <v>4</v>
      </c>
      <c r="D474" s="0" t="n">
        <f aca="false">DAY(A474)</f>
        <v>20</v>
      </c>
      <c r="E474" s="0" t="n">
        <f aca="false">HOUR(A474)</f>
        <v>16</v>
      </c>
      <c r="F474" s="0" t="n">
        <f aca="false">IF(C474&gt;=6,0,1)</f>
        <v>1</v>
      </c>
      <c r="G474" s="0" t="n">
        <f aca="false">VLOOKUP(E474,Sheet1!$A$2:$B$25,2,0)</f>
        <v>0</v>
      </c>
    </row>
    <row r="475" customFormat="false" ht="15" hidden="false" customHeight="false" outlineLevel="0" collapsed="false">
      <c r="A475" s="11" t="n">
        <v>44581.7083333333</v>
      </c>
      <c r="B475" s="0" t="n">
        <v>380.7</v>
      </c>
      <c r="C475" s="0" t="n">
        <f aca="false">WEEKDAY(A475,2)</f>
        <v>4</v>
      </c>
      <c r="D475" s="0" t="n">
        <f aca="false">DAY(A475)</f>
        <v>20</v>
      </c>
      <c r="E475" s="0" t="n">
        <f aca="false">HOUR(A475)</f>
        <v>17</v>
      </c>
      <c r="F475" s="0" t="n">
        <f aca="false">IF(C475&gt;=6,0,1)</f>
        <v>1</v>
      </c>
      <c r="G475" s="0" t="n">
        <f aca="false">VLOOKUP(E475,Sheet1!$A$2:$B$25,2,0)</f>
        <v>0</v>
      </c>
    </row>
    <row r="476" customFormat="false" ht="15" hidden="false" customHeight="false" outlineLevel="0" collapsed="false">
      <c r="A476" s="11" t="n">
        <v>44581.75</v>
      </c>
      <c r="B476" s="0" t="n">
        <v>375.05</v>
      </c>
      <c r="C476" s="0" t="n">
        <f aca="false">WEEKDAY(A476,2)</f>
        <v>4</v>
      </c>
      <c r="D476" s="0" t="n">
        <f aca="false">DAY(A476)</f>
        <v>20</v>
      </c>
      <c r="E476" s="0" t="n">
        <f aca="false">HOUR(A476)</f>
        <v>18</v>
      </c>
      <c r="F476" s="0" t="n">
        <f aca="false">IF(C476&gt;=6,0,1)</f>
        <v>1</v>
      </c>
      <c r="G476" s="0" t="n">
        <f aca="false">VLOOKUP(E476,Sheet1!$A$2:$B$25,2,0)</f>
        <v>0</v>
      </c>
    </row>
    <row r="477" customFormat="false" ht="15" hidden="false" customHeight="false" outlineLevel="0" collapsed="false">
      <c r="A477" s="11" t="n">
        <v>44581.7916666667</v>
      </c>
      <c r="B477" s="0" t="n">
        <v>370.71</v>
      </c>
      <c r="C477" s="0" t="n">
        <f aca="false">WEEKDAY(A477,2)</f>
        <v>4</v>
      </c>
      <c r="D477" s="0" t="n">
        <f aca="false">DAY(A477)</f>
        <v>20</v>
      </c>
      <c r="E477" s="0" t="n">
        <f aca="false">HOUR(A477)</f>
        <v>19</v>
      </c>
      <c r="F477" s="0" t="n">
        <f aca="false">IF(C477&gt;=6,0,1)</f>
        <v>1</v>
      </c>
      <c r="G477" s="0" t="n">
        <f aca="false">VLOOKUP(E477,Sheet1!$A$2:$B$25,2,0)</f>
        <v>0</v>
      </c>
    </row>
    <row r="478" customFormat="false" ht="15" hidden="false" customHeight="false" outlineLevel="0" collapsed="false">
      <c r="A478" s="11" t="n">
        <v>44581.8333333333</v>
      </c>
      <c r="B478" s="0" t="n">
        <v>356.32</v>
      </c>
      <c r="C478" s="0" t="n">
        <f aca="false">WEEKDAY(A478,2)</f>
        <v>4</v>
      </c>
      <c r="D478" s="0" t="n">
        <f aca="false">DAY(A478)</f>
        <v>20</v>
      </c>
      <c r="E478" s="0" t="n">
        <f aca="false">HOUR(A478)</f>
        <v>20</v>
      </c>
      <c r="F478" s="0" t="n">
        <f aca="false">IF(C478&gt;=6,0,1)</f>
        <v>1</v>
      </c>
      <c r="G478" s="0" t="n">
        <f aca="false">VLOOKUP(E478,Sheet1!$A$2:$B$25,2,0)</f>
        <v>0</v>
      </c>
    </row>
    <row r="479" customFormat="false" ht="15" hidden="false" customHeight="false" outlineLevel="0" collapsed="false">
      <c r="A479" s="11" t="n">
        <v>44581.875</v>
      </c>
      <c r="B479" s="0" t="n">
        <v>353.19</v>
      </c>
      <c r="C479" s="0" t="n">
        <f aca="false">WEEKDAY(A479,2)</f>
        <v>4</v>
      </c>
      <c r="D479" s="0" t="n">
        <f aca="false">DAY(A479)</f>
        <v>20</v>
      </c>
      <c r="E479" s="0" t="n">
        <f aca="false">HOUR(A479)</f>
        <v>21</v>
      </c>
      <c r="F479" s="0" t="n">
        <f aca="false">IF(C479&gt;=6,0,1)</f>
        <v>1</v>
      </c>
      <c r="G479" s="0" t="n">
        <f aca="false">VLOOKUP(E479,Sheet1!$A$2:$B$25,2,0)</f>
        <v>0</v>
      </c>
    </row>
    <row r="480" customFormat="false" ht="15" hidden="false" customHeight="false" outlineLevel="0" collapsed="false">
      <c r="A480" s="11" t="n">
        <v>44581.9166666667</v>
      </c>
      <c r="B480" s="0" t="n">
        <v>346.48</v>
      </c>
      <c r="C480" s="0" t="n">
        <f aca="false">WEEKDAY(A480,2)</f>
        <v>4</v>
      </c>
      <c r="D480" s="0" t="n">
        <f aca="false">DAY(A480)</f>
        <v>20</v>
      </c>
      <c r="E480" s="0" t="n">
        <f aca="false">HOUR(A480)</f>
        <v>22</v>
      </c>
      <c r="F480" s="0" t="n">
        <f aca="false">IF(C480&gt;=6,0,1)</f>
        <v>1</v>
      </c>
      <c r="G480" s="0" t="n">
        <f aca="false">VLOOKUP(E480,Sheet1!$A$2:$B$25,2,0)</f>
        <v>0</v>
      </c>
    </row>
    <row r="481" customFormat="false" ht="15" hidden="false" customHeight="false" outlineLevel="0" collapsed="false">
      <c r="A481" s="11" t="n">
        <v>44581.9583333333</v>
      </c>
      <c r="B481" s="0" t="n">
        <v>345.36</v>
      </c>
      <c r="C481" s="0" t="n">
        <f aca="false">WEEKDAY(A481,2)</f>
        <v>4</v>
      </c>
      <c r="D481" s="0" t="n">
        <f aca="false">DAY(A481)</f>
        <v>20</v>
      </c>
      <c r="E481" s="0" t="n">
        <f aca="false">HOUR(A481)</f>
        <v>23</v>
      </c>
      <c r="F481" s="0" t="n">
        <f aca="false">IF(C481&gt;=6,0,1)</f>
        <v>1</v>
      </c>
      <c r="G481" s="0" t="n">
        <f aca="false">VLOOKUP(E481,Sheet1!$A$2:$B$25,2,0)</f>
        <v>0</v>
      </c>
    </row>
    <row r="482" customFormat="false" ht="15" hidden="false" customHeight="false" outlineLevel="0" collapsed="false">
      <c r="A482" s="11" t="n">
        <v>44582</v>
      </c>
      <c r="B482" s="0" t="n">
        <v>347.64</v>
      </c>
      <c r="C482" s="0" t="n">
        <f aca="false">WEEKDAY(A482,2)</f>
        <v>5</v>
      </c>
      <c r="D482" s="0" t="n">
        <f aca="false">DAY(A482)</f>
        <v>21</v>
      </c>
      <c r="E482" s="0" t="n">
        <f aca="false">HOUR(A482)</f>
        <v>0</v>
      </c>
      <c r="F482" s="0" t="n">
        <f aca="false">IF(C482&gt;=6,0,1)</f>
        <v>1</v>
      </c>
      <c r="G482" s="0" t="n">
        <f aca="false">VLOOKUP(E482,Sheet1!$A$2:$B$25,2,0)</f>
        <v>0</v>
      </c>
    </row>
    <row r="483" customFormat="false" ht="15" hidden="false" customHeight="false" outlineLevel="0" collapsed="false">
      <c r="A483" s="11" t="n">
        <v>44582.0416666667</v>
      </c>
      <c r="B483" s="0" t="n">
        <v>348.05</v>
      </c>
      <c r="C483" s="0" t="n">
        <f aca="false">WEEKDAY(A483,2)</f>
        <v>5</v>
      </c>
      <c r="D483" s="0" t="n">
        <f aca="false">DAY(A483)</f>
        <v>21</v>
      </c>
      <c r="E483" s="0" t="n">
        <f aca="false">HOUR(A483)</f>
        <v>1</v>
      </c>
      <c r="F483" s="0" t="n">
        <f aca="false">IF(C483&gt;=6,0,1)</f>
        <v>1</v>
      </c>
      <c r="G483" s="0" t="n">
        <f aca="false">VLOOKUP(E483,Sheet1!$A$2:$B$25,2,0)</f>
        <v>0</v>
      </c>
    </row>
    <row r="484" customFormat="false" ht="15" hidden="false" customHeight="false" outlineLevel="0" collapsed="false">
      <c r="A484" s="11" t="n">
        <v>44582.0833333333</v>
      </c>
      <c r="B484" s="0" t="n">
        <v>348.17</v>
      </c>
      <c r="C484" s="0" t="n">
        <f aca="false">WEEKDAY(A484,2)</f>
        <v>5</v>
      </c>
      <c r="D484" s="0" t="n">
        <f aca="false">DAY(A484)</f>
        <v>21</v>
      </c>
      <c r="E484" s="0" t="n">
        <f aca="false">HOUR(A484)</f>
        <v>2</v>
      </c>
      <c r="F484" s="0" t="n">
        <f aca="false">IF(C484&gt;=6,0,1)</f>
        <v>1</v>
      </c>
      <c r="G484" s="0" t="n">
        <f aca="false">VLOOKUP(E484,Sheet1!$A$2:$B$25,2,0)</f>
        <v>0</v>
      </c>
    </row>
    <row r="485" customFormat="false" ht="15" hidden="false" customHeight="false" outlineLevel="0" collapsed="false">
      <c r="A485" s="11" t="n">
        <v>44582.125</v>
      </c>
      <c r="B485" s="0" t="n">
        <v>353.12</v>
      </c>
      <c r="C485" s="0" t="n">
        <f aca="false">WEEKDAY(A485,2)</f>
        <v>5</v>
      </c>
      <c r="D485" s="0" t="n">
        <f aca="false">DAY(A485)</f>
        <v>21</v>
      </c>
      <c r="E485" s="0" t="n">
        <f aca="false">HOUR(A485)</f>
        <v>3</v>
      </c>
      <c r="F485" s="0" t="n">
        <f aca="false">IF(C485&gt;=6,0,1)</f>
        <v>1</v>
      </c>
      <c r="G485" s="0" t="n">
        <f aca="false">VLOOKUP(E485,Sheet1!$A$2:$B$25,2,0)</f>
        <v>0</v>
      </c>
    </row>
    <row r="486" customFormat="false" ht="15" hidden="false" customHeight="false" outlineLevel="0" collapsed="false">
      <c r="A486" s="11" t="n">
        <v>44582.1666666667</v>
      </c>
      <c r="B486" s="0" t="n">
        <v>637.51</v>
      </c>
      <c r="C486" s="0" t="n">
        <f aca="false">WEEKDAY(A486,2)</f>
        <v>5</v>
      </c>
      <c r="D486" s="0" t="n">
        <f aca="false">DAY(A486)</f>
        <v>21</v>
      </c>
      <c r="E486" s="0" t="n">
        <f aca="false">HOUR(A486)</f>
        <v>4</v>
      </c>
      <c r="F486" s="0" t="n">
        <f aca="false">IF(C486&gt;=6,0,1)</f>
        <v>1</v>
      </c>
      <c r="G486" s="0" t="n">
        <f aca="false">VLOOKUP(E486,Sheet1!$A$2:$B$25,2,0)</f>
        <v>1</v>
      </c>
    </row>
    <row r="487" customFormat="false" ht="15" hidden="false" customHeight="false" outlineLevel="0" collapsed="false">
      <c r="A487" s="11" t="n">
        <v>44582.2083333333</v>
      </c>
      <c r="B487" s="0" t="n">
        <v>655.5</v>
      </c>
      <c r="C487" s="0" t="n">
        <f aca="false">WEEKDAY(A487,2)</f>
        <v>5</v>
      </c>
      <c r="D487" s="0" t="n">
        <f aca="false">DAY(A487)</f>
        <v>21</v>
      </c>
      <c r="E487" s="0" t="n">
        <f aca="false">HOUR(A487)</f>
        <v>5</v>
      </c>
      <c r="F487" s="0" t="n">
        <f aca="false">IF(C487&gt;=6,0,1)</f>
        <v>1</v>
      </c>
      <c r="G487" s="0" t="n">
        <f aca="false">VLOOKUP(E487,Sheet1!$A$2:$B$25,2,0)</f>
        <v>1</v>
      </c>
    </row>
    <row r="488" customFormat="false" ht="15" hidden="false" customHeight="false" outlineLevel="0" collapsed="false">
      <c r="A488" s="11" t="n">
        <v>44582.25</v>
      </c>
      <c r="B488" s="0" t="n">
        <v>816.05</v>
      </c>
      <c r="C488" s="0" t="n">
        <f aca="false">WEEKDAY(A488,2)</f>
        <v>5</v>
      </c>
      <c r="D488" s="0" t="n">
        <f aca="false">DAY(A488)</f>
        <v>21</v>
      </c>
      <c r="E488" s="0" t="n">
        <f aca="false">HOUR(A488)</f>
        <v>6</v>
      </c>
      <c r="F488" s="0" t="n">
        <f aca="false">IF(C488&gt;=6,0,1)</f>
        <v>1</v>
      </c>
      <c r="G488" s="0" t="n">
        <f aca="false">VLOOKUP(E488,Sheet1!$A$2:$B$25,2,0)</f>
        <v>1</v>
      </c>
    </row>
    <row r="489" customFormat="false" ht="15" hidden="false" customHeight="false" outlineLevel="0" collapsed="false">
      <c r="A489" s="11" t="n">
        <v>44582.2916666667</v>
      </c>
      <c r="B489" s="0" t="n">
        <v>815.05</v>
      </c>
      <c r="C489" s="0" t="n">
        <f aca="false">WEEKDAY(A489,2)</f>
        <v>5</v>
      </c>
      <c r="D489" s="0" t="n">
        <f aca="false">DAY(A489)</f>
        <v>21</v>
      </c>
      <c r="E489" s="0" t="n">
        <f aca="false">HOUR(A489)</f>
        <v>7</v>
      </c>
      <c r="F489" s="0" t="n">
        <f aca="false">IF(C489&gt;=6,0,1)</f>
        <v>1</v>
      </c>
      <c r="G489" s="0" t="n">
        <f aca="false">VLOOKUP(E489,Sheet1!$A$2:$B$25,2,0)</f>
        <v>1</v>
      </c>
    </row>
    <row r="490" customFormat="false" ht="15" hidden="false" customHeight="false" outlineLevel="0" collapsed="false">
      <c r="A490" s="11" t="n">
        <v>44582.3333333333</v>
      </c>
      <c r="B490" s="0" t="n">
        <v>800.97</v>
      </c>
      <c r="C490" s="0" t="n">
        <f aca="false">WEEKDAY(A490,2)</f>
        <v>5</v>
      </c>
      <c r="D490" s="0" t="n">
        <f aca="false">DAY(A490)</f>
        <v>21</v>
      </c>
      <c r="E490" s="0" t="n">
        <f aca="false">HOUR(A490)</f>
        <v>8</v>
      </c>
      <c r="F490" s="0" t="n">
        <f aca="false">IF(C490&gt;=6,0,1)</f>
        <v>1</v>
      </c>
      <c r="G490" s="0" t="n">
        <f aca="false">VLOOKUP(E490,Sheet1!$A$2:$B$25,2,0)</f>
        <v>1</v>
      </c>
    </row>
    <row r="491" customFormat="false" ht="15" hidden="false" customHeight="false" outlineLevel="0" collapsed="false">
      <c r="A491" s="11" t="n">
        <v>44582.375</v>
      </c>
      <c r="B491" s="0" t="n">
        <v>887.05</v>
      </c>
      <c r="C491" s="0" t="n">
        <f aca="false">WEEKDAY(A491,2)</f>
        <v>5</v>
      </c>
      <c r="D491" s="0" t="n">
        <f aca="false">DAY(A491)</f>
        <v>21</v>
      </c>
      <c r="E491" s="0" t="n">
        <f aca="false">HOUR(A491)</f>
        <v>9</v>
      </c>
      <c r="F491" s="0" t="n">
        <f aca="false">IF(C491&gt;=6,0,1)</f>
        <v>1</v>
      </c>
      <c r="G491" s="0" t="n">
        <f aca="false">VLOOKUP(E491,Sheet1!$A$2:$B$25,2,0)</f>
        <v>1</v>
      </c>
    </row>
    <row r="492" customFormat="false" ht="15" hidden="false" customHeight="false" outlineLevel="0" collapsed="false">
      <c r="A492" s="11" t="n">
        <v>44582.4166666667</v>
      </c>
      <c r="B492" s="0" t="n">
        <v>845.51</v>
      </c>
      <c r="C492" s="0" t="n">
        <f aca="false">WEEKDAY(A492,2)</f>
        <v>5</v>
      </c>
      <c r="D492" s="0" t="n">
        <f aca="false">DAY(A492)</f>
        <v>21</v>
      </c>
      <c r="E492" s="0" t="n">
        <f aca="false">HOUR(A492)</f>
        <v>10</v>
      </c>
      <c r="F492" s="0" t="n">
        <f aca="false">IF(C492&gt;=6,0,1)</f>
        <v>1</v>
      </c>
      <c r="G492" s="0" t="n">
        <f aca="false">VLOOKUP(E492,Sheet1!$A$2:$B$25,2,0)</f>
        <v>1</v>
      </c>
    </row>
    <row r="493" customFormat="false" ht="15" hidden="false" customHeight="false" outlineLevel="0" collapsed="false">
      <c r="A493" s="11" t="n">
        <v>44582.4583333333</v>
      </c>
      <c r="B493" s="0" t="n">
        <v>837.31</v>
      </c>
      <c r="C493" s="0" t="n">
        <f aca="false">WEEKDAY(A493,2)</f>
        <v>5</v>
      </c>
      <c r="D493" s="0" t="n">
        <f aca="false">DAY(A493)</f>
        <v>21</v>
      </c>
      <c r="E493" s="0" t="n">
        <f aca="false">HOUR(A493)</f>
        <v>11</v>
      </c>
      <c r="F493" s="0" t="n">
        <f aca="false">IF(C493&gt;=6,0,1)</f>
        <v>1</v>
      </c>
      <c r="G493" s="0" t="n">
        <f aca="false">VLOOKUP(E493,Sheet1!$A$2:$B$25,2,0)</f>
        <v>1</v>
      </c>
    </row>
    <row r="494" customFormat="false" ht="15" hidden="false" customHeight="false" outlineLevel="0" collapsed="false">
      <c r="A494" s="11" t="n">
        <v>44582.5</v>
      </c>
      <c r="B494" s="0" t="n">
        <v>660.1</v>
      </c>
      <c r="C494" s="0" t="n">
        <f aca="false">WEEKDAY(A494,2)</f>
        <v>5</v>
      </c>
      <c r="D494" s="0" t="n">
        <f aca="false">DAY(A494)</f>
        <v>21</v>
      </c>
      <c r="E494" s="0" t="n">
        <f aca="false">HOUR(A494)</f>
        <v>12</v>
      </c>
      <c r="F494" s="0" t="n">
        <f aca="false">IF(C494&gt;=6,0,1)</f>
        <v>1</v>
      </c>
      <c r="G494" s="0" t="n">
        <f aca="false">VLOOKUP(E494,Sheet1!$A$2:$B$25,2,0)</f>
        <v>1</v>
      </c>
    </row>
    <row r="495" customFormat="false" ht="15" hidden="false" customHeight="false" outlineLevel="0" collapsed="false">
      <c r="A495" s="11" t="n">
        <v>44582.5416666667</v>
      </c>
      <c r="B495" s="0" t="n">
        <v>672.33</v>
      </c>
      <c r="C495" s="0" t="n">
        <f aca="false">WEEKDAY(A495,2)</f>
        <v>5</v>
      </c>
      <c r="D495" s="0" t="n">
        <f aca="false">DAY(A495)</f>
        <v>21</v>
      </c>
      <c r="E495" s="0" t="n">
        <f aca="false">HOUR(A495)</f>
        <v>13</v>
      </c>
      <c r="F495" s="0" t="n">
        <f aca="false">IF(C495&gt;=6,0,1)</f>
        <v>1</v>
      </c>
      <c r="G495" s="0" t="n">
        <f aca="false">VLOOKUP(E495,Sheet1!$A$2:$B$25,2,0)</f>
        <v>1</v>
      </c>
    </row>
    <row r="496" customFormat="false" ht="15" hidden="false" customHeight="false" outlineLevel="0" collapsed="false">
      <c r="A496" s="11" t="n">
        <v>44582.5833333333</v>
      </c>
      <c r="B496" s="0" t="n">
        <v>368.84</v>
      </c>
      <c r="C496" s="0" t="n">
        <f aca="false">WEEKDAY(A496,2)</f>
        <v>5</v>
      </c>
      <c r="D496" s="0" t="n">
        <f aca="false">DAY(A496)</f>
        <v>21</v>
      </c>
      <c r="E496" s="0" t="n">
        <f aca="false">HOUR(A496)</f>
        <v>14</v>
      </c>
      <c r="F496" s="0" t="n">
        <f aca="false">IF(C496&gt;=6,0,1)</f>
        <v>1</v>
      </c>
      <c r="G496" s="0" t="n">
        <f aca="false">VLOOKUP(E496,Sheet1!$A$2:$B$25,2,0)</f>
        <v>1</v>
      </c>
    </row>
    <row r="497" customFormat="false" ht="15" hidden="false" customHeight="false" outlineLevel="0" collapsed="false">
      <c r="A497" s="11" t="n">
        <v>44582.625</v>
      </c>
      <c r="B497" s="0" t="n">
        <v>361.44</v>
      </c>
      <c r="C497" s="0" t="n">
        <f aca="false">WEEKDAY(A497,2)</f>
        <v>5</v>
      </c>
      <c r="D497" s="0" t="n">
        <f aca="false">DAY(A497)</f>
        <v>21</v>
      </c>
      <c r="E497" s="0" t="n">
        <f aca="false">HOUR(A497)</f>
        <v>15</v>
      </c>
      <c r="F497" s="0" t="n">
        <f aca="false">IF(C497&gt;=6,0,1)</f>
        <v>1</v>
      </c>
      <c r="G497" s="0" t="n">
        <f aca="false">VLOOKUP(E497,Sheet1!$A$2:$B$25,2,0)</f>
        <v>1</v>
      </c>
    </row>
    <row r="498" customFormat="false" ht="15" hidden="false" customHeight="false" outlineLevel="0" collapsed="false">
      <c r="A498" s="11" t="n">
        <v>44582.6666666667</v>
      </c>
      <c r="B498" s="0" t="n">
        <v>348.27</v>
      </c>
      <c r="C498" s="0" t="n">
        <f aca="false">WEEKDAY(A498,2)</f>
        <v>5</v>
      </c>
      <c r="D498" s="0" t="n">
        <f aca="false">DAY(A498)</f>
        <v>21</v>
      </c>
      <c r="E498" s="0" t="n">
        <f aca="false">HOUR(A498)</f>
        <v>16</v>
      </c>
      <c r="F498" s="0" t="n">
        <f aca="false">IF(C498&gt;=6,0,1)</f>
        <v>1</v>
      </c>
      <c r="G498" s="0" t="n">
        <f aca="false">VLOOKUP(E498,Sheet1!$A$2:$B$25,2,0)</f>
        <v>0</v>
      </c>
    </row>
    <row r="499" customFormat="false" ht="15" hidden="false" customHeight="false" outlineLevel="0" collapsed="false">
      <c r="A499" s="11" t="n">
        <v>44582.7083333333</v>
      </c>
      <c r="B499" s="0" t="n">
        <v>356.51</v>
      </c>
      <c r="C499" s="0" t="n">
        <f aca="false">WEEKDAY(A499,2)</f>
        <v>5</v>
      </c>
      <c r="D499" s="0" t="n">
        <f aca="false">DAY(A499)</f>
        <v>21</v>
      </c>
      <c r="E499" s="0" t="n">
        <f aca="false">HOUR(A499)</f>
        <v>17</v>
      </c>
      <c r="F499" s="0" t="n">
        <f aca="false">IF(C499&gt;=6,0,1)</f>
        <v>1</v>
      </c>
      <c r="G499" s="0" t="n">
        <f aca="false">VLOOKUP(E499,Sheet1!$A$2:$B$25,2,0)</f>
        <v>0</v>
      </c>
    </row>
    <row r="500" customFormat="false" ht="15" hidden="false" customHeight="false" outlineLevel="0" collapsed="false">
      <c r="A500" s="11" t="n">
        <v>44582.75</v>
      </c>
      <c r="B500" s="0" t="n">
        <v>356.43</v>
      </c>
      <c r="C500" s="0" t="n">
        <f aca="false">WEEKDAY(A500,2)</f>
        <v>5</v>
      </c>
      <c r="D500" s="0" t="n">
        <f aca="false">DAY(A500)</f>
        <v>21</v>
      </c>
      <c r="E500" s="0" t="n">
        <f aca="false">HOUR(A500)</f>
        <v>18</v>
      </c>
      <c r="F500" s="0" t="n">
        <f aca="false">IF(C500&gt;=6,0,1)</f>
        <v>1</v>
      </c>
      <c r="G500" s="0" t="n">
        <f aca="false">VLOOKUP(E500,Sheet1!$A$2:$B$25,2,0)</f>
        <v>0</v>
      </c>
    </row>
    <row r="501" customFormat="false" ht="15" hidden="false" customHeight="false" outlineLevel="0" collapsed="false">
      <c r="A501" s="11" t="n">
        <v>44582.7916666667</v>
      </c>
      <c r="B501" s="0" t="n">
        <v>342.39</v>
      </c>
      <c r="C501" s="0" t="n">
        <f aca="false">WEEKDAY(A501,2)</f>
        <v>5</v>
      </c>
      <c r="D501" s="0" t="n">
        <f aca="false">DAY(A501)</f>
        <v>21</v>
      </c>
      <c r="E501" s="0" t="n">
        <f aca="false">HOUR(A501)</f>
        <v>19</v>
      </c>
      <c r="F501" s="0" t="n">
        <f aca="false">IF(C501&gt;=6,0,1)</f>
        <v>1</v>
      </c>
      <c r="G501" s="0" t="n">
        <f aca="false">VLOOKUP(E501,Sheet1!$A$2:$B$25,2,0)</f>
        <v>0</v>
      </c>
    </row>
    <row r="502" customFormat="false" ht="15" hidden="false" customHeight="false" outlineLevel="0" collapsed="false">
      <c r="A502" s="11" t="n">
        <v>44582.8333333333</v>
      </c>
      <c r="B502" s="0" t="n">
        <v>338.14</v>
      </c>
      <c r="C502" s="0" t="n">
        <f aca="false">WEEKDAY(A502,2)</f>
        <v>5</v>
      </c>
      <c r="D502" s="0" t="n">
        <f aca="false">DAY(A502)</f>
        <v>21</v>
      </c>
      <c r="E502" s="0" t="n">
        <f aca="false">HOUR(A502)</f>
        <v>20</v>
      </c>
      <c r="F502" s="0" t="n">
        <f aca="false">IF(C502&gt;=6,0,1)</f>
        <v>1</v>
      </c>
      <c r="G502" s="0" t="n">
        <f aca="false">VLOOKUP(E502,Sheet1!$A$2:$B$25,2,0)</f>
        <v>0</v>
      </c>
    </row>
    <row r="503" customFormat="false" ht="15" hidden="false" customHeight="false" outlineLevel="0" collapsed="false">
      <c r="A503" s="11" t="n">
        <v>44582.875</v>
      </c>
      <c r="B503" s="0" t="n">
        <v>336.7</v>
      </c>
      <c r="C503" s="0" t="n">
        <f aca="false">WEEKDAY(A503,2)</f>
        <v>5</v>
      </c>
      <c r="D503" s="0" t="n">
        <f aca="false">DAY(A503)</f>
        <v>21</v>
      </c>
      <c r="E503" s="0" t="n">
        <f aca="false">HOUR(A503)</f>
        <v>21</v>
      </c>
      <c r="F503" s="0" t="n">
        <f aca="false">IF(C503&gt;=6,0,1)</f>
        <v>1</v>
      </c>
      <c r="G503" s="0" t="n">
        <f aca="false">VLOOKUP(E503,Sheet1!$A$2:$B$25,2,0)</f>
        <v>0</v>
      </c>
    </row>
    <row r="504" customFormat="false" ht="15" hidden="false" customHeight="false" outlineLevel="0" collapsed="false">
      <c r="A504" s="11" t="n">
        <v>44582.9166666667</v>
      </c>
      <c r="B504" s="0" t="n">
        <v>319.1</v>
      </c>
      <c r="C504" s="0" t="n">
        <f aca="false">WEEKDAY(A504,2)</f>
        <v>5</v>
      </c>
      <c r="D504" s="0" t="n">
        <f aca="false">DAY(A504)</f>
        <v>21</v>
      </c>
      <c r="E504" s="0" t="n">
        <f aca="false">HOUR(A504)</f>
        <v>22</v>
      </c>
      <c r="F504" s="0" t="n">
        <f aca="false">IF(C504&gt;=6,0,1)</f>
        <v>1</v>
      </c>
      <c r="G504" s="0" t="n">
        <f aca="false">VLOOKUP(E504,Sheet1!$A$2:$B$25,2,0)</f>
        <v>0</v>
      </c>
    </row>
    <row r="505" customFormat="false" ht="15" hidden="false" customHeight="false" outlineLevel="0" collapsed="false">
      <c r="A505" s="11" t="n">
        <v>44582.9583333333</v>
      </c>
      <c r="B505" s="0" t="n">
        <v>320.18</v>
      </c>
      <c r="C505" s="0" t="n">
        <f aca="false">WEEKDAY(A505,2)</f>
        <v>5</v>
      </c>
      <c r="D505" s="0" t="n">
        <f aca="false">DAY(A505)</f>
        <v>21</v>
      </c>
      <c r="E505" s="0" t="n">
        <f aca="false">HOUR(A505)</f>
        <v>23</v>
      </c>
      <c r="F505" s="0" t="n">
        <f aca="false">IF(C505&gt;=6,0,1)</f>
        <v>1</v>
      </c>
      <c r="G505" s="0" t="n">
        <f aca="false">VLOOKUP(E505,Sheet1!$A$2:$B$25,2,0)</f>
        <v>0</v>
      </c>
    </row>
    <row r="506" customFormat="false" ht="15" hidden="false" customHeight="false" outlineLevel="0" collapsed="false">
      <c r="A506" s="11" t="n">
        <v>44583</v>
      </c>
      <c r="B506" s="0" t="n">
        <v>323.23</v>
      </c>
      <c r="C506" s="0" t="n">
        <f aca="false">WEEKDAY(A506,2)</f>
        <v>6</v>
      </c>
      <c r="D506" s="0" t="n">
        <f aca="false">DAY(A506)</f>
        <v>22</v>
      </c>
      <c r="E506" s="0" t="n">
        <f aca="false">HOUR(A506)</f>
        <v>0</v>
      </c>
      <c r="F506" s="0" t="n">
        <f aca="false">IF(C506&gt;=6,0,1)</f>
        <v>0</v>
      </c>
      <c r="G506" s="0" t="n">
        <f aca="false">VLOOKUP(E506,Sheet1!$A$2:$B$25,2,0)</f>
        <v>0</v>
      </c>
    </row>
    <row r="507" customFormat="false" ht="15" hidden="false" customHeight="false" outlineLevel="0" collapsed="false">
      <c r="A507" s="11" t="n">
        <v>44583.0416666667</v>
      </c>
      <c r="B507" s="0" t="n">
        <v>328.73</v>
      </c>
      <c r="C507" s="0" t="n">
        <f aca="false">WEEKDAY(A507,2)</f>
        <v>6</v>
      </c>
      <c r="D507" s="0" t="n">
        <f aca="false">DAY(A507)</f>
        <v>22</v>
      </c>
      <c r="E507" s="0" t="n">
        <f aca="false">HOUR(A507)</f>
        <v>1</v>
      </c>
      <c r="F507" s="0" t="n">
        <f aca="false">IF(C507&gt;=6,0,1)</f>
        <v>0</v>
      </c>
      <c r="G507" s="0" t="n">
        <f aca="false">VLOOKUP(E507,Sheet1!$A$2:$B$25,2,0)</f>
        <v>0</v>
      </c>
    </row>
    <row r="508" customFormat="false" ht="15" hidden="false" customHeight="false" outlineLevel="0" collapsed="false">
      <c r="A508" s="11" t="n">
        <v>44583.0833333333</v>
      </c>
      <c r="B508" s="0" t="n">
        <v>322.58</v>
      </c>
      <c r="C508" s="0" t="n">
        <f aca="false">WEEKDAY(A508,2)</f>
        <v>6</v>
      </c>
      <c r="D508" s="0" t="n">
        <f aca="false">DAY(A508)</f>
        <v>22</v>
      </c>
      <c r="E508" s="0" t="n">
        <f aca="false">HOUR(A508)</f>
        <v>2</v>
      </c>
      <c r="F508" s="0" t="n">
        <f aca="false">IF(C508&gt;=6,0,1)</f>
        <v>0</v>
      </c>
      <c r="G508" s="0" t="n">
        <f aca="false">VLOOKUP(E508,Sheet1!$A$2:$B$25,2,0)</f>
        <v>0</v>
      </c>
    </row>
    <row r="509" customFormat="false" ht="15" hidden="false" customHeight="false" outlineLevel="0" collapsed="false">
      <c r="A509" s="11" t="n">
        <v>44583.125</v>
      </c>
      <c r="B509" s="0" t="n">
        <v>326.71</v>
      </c>
      <c r="C509" s="0" t="n">
        <f aca="false">WEEKDAY(A509,2)</f>
        <v>6</v>
      </c>
      <c r="D509" s="0" t="n">
        <f aca="false">DAY(A509)</f>
        <v>22</v>
      </c>
      <c r="E509" s="0" t="n">
        <f aca="false">HOUR(A509)</f>
        <v>3</v>
      </c>
      <c r="F509" s="0" t="n">
        <f aca="false">IF(C509&gt;=6,0,1)</f>
        <v>0</v>
      </c>
      <c r="G509" s="0" t="n">
        <f aca="false">VLOOKUP(E509,Sheet1!$A$2:$B$25,2,0)</f>
        <v>0</v>
      </c>
    </row>
    <row r="510" customFormat="false" ht="15" hidden="false" customHeight="false" outlineLevel="0" collapsed="false">
      <c r="A510" s="11" t="n">
        <v>44583.1666666667</v>
      </c>
      <c r="B510" s="0" t="n">
        <v>335.28</v>
      </c>
      <c r="C510" s="0" t="n">
        <f aca="false">WEEKDAY(A510,2)</f>
        <v>6</v>
      </c>
      <c r="D510" s="0" t="n">
        <f aca="false">DAY(A510)</f>
        <v>22</v>
      </c>
      <c r="E510" s="0" t="n">
        <f aca="false">HOUR(A510)</f>
        <v>4</v>
      </c>
      <c r="F510" s="0" t="n">
        <f aca="false">IF(C510&gt;=6,0,1)</f>
        <v>0</v>
      </c>
      <c r="G510" s="0" t="n">
        <f aca="false">VLOOKUP(E510,Sheet1!$A$2:$B$25,2,0)</f>
        <v>1</v>
      </c>
    </row>
    <row r="511" customFormat="false" ht="15" hidden="false" customHeight="false" outlineLevel="0" collapsed="false">
      <c r="A511" s="11" t="n">
        <v>44583.2083333333</v>
      </c>
      <c r="B511" s="0" t="n">
        <v>336.94</v>
      </c>
      <c r="C511" s="0" t="n">
        <f aca="false">WEEKDAY(A511,2)</f>
        <v>6</v>
      </c>
      <c r="D511" s="0" t="n">
        <f aca="false">DAY(A511)</f>
        <v>22</v>
      </c>
      <c r="E511" s="0" t="n">
        <f aca="false">HOUR(A511)</f>
        <v>5</v>
      </c>
      <c r="F511" s="0" t="n">
        <f aca="false">IF(C511&gt;=6,0,1)</f>
        <v>0</v>
      </c>
      <c r="G511" s="0" t="n">
        <f aca="false">VLOOKUP(E511,Sheet1!$A$2:$B$25,2,0)</f>
        <v>1</v>
      </c>
    </row>
    <row r="512" customFormat="false" ht="15" hidden="false" customHeight="false" outlineLevel="0" collapsed="false">
      <c r="A512" s="11" t="n">
        <v>44583.25</v>
      </c>
      <c r="B512" s="0" t="n">
        <v>335.89</v>
      </c>
      <c r="C512" s="0" t="n">
        <f aca="false">WEEKDAY(A512,2)</f>
        <v>6</v>
      </c>
      <c r="D512" s="0" t="n">
        <f aca="false">DAY(A512)</f>
        <v>22</v>
      </c>
      <c r="E512" s="0" t="n">
        <f aca="false">HOUR(A512)</f>
        <v>6</v>
      </c>
      <c r="F512" s="0" t="n">
        <f aca="false">IF(C512&gt;=6,0,1)</f>
        <v>0</v>
      </c>
      <c r="G512" s="0" t="n">
        <f aca="false">VLOOKUP(E512,Sheet1!$A$2:$B$25,2,0)</f>
        <v>1</v>
      </c>
    </row>
    <row r="513" customFormat="false" ht="15" hidden="false" customHeight="false" outlineLevel="0" collapsed="false">
      <c r="A513" s="11" t="n">
        <v>44583.2916666667</v>
      </c>
      <c r="B513" s="0" t="n">
        <v>326.58</v>
      </c>
      <c r="C513" s="0" t="n">
        <f aca="false">WEEKDAY(A513,2)</f>
        <v>6</v>
      </c>
      <c r="D513" s="0" t="n">
        <f aca="false">DAY(A513)</f>
        <v>22</v>
      </c>
      <c r="E513" s="0" t="n">
        <f aca="false">HOUR(A513)</f>
        <v>7</v>
      </c>
      <c r="F513" s="0" t="n">
        <f aca="false">IF(C513&gt;=6,0,1)</f>
        <v>0</v>
      </c>
      <c r="G513" s="0" t="n">
        <f aca="false">VLOOKUP(E513,Sheet1!$A$2:$B$25,2,0)</f>
        <v>1</v>
      </c>
    </row>
    <row r="514" customFormat="false" ht="15" hidden="false" customHeight="false" outlineLevel="0" collapsed="false">
      <c r="A514" s="11" t="n">
        <v>44583.3333333333</v>
      </c>
      <c r="B514" s="0" t="n">
        <v>318</v>
      </c>
      <c r="C514" s="0" t="n">
        <f aca="false">WEEKDAY(A514,2)</f>
        <v>6</v>
      </c>
      <c r="D514" s="0" t="n">
        <f aca="false">DAY(A514)</f>
        <v>22</v>
      </c>
      <c r="E514" s="0" t="n">
        <f aca="false">HOUR(A514)</f>
        <v>8</v>
      </c>
      <c r="F514" s="0" t="n">
        <f aca="false">IF(C514&gt;=6,0,1)</f>
        <v>0</v>
      </c>
      <c r="G514" s="0" t="n">
        <f aca="false">VLOOKUP(E514,Sheet1!$A$2:$B$25,2,0)</f>
        <v>1</v>
      </c>
    </row>
    <row r="515" customFormat="false" ht="15" hidden="false" customHeight="false" outlineLevel="0" collapsed="false">
      <c r="A515" s="11" t="n">
        <v>44583.375</v>
      </c>
      <c r="B515" s="0" t="n">
        <v>318.13</v>
      </c>
      <c r="C515" s="0" t="n">
        <f aca="false">WEEKDAY(A515,2)</f>
        <v>6</v>
      </c>
      <c r="D515" s="0" t="n">
        <f aca="false">DAY(A515)</f>
        <v>22</v>
      </c>
      <c r="E515" s="0" t="n">
        <f aca="false">HOUR(A515)</f>
        <v>9</v>
      </c>
      <c r="F515" s="0" t="n">
        <f aca="false">IF(C515&gt;=6,0,1)</f>
        <v>0</v>
      </c>
      <c r="G515" s="0" t="n">
        <f aca="false">VLOOKUP(E515,Sheet1!$A$2:$B$25,2,0)</f>
        <v>1</v>
      </c>
    </row>
    <row r="516" customFormat="false" ht="15" hidden="false" customHeight="false" outlineLevel="0" collapsed="false">
      <c r="A516" s="11" t="n">
        <v>44583.4166666667</v>
      </c>
      <c r="B516" s="0" t="n">
        <v>317.6</v>
      </c>
      <c r="C516" s="0" t="n">
        <f aca="false">WEEKDAY(A516,2)</f>
        <v>6</v>
      </c>
      <c r="D516" s="0" t="n">
        <f aca="false">DAY(A516)</f>
        <v>22</v>
      </c>
      <c r="E516" s="0" t="n">
        <f aca="false">HOUR(A516)</f>
        <v>10</v>
      </c>
      <c r="F516" s="0" t="n">
        <f aca="false">IF(C516&gt;=6,0,1)</f>
        <v>0</v>
      </c>
      <c r="G516" s="0" t="n">
        <f aca="false">VLOOKUP(E516,Sheet1!$A$2:$B$25,2,0)</f>
        <v>1</v>
      </c>
    </row>
    <row r="517" customFormat="false" ht="15" hidden="false" customHeight="false" outlineLevel="0" collapsed="false">
      <c r="A517" s="11" t="n">
        <v>44583.4583333333</v>
      </c>
      <c r="B517" s="0" t="n">
        <v>315.65</v>
      </c>
      <c r="C517" s="0" t="n">
        <f aca="false">WEEKDAY(A517,2)</f>
        <v>6</v>
      </c>
      <c r="D517" s="0" t="n">
        <f aca="false">DAY(A517)</f>
        <v>22</v>
      </c>
      <c r="E517" s="0" t="n">
        <f aca="false">HOUR(A517)</f>
        <v>11</v>
      </c>
      <c r="F517" s="0" t="n">
        <f aca="false">IF(C517&gt;=6,0,1)</f>
        <v>0</v>
      </c>
      <c r="G517" s="0" t="n">
        <f aca="false">VLOOKUP(E517,Sheet1!$A$2:$B$25,2,0)</f>
        <v>1</v>
      </c>
    </row>
    <row r="518" customFormat="false" ht="15" hidden="false" customHeight="false" outlineLevel="0" collapsed="false">
      <c r="A518" s="11" t="n">
        <v>44583.5</v>
      </c>
      <c r="B518" s="0" t="n">
        <v>316.12</v>
      </c>
      <c r="C518" s="0" t="n">
        <f aca="false">WEEKDAY(A518,2)</f>
        <v>6</v>
      </c>
      <c r="D518" s="0" t="n">
        <f aca="false">DAY(A518)</f>
        <v>22</v>
      </c>
      <c r="E518" s="0" t="n">
        <f aca="false">HOUR(A518)</f>
        <v>12</v>
      </c>
      <c r="F518" s="0" t="n">
        <f aca="false">IF(C518&gt;=6,0,1)</f>
        <v>0</v>
      </c>
      <c r="G518" s="0" t="n">
        <f aca="false">VLOOKUP(E518,Sheet1!$A$2:$B$25,2,0)</f>
        <v>1</v>
      </c>
    </row>
    <row r="519" customFormat="false" ht="15" hidden="false" customHeight="false" outlineLevel="0" collapsed="false">
      <c r="A519" s="11" t="n">
        <v>44583.5416666667</v>
      </c>
      <c r="B519" s="0" t="n">
        <v>316.22</v>
      </c>
      <c r="C519" s="0" t="n">
        <f aca="false">WEEKDAY(A519,2)</f>
        <v>6</v>
      </c>
      <c r="D519" s="0" t="n">
        <f aca="false">DAY(A519)</f>
        <v>22</v>
      </c>
      <c r="E519" s="0" t="n">
        <f aca="false">HOUR(A519)</f>
        <v>13</v>
      </c>
      <c r="F519" s="0" t="n">
        <f aca="false">IF(C519&gt;=6,0,1)</f>
        <v>0</v>
      </c>
      <c r="G519" s="0" t="n">
        <f aca="false">VLOOKUP(E519,Sheet1!$A$2:$B$25,2,0)</f>
        <v>1</v>
      </c>
    </row>
    <row r="520" customFormat="false" ht="15" hidden="false" customHeight="false" outlineLevel="0" collapsed="false">
      <c r="A520" s="11" t="n">
        <v>44583.5833333333</v>
      </c>
      <c r="B520" s="0" t="n">
        <v>315.78</v>
      </c>
      <c r="C520" s="0" t="n">
        <f aca="false">WEEKDAY(A520,2)</f>
        <v>6</v>
      </c>
      <c r="D520" s="0" t="n">
        <f aca="false">DAY(A520)</f>
        <v>22</v>
      </c>
      <c r="E520" s="0" t="n">
        <f aca="false">HOUR(A520)</f>
        <v>14</v>
      </c>
      <c r="F520" s="0" t="n">
        <f aca="false">IF(C520&gt;=6,0,1)</f>
        <v>0</v>
      </c>
      <c r="G520" s="0" t="n">
        <f aca="false">VLOOKUP(E520,Sheet1!$A$2:$B$25,2,0)</f>
        <v>1</v>
      </c>
    </row>
    <row r="521" customFormat="false" ht="15" hidden="false" customHeight="false" outlineLevel="0" collapsed="false">
      <c r="A521" s="11" t="n">
        <v>44583.625</v>
      </c>
      <c r="B521" s="0" t="n">
        <v>313.18</v>
      </c>
      <c r="C521" s="0" t="n">
        <f aca="false">WEEKDAY(A521,2)</f>
        <v>6</v>
      </c>
      <c r="D521" s="0" t="n">
        <f aca="false">DAY(A521)</f>
        <v>22</v>
      </c>
      <c r="E521" s="0" t="n">
        <f aca="false">HOUR(A521)</f>
        <v>15</v>
      </c>
      <c r="F521" s="0" t="n">
        <f aca="false">IF(C521&gt;=6,0,1)</f>
        <v>0</v>
      </c>
      <c r="G521" s="0" t="n">
        <f aca="false">VLOOKUP(E521,Sheet1!$A$2:$B$25,2,0)</f>
        <v>1</v>
      </c>
    </row>
    <row r="522" customFormat="false" ht="15" hidden="false" customHeight="false" outlineLevel="0" collapsed="false">
      <c r="A522" s="11" t="n">
        <v>44583.6666666667</v>
      </c>
      <c r="B522" s="0" t="n">
        <v>308.89</v>
      </c>
      <c r="C522" s="0" t="n">
        <f aca="false">WEEKDAY(A522,2)</f>
        <v>6</v>
      </c>
      <c r="D522" s="0" t="n">
        <f aca="false">DAY(A522)</f>
        <v>22</v>
      </c>
      <c r="E522" s="0" t="n">
        <f aca="false">HOUR(A522)</f>
        <v>16</v>
      </c>
      <c r="F522" s="0" t="n">
        <f aca="false">IF(C522&gt;=6,0,1)</f>
        <v>0</v>
      </c>
      <c r="G522" s="0" t="n">
        <f aca="false">VLOOKUP(E522,Sheet1!$A$2:$B$25,2,0)</f>
        <v>0</v>
      </c>
    </row>
    <row r="523" customFormat="false" ht="15" hidden="false" customHeight="false" outlineLevel="0" collapsed="false">
      <c r="A523" s="11" t="n">
        <v>44583.7083333333</v>
      </c>
      <c r="B523" s="0" t="n">
        <v>319.94</v>
      </c>
      <c r="C523" s="0" t="n">
        <f aca="false">WEEKDAY(A523,2)</f>
        <v>6</v>
      </c>
      <c r="D523" s="0" t="n">
        <f aca="false">DAY(A523)</f>
        <v>22</v>
      </c>
      <c r="E523" s="0" t="n">
        <f aca="false">HOUR(A523)</f>
        <v>17</v>
      </c>
      <c r="F523" s="0" t="n">
        <f aca="false">IF(C523&gt;=6,0,1)</f>
        <v>0</v>
      </c>
      <c r="G523" s="0" t="n">
        <f aca="false">VLOOKUP(E523,Sheet1!$A$2:$B$25,2,0)</f>
        <v>0</v>
      </c>
    </row>
    <row r="524" customFormat="false" ht="15" hidden="false" customHeight="false" outlineLevel="0" collapsed="false">
      <c r="A524" s="11" t="n">
        <v>44583.75</v>
      </c>
      <c r="B524" s="0" t="n">
        <v>314.84</v>
      </c>
      <c r="C524" s="0" t="n">
        <f aca="false">WEEKDAY(A524,2)</f>
        <v>6</v>
      </c>
      <c r="D524" s="0" t="n">
        <f aca="false">DAY(A524)</f>
        <v>22</v>
      </c>
      <c r="E524" s="0" t="n">
        <f aca="false">HOUR(A524)</f>
        <v>18</v>
      </c>
      <c r="F524" s="0" t="n">
        <f aca="false">IF(C524&gt;=6,0,1)</f>
        <v>0</v>
      </c>
      <c r="G524" s="0" t="n">
        <f aca="false">VLOOKUP(E524,Sheet1!$A$2:$B$25,2,0)</f>
        <v>0</v>
      </c>
    </row>
    <row r="525" customFormat="false" ht="15" hidden="false" customHeight="false" outlineLevel="0" collapsed="false">
      <c r="A525" s="11" t="n">
        <v>44583.7916666667</v>
      </c>
      <c r="B525" s="0" t="n">
        <v>317.15</v>
      </c>
      <c r="C525" s="0" t="n">
        <f aca="false">WEEKDAY(A525,2)</f>
        <v>6</v>
      </c>
      <c r="D525" s="0" t="n">
        <f aca="false">DAY(A525)</f>
        <v>22</v>
      </c>
      <c r="E525" s="0" t="n">
        <f aca="false">HOUR(A525)</f>
        <v>19</v>
      </c>
      <c r="F525" s="0" t="n">
        <f aca="false">IF(C525&gt;=6,0,1)</f>
        <v>0</v>
      </c>
      <c r="G525" s="0" t="n">
        <f aca="false">VLOOKUP(E525,Sheet1!$A$2:$B$25,2,0)</f>
        <v>0</v>
      </c>
    </row>
    <row r="526" customFormat="false" ht="15" hidden="false" customHeight="false" outlineLevel="0" collapsed="false">
      <c r="A526" s="11" t="n">
        <v>44583.8333333333</v>
      </c>
      <c r="B526" s="0" t="n">
        <v>314.57</v>
      </c>
      <c r="C526" s="0" t="n">
        <f aca="false">WEEKDAY(A526,2)</f>
        <v>6</v>
      </c>
      <c r="D526" s="0" t="n">
        <f aca="false">DAY(A526)</f>
        <v>22</v>
      </c>
      <c r="E526" s="0" t="n">
        <f aca="false">HOUR(A526)</f>
        <v>20</v>
      </c>
      <c r="F526" s="0" t="n">
        <f aca="false">IF(C526&gt;=6,0,1)</f>
        <v>0</v>
      </c>
      <c r="G526" s="0" t="n">
        <f aca="false">VLOOKUP(E526,Sheet1!$A$2:$B$25,2,0)</f>
        <v>0</v>
      </c>
    </row>
    <row r="527" customFormat="false" ht="15" hidden="false" customHeight="false" outlineLevel="0" collapsed="false">
      <c r="A527" s="11" t="n">
        <v>44583.875</v>
      </c>
      <c r="B527" s="0" t="n">
        <v>312.93</v>
      </c>
      <c r="C527" s="0" t="n">
        <f aca="false">WEEKDAY(A527,2)</f>
        <v>6</v>
      </c>
      <c r="D527" s="0" t="n">
        <f aca="false">DAY(A527)</f>
        <v>22</v>
      </c>
      <c r="E527" s="0" t="n">
        <f aca="false">HOUR(A527)</f>
        <v>21</v>
      </c>
      <c r="F527" s="0" t="n">
        <f aca="false">IF(C527&gt;=6,0,1)</f>
        <v>0</v>
      </c>
      <c r="G527" s="0" t="n">
        <f aca="false">VLOOKUP(E527,Sheet1!$A$2:$B$25,2,0)</f>
        <v>0</v>
      </c>
    </row>
    <row r="528" customFormat="false" ht="15" hidden="false" customHeight="false" outlineLevel="0" collapsed="false">
      <c r="A528" s="11" t="n">
        <v>44583.9166666667</v>
      </c>
      <c r="B528" s="0" t="n">
        <v>292.3</v>
      </c>
      <c r="C528" s="0" t="n">
        <f aca="false">WEEKDAY(A528,2)</f>
        <v>6</v>
      </c>
      <c r="D528" s="0" t="n">
        <f aca="false">DAY(A528)</f>
        <v>22</v>
      </c>
      <c r="E528" s="0" t="n">
        <f aca="false">HOUR(A528)</f>
        <v>22</v>
      </c>
      <c r="F528" s="0" t="n">
        <f aca="false">IF(C528&gt;=6,0,1)</f>
        <v>0</v>
      </c>
      <c r="G528" s="0" t="n">
        <f aca="false">VLOOKUP(E528,Sheet1!$A$2:$B$25,2,0)</f>
        <v>0</v>
      </c>
    </row>
    <row r="529" customFormat="false" ht="15" hidden="false" customHeight="false" outlineLevel="0" collapsed="false">
      <c r="A529" s="11" t="n">
        <v>44583.9583333333</v>
      </c>
      <c r="B529" s="0" t="n">
        <v>291.43</v>
      </c>
      <c r="C529" s="0" t="n">
        <f aca="false">WEEKDAY(A529,2)</f>
        <v>6</v>
      </c>
      <c r="D529" s="0" t="n">
        <f aca="false">DAY(A529)</f>
        <v>22</v>
      </c>
      <c r="E529" s="0" t="n">
        <f aca="false">HOUR(A529)</f>
        <v>23</v>
      </c>
      <c r="F529" s="0" t="n">
        <f aca="false">IF(C529&gt;=6,0,1)</f>
        <v>0</v>
      </c>
      <c r="G529" s="0" t="n">
        <f aca="false">VLOOKUP(E529,Sheet1!$A$2:$B$25,2,0)</f>
        <v>0</v>
      </c>
    </row>
    <row r="530" customFormat="false" ht="15" hidden="false" customHeight="false" outlineLevel="0" collapsed="false">
      <c r="A530" s="11" t="n">
        <v>44584</v>
      </c>
      <c r="B530" s="0" t="n">
        <v>299.21</v>
      </c>
      <c r="C530" s="0" t="n">
        <f aca="false">WEEKDAY(A530,2)</f>
        <v>7</v>
      </c>
      <c r="D530" s="0" t="n">
        <f aca="false">DAY(A530)</f>
        <v>23</v>
      </c>
      <c r="E530" s="0" t="n">
        <f aca="false">HOUR(A530)</f>
        <v>0</v>
      </c>
      <c r="F530" s="0" t="n">
        <f aca="false">IF(C530&gt;=6,0,1)</f>
        <v>0</v>
      </c>
      <c r="G530" s="0" t="n">
        <f aca="false">VLOOKUP(E530,Sheet1!$A$2:$B$25,2,0)</f>
        <v>0</v>
      </c>
    </row>
    <row r="531" customFormat="false" ht="15" hidden="false" customHeight="false" outlineLevel="0" collapsed="false">
      <c r="A531" s="11" t="n">
        <v>44584.0416666667</v>
      </c>
      <c r="B531" s="0" t="n">
        <v>294.33</v>
      </c>
      <c r="C531" s="0" t="n">
        <f aca="false">WEEKDAY(A531,2)</f>
        <v>7</v>
      </c>
      <c r="D531" s="0" t="n">
        <f aca="false">DAY(A531)</f>
        <v>23</v>
      </c>
      <c r="E531" s="0" t="n">
        <f aca="false">HOUR(A531)</f>
        <v>1</v>
      </c>
      <c r="F531" s="0" t="n">
        <f aca="false">IF(C531&gt;=6,0,1)</f>
        <v>0</v>
      </c>
      <c r="G531" s="0" t="n">
        <f aca="false">VLOOKUP(E531,Sheet1!$A$2:$B$25,2,0)</f>
        <v>0</v>
      </c>
    </row>
    <row r="532" customFormat="false" ht="15" hidden="false" customHeight="false" outlineLevel="0" collapsed="false">
      <c r="A532" s="11" t="n">
        <v>44584.0833333333</v>
      </c>
      <c r="B532" s="0" t="n">
        <v>292.68</v>
      </c>
      <c r="C532" s="0" t="n">
        <f aca="false">WEEKDAY(A532,2)</f>
        <v>7</v>
      </c>
      <c r="D532" s="0" t="n">
        <f aca="false">DAY(A532)</f>
        <v>23</v>
      </c>
      <c r="E532" s="0" t="n">
        <f aca="false">HOUR(A532)</f>
        <v>2</v>
      </c>
      <c r="F532" s="0" t="n">
        <f aca="false">IF(C532&gt;=6,0,1)</f>
        <v>0</v>
      </c>
      <c r="G532" s="0" t="n">
        <f aca="false">VLOOKUP(E532,Sheet1!$A$2:$B$25,2,0)</f>
        <v>0</v>
      </c>
    </row>
    <row r="533" customFormat="false" ht="15" hidden="false" customHeight="false" outlineLevel="0" collapsed="false">
      <c r="A533" s="11" t="n">
        <v>44584.125</v>
      </c>
      <c r="B533" s="0" t="n">
        <v>290.24</v>
      </c>
      <c r="C533" s="0" t="n">
        <f aca="false">WEEKDAY(A533,2)</f>
        <v>7</v>
      </c>
      <c r="D533" s="0" t="n">
        <f aca="false">DAY(A533)</f>
        <v>23</v>
      </c>
      <c r="E533" s="0" t="n">
        <f aca="false">HOUR(A533)</f>
        <v>3</v>
      </c>
      <c r="F533" s="0" t="n">
        <f aca="false">IF(C533&gt;=6,0,1)</f>
        <v>0</v>
      </c>
      <c r="G533" s="0" t="n">
        <f aca="false">VLOOKUP(E533,Sheet1!$A$2:$B$25,2,0)</f>
        <v>0</v>
      </c>
    </row>
    <row r="534" customFormat="false" ht="15" hidden="false" customHeight="false" outlineLevel="0" collapsed="false">
      <c r="A534" s="11" t="n">
        <v>44584.1666666667</v>
      </c>
      <c r="B534" s="0" t="n">
        <v>291.11</v>
      </c>
      <c r="C534" s="0" t="n">
        <f aca="false">WEEKDAY(A534,2)</f>
        <v>7</v>
      </c>
      <c r="D534" s="0" t="n">
        <f aca="false">DAY(A534)</f>
        <v>23</v>
      </c>
      <c r="E534" s="0" t="n">
        <f aca="false">HOUR(A534)</f>
        <v>4</v>
      </c>
      <c r="F534" s="0" t="n">
        <f aca="false">IF(C534&gt;=6,0,1)</f>
        <v>0</v>
      </c>
      <c r="G534" s="0" t="n">
        <f aca="false">VLOOKUP(E534,Sheet1!$A$2:$B$25,2,0)</f>
        <v>1</v>
      </c>
    </row>
    <row r="535" customFormat="false" ht="15" hidden="false" customHeight="false" outlineLevel="0" collapsed="false">
      <c r="A535" s="11" t="n">
        <v>44584.2083333333</v>
      </c>
      <c r="B535" s="0" t="n">
        <v>290.62</v>
      </c>
      <c r="C535" s="0" t="n">
        <f aca="false">WEEKDAY(A535,2)</f>
        <v>7</v>
      </c>
      <c r="D535" s="0" t="n">
        <f aca="false">DAY(A535)</f>
        <v>23</v>
      </c>
      <c r="E535" s="0" t="n">
        <f aca="false">HOUR(A535)</f>
        <v>5</v>
      </c>
      <c r="F535" s="0" t="n">
        <f aca="false">IF(C535&gt;=6,0,1)</f>
        <v>0</v>
      </c>
      <c r="G535" s="0" t="n">
        <f aca="false">VLOOKUP(E535,Sheet1!$A$2:$B$25,2,0)</f>
        <v>1</v>
      </c>
    </row>
    <row r="536" customFormat="false" ht="15" hidden="false" customHeight="false" outlineLevel="0" collapsed="false">
      <c r="A536" s="11" t="n">
        <v>44584.25</v>
      </c>
      <c r="B536" s="0" t="n">
        <v>293.91</v>
      </c>
      <c r="C536" s="0" t="n">
        <f aca="false">WEEKDAY(A536,2)</f>
        <v>7</v>
      </c>
      <c r="D536" s="0" t="n">
        <f aca="false">DAY(A536)</f>
        <v>23</v>
      </c>
      <c r="E536" s="0" t="n">
        <f aca="false">HOUR(A536)</f>
        <v>6</v>
      </c>
      <c r="F536" s="0" t="n">
        <f aca="false">IF(C536&gt;=6,0,1)</f>
        <v>0</v>
      </c>
      <c r="G536" s="0" t="n">
        <f aca="false">VLOOKUP(E536,Sheet1!$A$2:$B$25,2,0)</f>
        <v>1</v>
      </c>
    </row>
    <row r="537" customFormat="false" ht="15" hidden="false" customHeight="false" outlineLevel="0" collapsed="false">
      <c r="A537" s="11" t="n">
        <v>44584.2916666667</v>
      </c>
      <c r="B537" s="0" t="n">
        <v>291.6</v>
      </c>
      <c r="C537" s="0" t="n">
        <f aca="false">WEEKDAY(A537,2)</f>
        <v>7</v>
      </c>
      <c r="D537" s="0" t="n">
        <f aca="false">DAY(A537)</f>
        <v>23</v>
      </c>
      <c r="E537" s="0" t="n">
        <f aca="false">HOUR(A537)</f>
        <v>7</v>
      </c>
      <c r="F537" s="0" t="n">
        <f aca="false">IF(C537&gt;=6,0,1)</f>
        <v>0</v>
      </c>
      <c r="G537" s="0" t="n">
        <f aca="false">VLOOKUP(E537,Sheet1!$A$2:$B$25,2,0)</f>
        <v>1</v>
      </c>
    </row>
    <row r="538" customFormat="false" ht="15" hidden="false" customHeight="false" outlineLevel="0" collapsed="false">
      <c r="A538" s="11" t="n">
        <v>44584.3333333333</v>
      </c>
      <c r="B538" s="0" t="n">
        <v>287.38</v>
      </c>
      <c r="C538" s="0" t="n">
        <f aca="false">WEEKDAY(A538,2)</f>
        <v>7</v>
      </c>
      <c r="D538" s="0" t="n">
        <f aca="false">DAY(A538)</f>
        <v>23</v>
      </c>
      <c r="E538" s="0" t="n">
        <f aca="false">HOUR(A538)</f>
        <v>8</v>
      </c>
      <c r="F538" s="0" t="n">
        <f aca="false">IF(C538&gt;=6,0,1)</f>
        <v>0</v>
      </c>
      <c r="G538" s="0" t="n">
        <f aca="false">VLOOKUP(E538,Sheet1!$A$2:$B$25,2,0)</f>
        <v>1</v>
      </c>
    </row>
    <row r="539" customFormat="false" ht="15" hidden="false" customHeight="false" outlineLevel="0" collapsed="false">
      <c r="A539" s="11" t="n">
        <v>44584.375</v>
      </c>
      <c r="B539" s="0" t="n">
        <v>288.91</v>
      </c>
      <c r="C539" s="0" t="n">
        <f aca="false">WEEKDAY(A539,2)</f>
        <v>7</v>
      </c>
      <c r="D539" s="0" t="n">
        <f aca="false">DAY(A539)</f>
        <v>23</v>
      </c>
      <c r="E539" s="0" t="n">
        <f aca="false">HOUR(A539)</f>
        <v>9</v>
      </c>
      <c r="F539" s="0" t="n">
        <f aca="false">IF(C539&gt;=6,0,1)</f>
        <v>0</v>
      </c>
      <c r="G539" s="0" t="n">
        <f aca="false">VLOOKUP(E539,Sheet1!$A$2:$B$25,2,0)</f>
        <v>1</v>
      </c>
    </row>
    <row r="540" customFormat="false" ht="15" hidden="false" customHeight="false" outlineLevel="0" collapsed="false">
      <c r="A540" s="11" t="n">
        <v>44584.4166666667</v>
      </c>
      <c r="B540" s="0" t="n">
        <v>290.99</v>
      </c>
      <c r="C540" s="0" t="n">
        <f aca="false">WEEKDAY(A540,2)</f>
        <v>7</v>
      </c>
      <c r="D540" s="0" t="n">
        <f aca="false">DAY(A540)</f>
        <v>23</v>
      </c>
      <c r="E540" s="0" t="n">
        <f aca="false">HOUR(A540)</f>
        <v>10</v>
      </c>
      <c r="F540" s="0" t="n">
        <f aca="false">IF(C540&gt;=6,0,1)</f>
        <v>0</v>
      </c>
      <c r="G540" s="0" t="n">
        <f aca="false">VLOOKUP(E540,Sheet1!$A$2:$B$25,2,0)</f>
        <v>1</v>
      </c>
    </row>
    <row r="541" customFormat="false" ht="15" hidden="false" customHeight="false" outlineLevel="0" collapsed="false">
      <c r="A541" s="11" t="n">
        <v>44584.4583333333</v>
      </c>
      <c r="B541" s="0" t="n">
        <v>299.74</v>
      </c>
      <c r="C541" s="0" t="n">
        <f aca="false">WEEKDAY(A541,2)</f>
        <v>7</v>
      </c>
      <c r="D541" s="0" t="n">
        <f aca="false">DAY(A541)</f>
        <v>23</v>
      </c>
      <c r="E541" s="0" t="n">
        <f aca="false">HOUR(A541)</f>
        <v>11</v>
      </c>
      <c r="F541" s="0" t="n">
        <f aca="false">IF(C541&gt;=6,0,1)</f>
        <v>0</v>
      </c>
      <c r="G541" s="0" t="n">
        <f aca="false">VLOOKUP(E541,Sheet1!$A$2:$B$25,2,0)</f>
        <v>1</v>
      </c>
    </row>
    <row r="542" customFormat="false" ht="15" hidden="false" customHeight="false" outlineLevel="0" collapsed="false">
      <c r="A542" s="11" t="n">
        <v>44584.5</v>
      </c>
      <c r="B542" s="0" t="n">
        <v>296.07</v>
      </c>
      <c r="C542" s="0" t="n">
        <f aca="false">WEEKDAY(A542,2)</f>
        <v>7</v>
      </c>
      <c r="D542" s="0" t="n">
        <f aca="false">DAY(A542)</f>
        <v>23</v>
      </c>
      <c r="E542" s="0" t="n">
        <f aca="false">HOUR(A542)</f>
        <v>12</v>
      </c>
      <c r="F542" s="0" t="n">
        <f aca="false">IF(C542&gt;=6,0,1)</f>
        <v>0</v>
      </c>
      <c r="G542" s="0" t="n">
        <f aca="false">VLOOKUP(E542,Sheet1!$A$2:$B$25,2,0)</f>
        <v>1</v>
      </c>
    </row>
    <row r="543" customFormat="false" ht="15" hidden="false" customHeight="false" outlineLevel="0" collapsed="false">
      <c r="A543" s="11" t="n">
        <v>44584.5416666667</v>
      </c>
      <c r="B543" s="0" t="n">
        <v>298.73</v>
      </c>
      <c r="C543" s="0" t="n">
        <f aca="false">WEEKDAY(A543,2)</f>
        <v>7</v>
      </c>
      <c r="D543" s="0" t="n">
        <f aca="false">DAY(A543)</f>
        <v>23</v>
      </c>
      <c r="E543" s="0" t="n">
        <f aca="false">HOUR(A543)</f>
        <v>13</v>
      </c>
      <c r="F543" s="0" t="n">
        <f aca="false">IF(C543&gt;=6,0,1)</f>
        <v>0</v>
      </c>
      <c r="G543" s="0" t="n">
        <f aca="false">VLOOKUP(E543,Sheet1!$A$2:$B$25,2,0)</f>
        <v>1</v>
      </c>
    </row>
    <row r="544" customFormat="false" ht="15" hidden="false" customHeight="false" outlineLevel="0" collapsed="false">
      <c r="A544" s="11" t="n">
        <v>44584.5833333333</v>
      </c>
      <c r="B544" s="0" t="n">
        <v>298.28</v>
      </c>
      <c r="C544" s="0" t="n">
        <f aca="false">WEEKDAY(A544,2)</f>
        <v>7</v>
      </c>
      <c r="D544" s="0" t="n">
        <f aca="false">DAY(A544)</f>
        <v>23</v>
      </c>
      <c r="E544" s="0" t="n">
        <f aca="false">HOUR(A544)</f>
        <v>14</v>
      </c>
      <c r="F544" s="0" t="n">
        <f aca="false">IF(C544&gt;=6,0,1)</f>
        <v>0</v>
      </c>
      <c r="G544" s="0" t="n">
        <f aca="false">VLOOKUP(E544,Sheet1!$A$2:$B$25,2,0)</f>
        <v>1</v>
      </c>
    </row>
    <row r="545" customFormat="false" ht="15" hidden="false" customHeight="false" outlineLevel="0" collapsed="false">
      <c r="A545" s="11" t="n">
        <v>44584.625</v>
      </c>
      <c r="B545" s="0" t="n">
        <v>296.88</v>
      </c>
      <c r="C545" s="0" t="n">
        <f aca="false">WEEKDAY(A545,2)</f>
        <v>7</v>
      </c>
      <c r="D545" s="0" t="n">
        <f aca="false">DAY(A545)</f>
        <v>23</v>
      </c>
      <c r="E545" s="0" t="n">
        <f aca="false">HOUR(A545)</f>
        <v>15</v>
      </c>
      <c r="F545" s="0" t="n">
        <f aca="false">IF(C545&gt;=6,0,1)</f>
        <v>0</v>
      </c>
      <c r="G545" s="0" t="n">
        <f aca="false">VLOOKUP(E545,Sheet1!$A$2:$B$25,2,0)</f>
        <v>1</v>
      </c>
    </row>
    <row r="546" customFormat="false" ht="15" hidden="false" customHeight="false" outlineLevel="0" collapsed="false">
      <c r="A546" s="11" t="n">
        <v>44584.6666666667</v>
      </c>
      <c r="B546" s="0" t="n">
        <v>294.84</v>
      </c>
      <c r="C546" s="0" t="n">
        <f aca="false">WEEKDAY(A546,2)</f>
        <v>7</v>
      </c>
      <c r="D546" s="0" t="n">
        <f aca="false">DAY(A546)</f>
        <v>23</v>
      </c>
      <c r="E546" s="0" t="n">
        <f aca="false">HOUR(A546)</f>
        <v>16</v>
      </c>
      <c r="F546" s="0" t="n">
        <f aca="false">IF(C546&gt;=6,0,1)</f>
        <v>0</v>
      </c>
      <c r="G546" s="0" t="n">
        <f aca="false">VLOOKUP(E546,Sheet1!$A$2:$B$25,2,0)</f>
        <v>0</v>
      </c>
    </row>
    <row r="547" customFormat="false" ht="15" hidden="false" customHeight="false" outlineLevel="0" collapsed="false">
      <c r="A547" s="11" t="n">
        <v>44584.7083333333</v>
      </c>
      <c r="B547" s="0" t="n">
        <v>304.33</v>
      </c>
      <c r="C547" s="0" t="n">
        <f aca="false">WEEKDAY(A547,2)</f>
        <v>7</v>
      </c>
      <c r="D547" s="0" t="n">
        <f aca="false">DAY(A547)</f>
        <v>23</v>
      </c>
      <c r="E547" s="0" t="n">
        <f aca="false">HOUR(A547)</f>
        <v>17</v>
      </c>
      <c r="F547" s="0" t="n">
        <f aca="false">IF(C547&gt;=6,0,1)</f>
        <v>0</v>
      </c>
      <c r="G547" s="0" t="n">
        <f aca="false">VLOOKUP(E547,Sheet1!$A$2:$B$25,2,0)</f>
        <v>0</v>
      </c>
    </row>
    <row r="548" customFormat="false" ht="15" hidden="false" customHeight="false" outlineLevel="0" collapsed="false">
      <c r="A548" s="11" t="n">
        <v>44584.75</v>
      </c>
      <c r="B548" s="0" t="n">
        <v>306.51</v>
      </c>
      <c r="C548" s="0" t="n">
        <f aca="false">WEEKDAY(A548,2)</f>
        <v>7</v>
      </c>
      <c r="D548" s="0" t="n">
        <f aca="false">DAY(A548)</f>
        <v>23</v>
      </c>
      <c r="E548" s="0" t="n">
        <f aca="false">HOUR(A548)</f>
        <v>18</v>
      </c>
      <c r="F548" s="0" t="n">
        <f aca="false">IF(C548&gt;=6,0,1)</f>
        <v>0</v>
      </c>
      <c r="G548" s="0" t="n">
        <f aca="false">VLOOKUP(E548,Sheet1!$A$2:$B$25,2,0)</f>
        <v>0</v>
      </c>
    </row>
    <row r="549" customFormat="false" ht="15" hidden="false" customHeight="false" outlineLevel="0" collapsed="false">
      <c r="A549" s="11" t="n">
        <v>44584.7916666667</v>
      </c>
      <c r="B549" s="0" t="n">
        <v>307.15</v>
      </c>
      <c r="C549" s="0" t="n">
        <f aca="false">WEEKDAY(A549,2)</f>
        <v>7</v>
      </c>
      <c r="D549" s="0" t="n">
        <f aca="false">DAY(A549)</f>
        <v>23</v>
      </c>
      <c r="E549" s="0" t="n">
        <f aca="false">HOUR(A549)</f>
        <v>19</v>
      </c>
      <c r="F549" s="0" t="n">
        <f aca="false">IF(C549&gt;=6,0,1)</f>
        <v>0</v>
      </c>
      <c r="G549" s="0" t="n">
        <f aca="false">VLOOKUP(E549,Sheet1!$A$2:$B$25,2,0)</f>
        <v>0</v>
      </c>
    </row>
    <row r="550" customFormat="false" ht="15" hidden="false" customHeight="false" outlineLevel="0" collapsed="false">
      <c r="A550" s="11" t="n">
        <v>44584.8333333333</v>
      </c>
      <c r="B550" s="0" t="n">
        <v>305.18</v>
      </c>
      <c r="C550" s="0" t="n">
        <f aca="false">WEEKDAY(A550,2)</f>
        <v>7</v>
      </c>
      <c r="D550" s="0" t="n">
        <f aca="false">DAY(A550)</f>
        <v>23</v>
      </c>
      <c r="E550" s="0" t="n">
        <f aca="false">HOUR(A550)</f>
        <v>20</v>
      </c>
      <c r="F550" s="0" t="n">
        <f aca="false">IF(C550&gt;=6,0,1)</f>
        <v>0</v>
      </c>
      <c r="G550" s="0" t="n">
        <f aca="false">VLOOKUP(E550,Sheet1!$A$2:$B$25,2,0)</f>
        <v>0</v>
      </c>
    </row>
    <row r="551" customFormat="false" ht="15" hidden="false" customHeight="false" outlineLevel="0" collapsed="false">
      <c r="A551" s="11" t="n">
        <v>44584.875</v>
      </c>
      <c r="B551" s="0" t="n">
        <v>305.84</v>
      </c>
      <c r="C551" s="0" t="n">
        <f aca="false">WEEKDAY(A551,2)</f>
        <v>7</v>
      </c>
      <c r="D551" s="0" t="n">
        <f aca="false">DAY(A551)</f>
        <v>23</v>
      </c>
      <c r="E551" s="0" t="n">
        <f aca="false">HOUR(A551)</f>
        <v>21</v>
      </c>
      <c r="F551" s="0" t="n">
        <f aca="false">IF(C551&gt;=6,0,1)</f>
        <v>0</v>
      </c>
      <c r="G551" s="0" t="n">
        <f aca="false">VLOOKUP(E551,Sheet1!$A$2:$B$25,2,0)</f>
        <v>0</v>
      </c>
    </row>
    <row r="552" customFormat="false" ht="15" hidden="false" customHeight="false" outlineLevel="0" collapsed="false">
      <c r="A552" s="11" t="n">
        <v>44584.9166666667</v>
      </c>
      <c r="B552" s="0" t="n">
        <v>306.37</v>
      </c>
      <c r="C552" s="0" t="n">
        <f aca="false">WEEKDAY(A552,2)</f>
        <v>7</v>
      </c>
      <c r="D552" s="0" t="n">
        <f aca="false">DAY(A552)</f>
        <v>23</v>
      </c>
      <c r="E552" s="0" t="n">
        <f aca="false">HOUR(A552)</f>
        <v>22</v>
      </c>
      <c r="F552" s="0" t="n">
        <f aca="false">IF(C552&gt;=6,0,1)</f>
        <v>0</v>
      </c>
      <c r="G552" s="0" t="n">
        <f aca="false">VLOOKUP(E552,Sheet1!$A$2:$B$25,2,0)</f>
        <v>0</v>
      </c>
    </row>
    <row r="553" customFormat="false" ht="15" hidden="false" customHeight="false" outlineLevel="0" collapsed="false">
      <c r="A553" s="11" t="n">
        <v>44584.9583333333</v>
      </c>
      <c r="B553" s="0" t="n">
        <v>307.52</v>
      </c>
      <c r="C553" s="0" t="n">
        <f aca="false">WEEKDAY(A553,2)</f>
        <v>7</v>
      </c>
      <c r="D553" s="0" t="n">
        <f aca="false">DAY(A553)</f>
        <v>23</v>
      </c>
      <c r="E553" s="0" t="n">
        <f aca="false">HOUR(A553)</f>
        <v>23</v>
      </c>
      <c r="F553" s="0" t="n">
        <f aca="false">IF(C553&gt;=6,0,1)</f>
        <v>0</v>
      </c>
      <c r="G553" s="0" t="n">
        <f aca="false">VLOOKUP(E553,Sheet1!$A$2:$B$25,2,0)</f>
        <v>0</v>
      </c>
    </row>
    <row r="554" customFormat="false" ht="15" hidden="false" customHeight="false" outlineLevel="0" collapsed="false">
      <c r="A554" s="11" t="n">
        <v>44585</v>
      </c>
      <c r="B554" s="0" t="n">
        <v>306.3</v>
      </c>
      <c r="C554" s="0" t="n">
        <f aca="false">WEEKDAY(A554,2)</f>
        <v>1</v>
      </c>
      <c r="D554" s="0" t="n">
        <f aca="false">DAY(A554)</f>
        <v>24</v>
      </c>
      <c r="E554" s="0" t="n">
        <f aca="false">HOUR(A554)</f>
        <v>0</v>
      </c>
      <c r="F554" s="0" t="n">
        <f aca="false">IF(C554&gt;=6,0,1)</f>
        <v>1</v>
      </c>
      <c r="G554" s="0" t="n">
        <f aca="false">VLOOKUP(E554,Sheet1!$A$2:$B$25,2,0)</f>
        <v>0</v>
      </c>
    </row>
    <row r="555" customFormat="false" ht="15" hidden="false" customHeight="false" outlineLevel="0" collapsed="false">
      <c r="A555" s="11" t="n">
        <v>44585.0416666667</v>
      </c>
      <c r="B555" s="0" t="n">
        <v>306.59</v>
      </c>
      <c r="C555" s="0" t="n">
        <f aca="false">WEEKDAY(A555,2)</f>
        <v>1</v>
      </c>
      <c r="D555" s="0" t="n">
        <f aca="false">DAY(A555)</f>
        <v>24</v>
      </c>
      <c r="E555" s="0" t="n">
        <f aca="false">HOUR(A555)</f>
        <v>1</v>
      </c>
      <c r="F555" s="0" t="n">
        <f aca="false">IF(C555&gt;=6,0,1)</f>
        <v>1</v>
      </c>
      <c r="G555" s="0" t="n">
        <f aca="false">VLOOKUP(E555,Sheet1!$A$2:$B$25,2,0)</f>
        <v>0</v>
      </c>
    </row>
    <row r="556" customFormat="false" ht="15" hidden="false" customHeight="false" outlineLevel="0" collapsed="false">
      <c r="A556" s="11" t="n">
        <v>44585.0833333333</v>
      </c>
      <c r="B556" s="0" t="n">
        <v>306.33</v>
      </c>
      <c r="C556" s="0" t="n">
        <f aca="false">WEEKDAY(A556,2)</f>
        <v>1</v>
      </c>
      <c r="D556" s="0" t="n">
        <f aca="false">DAY(A556)</f>
        <v>24</v>
      </c>
      <c r="E556" s="0" t="n">
        <f aca="false">HOUR(A556)</f>
        <v>2</v>
      </c>
      <c r="F556" s="0" t="n">
        <f aca="false">IF(C556&gt;=6,0,1)</f>
        <v>1</v>
      </c>
      <c r="G556" s="0" t="n">
        <f aca="false">VLOOKUP(E556,Sheet1!$A$2:$B$25,2,0)</f>
        <v>0</v>
      </c>
    </row>
    <row r="557" customFormat="false" ht="15" hidden="false" customHeight="false" outlineLevel="0" collapsed="false">
      <c r="A557" s="11" t="n">
        <v>44585.125</v>
      </c>
      <c r="B557" s="0" t="n">
        <v>387.7</v>
      </c>
      <c r="C557" s="0" t="n">
        <f aca="false">WEEKDAY(A557,2)</f>
        <v>1</v>
      </c>
      <c r="D557" s="0" t="n">
        <f aca="false">DAY(A557)</f>
        <v>24</v>
      </c>
      <c r="E557" s="0" t="n">
        <f aca="false">HOUR(A557)</f>
        <v>3</v>
      </c>
      <c r="F557" s="0" t="n">
        <f aca="false">IF(C557&gt;=6,0,1)</f>
        <v>1</v>
      </c>
      <c r="G557" s="0" t="n">
        <f aca="false">VLOOKUP(E557,Sheet1!$A$2:$B$25,2,0)</f>
        <v>0</v>
      </c>
    </row>
    <row r="558" customFormat="false" ht="15" hidden="false" customHeight="false" outlineLevel="0" collapsed="false">
      <c r="A558" s="11" t="n">
        <v>44585.1666666667</v>
      </c>
      <c r="B558" s="0" t="n">
        <v>850.38</v>
      </c>
      <c r="C558" s="0" t="n">
        <f aca="false">WEEKDAY(A558,2)</f>
        <v>1</v>
      </c>
      <c r="D558" s="0" t="n">
        <f aca="false">DAY(A558)</f>
        <v>24</v>
      </c>
      <c r="E558" s="0" t="n">
        <f aca="false">HOUR(A558)</f>
        <v>4</v>
      </c>
      <c r="F558" s="0" t="n">
        <f aca="false">IF(C558&gt;=6,0,1)</f>
        <v>1</v>
      </c>
      <c r="G558" s="0" t="n">
        <f aca="false">VLOOKUP(E558,Sheet1!$A$2:$B$25,2,0)</f>
        <v>1</v>
      </c>
    </row>
    <row r="559" customFormat="false" ht="15" hidden="false" customHeight="false" outlineLevel="0" collapsed="false">
      <c r="A559" s="11" t="n">
        <v>44585.2083333333</v>
      </c>
      <c r="B559" s="0" t="n">
        <v>757.14</v>
      </c>
      <c r="C559" s="0" t="n">
        <f aca="false">WEEKDAY(A559,2)</f>
        <v>1</v>
      </c>
      <c r="D559" s="0" t="n">
        <f aca="false">DAY(A559)</f>
        <v>24</v>
      </c>
      <c r="E559" s="0" t="n">
        <f aca="false">HOUR(A559)</f>
        <v>5</v>
      </c>
      <c r="F559" s="0" t="n">
        <f aca="false">IF(C559&gt;=6,0,1)</f>
        <v>1</v>
      </c>
      <c r="G559" s="0" t="n">
        <f aca="false">VLOOKUP(E559,Sheet1!$A$2:$B$25,2,0)</f>
        <v>1</v>
      </c>
    </row>
    <row r="560" customFormat="false" ht="15" hidden="false" customHeight="false" outlineLevel="0" collapsed="false">
      <c r="A560" s="11" t="n">
        <v>44585.25</v>
      </c>
      <c r="B560" s="0" t="n">
        <v>954.94</v>
      </c>
      <c r="C560" s="0" t="n">
        <f aca="false">WEEKDAY(A560,2)</f>
        <v>1</v>
      </c>
      <c r="D560" s="0" t="n">
        <f aca="false">DAY(A560)</f>
        <v>24</v>
      </c>
      <c r="E560" s="0" t="n">
        <f aca="false">HOUR(A560)</f>
        <v>6</v>
      </c>
      <c r="F560" s="0" t="n">
        <f aca="false">IF(C560&gt;=6,0,1)</f>
        <v>1</v>
      </c>
      <c r="G560" s="0" t="n">
        <f aca="false">VLOOKUP(E560,Sheet1!$A$2:$B$25,2,0)</f>
        <v>1</v>
      </c>
    </row>
    <row r="561" customFormat="false" ht="15" hidden="false" customHeight="false" outlineLevel="0" collapsed="false">
      <c r="A561" s="11" t="n">
        <v>44585.2916666667</v>
      </c>
      <c r="B561" s="0" t="n">
        <v>988.59</v>
      </c>
      <c r="C561" s="0" t="n">
        <f aca="false">WEEKDAY(A561,2)</f>
        <v>1</v>
      </c>
      <c r="D561" s="0" t="n">
        <f aca="false">DAY(A561)</f>
        <v>24</v>
      </c>
      <c r="E561" s="0" t="n">
        <f aca="false">HOUR(A561)</f>
        <v>7</v>
      </c>
      <c r="F561" s="0" t="n">
        <f aca="false">IF(C561&gt;=6,0,1)</f>
        <v>1</v>
      </c>
      <c r="G561" s="0" t="n">
        <f aca="false">VLOOKUP(E561,Sheet1!$A$2:$B$25,2,0)</f>
        <v>1</v>
      </c>
    </row>
    <row r="562" customFormat="false" ht="15" hidden="false" customHeight="false" outlineLevel="0" collapsed="false">
      <c r="A562" s="11" t="n">
        <v>44585.3333333333</v>
      </c>
      <c r="B562" s="0" t="n">
        <v>782.51</v>
      </c>
      <c r="C562" s="0" t="n">
        <f aca="false">WEEKDAY(A562,2)</f>
        <v>1</v>
      </c>
      <c r="D562" s="0" t="n">
        <f aca="false">DAY(A562)</f>
        <v>24</v>
      </c>
      <c r="E562" s="0" t="n">
        <f aca="false">HOUR(A562)</f>
        <v>8</v>
      </c>
      <c r="F562" s="0" t="n">
        <f aca="false">IF(C562&gt;=6,0,1)</f>
        <v>1</v>
      </c>
      <c r="G562" s="0" t="n">
        <f aca="false">VLOOKUP(E562,Sheet1!$A$2:$B$25,2,0)</f>
        <v>1</v>
      </c>
    </row>
    <row r="563" customFormat="false" ht="15" hidden="false" customHeight="false" outlineLevel="0" collapsed="false">
      <c r="A563" s="11" t="n">
        <v>44585.375</v>
      </c>
      <c r="B563" s="0" t="n">
        <v>774.69</v>
      </c>
      <c r="C563" s="0" t="n">
        <f aca="false">WEEKDAY(A563,2)</f>
        <v>1</v>
      </c>
      <c r="D563" s="0" t="n">
        <f aca="false">DAY(A563)</f>
        <v>24</v>
      </c>
      <c r="E563" s="0" t="n">
        <f aca="false">HOUR(A563)</f>
        <v>9</v>
      </c>
      <c r="F563" s="0" t="n">
        <f aca="false">IF(C563&gt;=6,0,1)</f>
        <v>1</v>
      </c>
      <c r="G563" s="0" t="n">
        <f aca="false">VLOOKUP(E563,Sheet1!$A$2:$B$25,2,0)</f>
        <v>1</v>
      </c>
    </row>
    <row r="564" customFormat="false" ht="15" hidden="false" customHeight="false" outlineLevel="0" collapsed="false">
      <c r="A564" s="11" t="n">
        <v>44585.4166666667</v>
      </c>
      <c r="B564" s="0" t="n">
        <v>790.12</v>
      </c>
      <c r="C564" s="0" t="n">
        <f aca="false">WEEKDAY(A564,2)</f>
        <v>1</v>
      </c>
      <c r="D564" s="0" t="n">
        <f aca="false">DAY(A564)</f>
        <v>24</v>
      </c>
      <c r="E564" s="0" t="n">
        <f aca="false">HOUR(A564)</f>
        <v>10</v>
      </c>
      <c r="F564" s="0" t="n">
        <f aca="false">IF(C564&gt;=6,0,1)</f>
        <v>1</v>
      </c>
      <c r="G564" s="0" t="n">
        <f aca="false">VLOOKUP(E564,Sheet1!$A$2:$B$25,2,0)</f>
        <v>1</v>
      </c>
    </row>
    <row r="565" customFormat="false" ht="15" hidden="false" customHeight="false" outlineLevel="0" collapsed="false">
      <c r="A565" s="11" t="n">
        <v>44585.4583333333</v>
      </c>
      <c r="B565" s="0" t="n">
        <v>753.96</v>
      </c>
      <c r="C565" s="0" t="n">
        <f aca="false">WEEKDAY(A565,2)</f>
        <v>1</v>
      </c>
      <c r="D565" s="0" t="n">
        <f aca="false">DAY(A565)</f>
        <v>24</v>
      </c>
      <c r="E565" s="0" t="n">
        <f aca="false">HOUR(A565)</f>
        <v>11</v>
      </c>
      <c r="F565" s="0" t="n">
        <f aca="false">IF(C565&gt;=6,0,1)</f>
        <v>1</v>
      </c>
      <c r="G565" s="0" t="n">
        <f aca="false">VLOOKUP(E565,Sheet1!$A$2:$B$25,2,0)</f>
        <v>1</v>
      </c>
    </row>
    <row r="566" customFormat="false" ht="15" hidden="false" customHeight="false" outlineLevel="0" collapsed="false">
      <c r="A566" s="11" t="n">
        <v>44585.5</v>
      </c>
      <c r="B566" s="0" t="n">
        <v>699.91</v>
      </c>
      <c r="C566" s="0" t="n">
        <f aca="false">WEEKDAY(A566,2)</f>
        <v>1</v>
      </c>
      <c r="D566" s="0" t="n">
        <f aca="false">DAY(A566)</f>
        <v>24</v>
      </c>
      <c r="E566" s="0" t="n">
        <f aca="false">HOUR(A566)</f>
        <v>12</v>
      </c>
      <c r="F566" s="0" t="n">
        <f aca="false">IF(C566&gt;=6,0,1)</f>
        <v>1</v>
      </c>
      <c r="G566" s="0" t="n">
        <f aca="false">VLOOKUP(E566,Sheet1!$A$2:$B$25,2,0)</f>
        <v>1</v>
      </c>
    </row>
    <row r="567" customFormat="false" ht="15" hidden="false" customHeight="false" outlineLevel="0" collapsed="false">
      <c r="A567" s="11" t="n">
        <v>44585.5416666667</v>
      </c>
      <c r="B567" s="0" t="n">
        <v>677.18</v>
      </c>
      <c r="C567" s="0" t="n">
        <f aca="false">WEEKDAY(A567,2)</f>
        <v>1</v>
      </c>
      <c r="D567" s="0" t="n">
        <f aca="false">DAY(A567)</f>
        <v>24</v>
      </c>
      <c r="E567" s="0" t="n">
        <f aca="false">HOUR(A567)</f>
        <v>13</v>
      </c>
      <c r="F567" s="0" t="n">
        <f aca="false">IF(C567&gt;=6,0,1)</f>
        <v>1</v>
      </c>
      <c r="G567" s="0" t="n">
        <f aca="false">VLOOKUP(E567,Sheet1!$A$2:$B$25,2,0)</f>
        <v>1</v>
      </c>
    </row>
    <row r="568" customFormat="false" ht="15" hidden="false" customHeight="false" outlineLevel="0" collapsed="false">
      <c r="A568" s="11" t="n">
        <v>44585.5833333333</v>
      </c>
      <c r="B568" s="0" t="n">
        <v>658.15</v>
      </c>
      <c r="C568" s="0" t="n">
        <f aca="false">WEEKDAY(A568,2)</f>
        <v>1</v>
      </c>
      <c r="D568" s="0" t="n">
        <f aca="false">DAY(A568)</f>
        <v>24</v>
      </c>
      <c r="E568" s="0" t="n">
        <f aca="false">HOUR(A568)</f>
        <v>14</v>
      </c>
      <c r="F568" s="0" t="n">
        <f aca="false">IF(C568&gt;=6,0,1)</f>
        <v>1</v>
      </c>
      <c r="G568" s="0" t="n">
        <f aca="false">VLOOKUP(E568,Sheet1!$A$2:$B$25,2,0)</f>
        <v>1</v>
      </c>
    </row>
    <row r="569" customFormat="false" ht="15" hidden="false" customHeight="false" outlineLevel="0" collapsed="false">
      <c r="A569" s="11" t="n">
        <v>44585.625</v>
      </c>
      <c r="B569" s="0" t="n">
        <v>648.95</v>
      </c>
      <c r="C569" s="0" t="n">
        <f aca="false">WEEKDAY(A569,2)</f>
        <v>1</v>
      </c>
      <c r="D569" s="0" t="n">
        <f aca="false">DAY(A569)</f>
        <v>24</v>
      </c>
      <c r="E569" s="0" t="n">
        <f aca="false">HOUR(A569)</f>
        <v>15</v>
      </c>
      <c r="F569" s="0" t="n">
        <f aca="false">IF(C569&gt;=6,0,1)</f>
        <v>1</v>
      </c>
      <c r="G569" s="0" t="n">
        <f aca="false">VLOOKUP(E569,Sheet1!$A$2:$B$25,2,0)</f>
        <v>1</v>
      </c>
    </row>
    <row r="570" customFormat="false" ht="15" hidden="false" customHeight="false" outlineLevel="0" collapsed="false">
      <c r="A570" s="11" t="n">
        <v>44585.6666666667</v>
      </c>
      <c r="B570" s="0" t="n">
        <v>377.38</v>
      </c>
      <c r="C570" s="0" t="n">
        <f aca="false">WEEKDAY(A570,2)</f>
        <v>1</v>
      </c>
      <c r="D570" s="0" t="n">
        <f aca="false">DAY(A570)</f>
        <v>24</v>
      </c>
      <c r="E570" s="0" t="n">
        <f aca="false">HOUR(A570)</f>
        <v>16</v>
      </c>
      <c r="F570" s="0" t="n">
        <f aca="false">IF(C570&gt;=6,0,1)</f>
        <v>1</v>
      </c>
      <c r="G570" s="0" t="n">
        <f aca="false">VLOOKUP(E570,Sheet1!$A$2:$B$25,2,0)</f>
        <v>0</v>
      </c>
    </row>
    <row r="571" customFormat="false" ht="15" hidden="false" customHeight="false" outlineLevel="0" collapsed="false">
      <c r="A571" s="11" t="n">
        <v>44585.7083333333</v>
      </c>
      <c r="B571" s="0" t="n">
        <v>383.27</v>
      </c>
      <c r="C571" s="0" t="n">
        <f aca="false">WEEKDAY(A571,2)</f>
        <v>1</v>
      </c>
      <c r="D571" s="0" t="n">
        <f aca="false">DAY(A571)</f>
        <v>24</v>
      </c>
      <c r="E571" s="0" t="n">
        <f aca="false">HOUR(A571)</f>
        <v>17</v>
      </c>
      <c r="F571" s="0" t="n">
        <f aca="false">IF(C571&gt;=6,0,1)</f>
        <v>1</v>
      </c>
      <c r="G571" s="0" t="n">
        <f aca="false">VLOOKUP(E571,Sheet1!$A$2:$B$25,2,0)</f>
        <v>0</v>
      </c>
    </row>
    <row r="572" customFormat="false" ht="15" hidden="false" customHeight="false" outlineLevel="0" collapsed="false">
      <c r="A572" s="11" t="n">
        <v>44585.75</v>
      </c>
      <c r="B572" s="0" t="n">
        <v>370.76</v>
      </c>
      <c r="C572" s="0" t="n">
        <f aca="false">WEEKDAY(A572,2)</f>
        <v>1</v>
      </c>
      <c r="D572" s="0" t="n">
        <f aca="false">DAY(A572)</f>
        <v>24</v>
      </c>
      <c r="E572" s="0" t="n">
        <f aca="false">HOUR(A572)</f>
        <v>18</v>
      </c>
      <c r="F572" s="0" t="n">
        <f aca="false">IF(C572&gt;=6,0,1)</f>
        <v>1</v>
      </c>
      <c r="G572" s="0" t="n">
        <f aca="false">VLOOKUP(E572,Sheet1!$A$2:$B$25,2,0)</f>
        <v>0</v>
      </c>
    </row>
    <row r="573" customFormat="false" ht="15" hidden="false" customHeight="false" outlineLevel="0" collapsed="false">
      <c r="A573" s="11" t="n">
        <v>44585.7916666667</v>
      </c>
      <c r="B573" s="0" t="n">
        <v>369.21</v>
      </c>
      <c r="C573" s="0" t="n">
        <f aca="false">WEEKDAY(A573,2)</f>
        <v>1</v>
      </c>
      <c r="D573" s="0" t="n">
        <f aca="false">DAY(A573)</f>
        <v>24</v>
      </c>
      <c r="E573" s="0" t="n">
        <f aca="false">HOUR(A573)</f>
        <v>19</v>
      </c>
      <c r="F573" s="0" t="n">
        <f aca="false">IF(C573&gt;=6,0,1)</f>
        <v>1</v>
      </c>
      <c r="G573" s="0" t="n">
        <f aca="false">VLOOKUP(E573,Sheet1!$A$2:$B$25,2,0)</f>
        <v>0</v>
      </c>
    </row>
    <row r="574" customFormat="false" ht="15" hidden="false" customHeight="false" outlineLevel="0" collapsed="false">
      <c r="A574" s="11" t="n">
        <v>44585.8333333333</v>
      </c>
      <c r="B574" s="0" t="n">
        <v>365.26</v>
      </c>
      <c r="C574" s="0" t="n">
        <f aca="false">WEEKDAY(A574,2)</f>
        <v>1</v>
      </c>
      <c r="D574" s="0" t="n">
        <f aca="false">DAY(A574)</f>
        <v>24</v>
      </c>
      <c r="E574" s="0" t="n">
        <f aca="false">HOUR(A574)</f>
        <v>20</v>
      </c>
      <c r="F574" s="0" t="n">
        <f aca="false">IF(C574&gt;=6,0,1)</f>
        <v>1</v>
      </c>
      <c r="G574" s="0" t="n">
        <f aca="false">VLOOKUP(E574,Sheet1!$A$2:$B$25,2,0)</f>
        <v>0</v>
      </c>
    </row>
    <row r="575" customFormat="false" ht="15" hidden="false" customHeight="false" outlineLevel="0" collapsed="false">
      <c r="A575" s="11" t="n">
        <v>44585.875</v>
      </c>
      <c r="B575" s="0" t="n">
        <v>363.24</v>
      </c>
      <c r="C575" s="0" t="n">
        <f aca="false">WEEKDAY(A575,2)</f>
        <v>1</v>
      </c>
      <c r="D575" s="0" t="n">
        <f aca="false">DAY(A575)</f>
        <v>24</v>
      </c>
      <c r="E575" s="0" t="n">
        <f aca="false">HOUR(A575)</f>
        <v>21</v>
      </c>
      <c r="F575" s="0" t="n">
        <f aca="false">IF(C575&gt;=6,0,1)</f>
        <v>1</v>
      </c>
      <c r="G575" s="0" t="n">
        <f aca="false">VLOOKUP(E575,Sheet1!$A$2:$B$25,2,0)</f>
        <v>0</v>
      </c>
    </row>
    <row r="576" customFormat="false" ht="15" hidden="false" customHeight="false" outlineLevel="0" collapsed="false">
      <c r="A576" s="11" t="n">
        <v>44585.9166666667</v>
      </c>
      <c r="B576" s="0" t="n">
        <v>342.62</v>
      </c>
      <c r="C576" s="0" t="n">
        <f aca="false">WEEKDAY(A576,2)</f>
        <v>1</v>
      </c>
      <c r="D576" s="0" t="n">
        <f aca="false">DAY(A576)</f>
        <v>24</v>
      </c>
      <c r="E576" s="0" t="n">
        <f aca="false">HOUR(A576)</f>
        <v>22</v>
      </c>
      <c r="F576" s="0" t="n">
        <f aca="false">IF(C576&gt;=6,0,1)</f>
        <v>1</v>
      </c>
      <c r="G576" s="0" t="n">
        <f aca="false">VLOOKUP(E576,Sheet1!$A$2:$B$25,2,0)</f>
        <v>0</v>
      </c>
    </row>
    <row r="577" customFormat="false" ht="15" hidden="false" customHeight="false" outlineLevel="0" collapsed="false">
      <c r="A577" s="11" t="n">
        <v>44585.9583333333</v>
      </c>
      <c r="B577" s="0" t="n">
        <v>333.1</v>
      </c>
      <c r="C577" s="0" t="n">
        <f aca="false">WEEKDAY(A577,2)</f>
        <v>1</v>
      </c>
      <c r="D577" s="0" t="n">
        <f aca="false">DAY(A577)</f>
        <v>24</v>
      </c>
      <c r="E577" s="0" t="n">
        <f aca="false">HOUR(A577)</f>
        <v>23</v>
      </c>
      <c r="F577" s="0" t="n">
        <f aca="false">IF(C577&gt;=6,0,1)</f>
        <v>1</v>
      </c>
      <c r="G577" s="0" t="n">
        <f aca="false">VLOOKUP(E577,Sheet1!$A$2:$B$25,2,0)</f>
        <v>0</v>
      </c>
    </row>
    <row r="578" customFormat="false" ht="15" hidden="false" customHeight="false" outlineLevel="0" collapsed="false">
      <c r="A578" s="11" t="n">
        <v>44586</v>
      </c>
      <c r="B578" s="0" t="n">
        <v>340.2</v>
      </c>
      <c r="C578" s="0" t="n">
        <f aca="false">WEEKDAY(A578,2)</f>
        <v>2</v>
      </c>
      <c r="D578" s="0" t="n">
        <f aca="false">DAY(A578)</f>
        <v>25</v>
      </c>
      <c r="E578" s="0" t="n">
        <f aca="false">HOUR(A578)</f>
        <v>0</v>
      </c>
      <c r="F578" s="0" t="n">
        <f aca="false">IF(C578&gt;=6,0,1)</f>
        <v>1</v>
      </c>
      <c r="G578" s="0" t="n">
        <f aca="false">VLOOKUP(E578,Sheet1!$A$2:$B$25,2,0)</f>
        <v>0</v>
      </c>
    </row>
    <row r="579" customFormat="false" ht="15" hidden="false" customHeight="false" outlineLevel="0" collapsed="false">
      <c r="A579" s="11" t="n">
        <v>44586.0416666667</v>
      </c>
      <c r="B579" s="0" t="n">
        <v>338.31</v>
      </c>
      <c r="C579" s="0" t="n">
        <f aca="false">WEEKDAY(A579,2)</f>
        <v>2</v>
      </c>
      <c r="D579" s="0" t="n">
        <f aca="false">DAY(A579)</f>
        <v>25</v>
      </c>
      <c r="E579" s="0" t="n">
        <f aca="false">HOUR(A579)</f>
        <v>1</v>
      </c>
      <c r="F579" s="0" t="n">
        <f aca="false">IF(C579&gt;=6,0,1)</f>
        <v>1</v>
      </c>
      <c r="G579" s="0" t="n">
        <f aca="false">VLOOKUP(E579,Sheet1!$A$2:$B$25,2,0)</f>
        <v>0</v>
      </c>
    </row>
    <row r="580" customFormat="false" ht="15" hidden="false" customHeight="false" outlineLevel="0" collapsed="false">
      <c r="A580" s="11" t="n">
        <v>44586.0833333333</v>
      </c>
      <c r="B580" s="0" t="n">
        <v>342.42</v>
      </c>
      <c r="C580" s="0" t="n">
        <f aca="false">WEEKDAY(A580,2)</f>
        <v>2</v>
      </c>
      <c r="D580" s="0" t="n">
        <f aca="false">DAY(A580)</f>
        <v>25</v>
      </c>
      <c r="E580" s="0" t="n">
        <f aca="false">HOUR(A580)</f>
        <v>2</v>
      </c>
      <c r="F580" s="0" t="n">
        <f aca="false">IF(C580&gt;=6,0,1)</f>
        <v>1</v>
      </c>
      <c r="G580" s="0" t="n">
        <f aca="false">VLOOKUP(E580,Sheet1!$A$2:$B$25,2,0)</f>
        <v>0</v>
      </c>
    </row>
    <row r="581" customFormat="false" ht="15" hidden="false" customHeight="false" outlineLevel="0" collapsed="false">
      <c r="A581" s="11" t="n">
        <v>44586.125</v>
      </c>
      <c r="B581" s="0" t="n">
        <v>379.39</v>
      </c>
      <c r="C581" s="0" t="n">
        <f aca="false">WEEKDAY(A581,2)</f>
        <v>2</v>
      </c>
      <c r="D581" s="0" t="n">
        <f aca="false">DAY(A581)</f>
        <v>25</v>
      </c>
      <c r="E581" s="0" t="n">
        <f aca="false">HOUR(A581)</f>
        <v>3</v>
      </c>
      <c r="F581" s="0" t="n">
        <f aca="false">IF(C581&gt;=6,0,1)</f>
        <v>1</v>
      </c>
      <c r="G581" s="0" t="n">
        <f aca="false">VLOOKUP(E581,Sheet1!$A$2:$B$25,2,0)</f>
        <v>0</v>
      </c>
    </row>
    <row r="582" customFormat="false" ht="15" hidden="false" customHeight="false" outlineLevel="0" collapsed="false">
      <c r="A582" s="11" t="n">
        <v>44586.1666666667</v>
      </c>
      <c r="B582" s="0" t="n">
        <v>737.74</v>
      </c>
      <c r="C582" s="0" t="n">
        <f aca="false">WEEKDAY(A582,2)</f>
        <v>2</v>
      </c>
      <c r="D582" s="0" t="n">
        <f aca="false">DAY(A582)</f>
        <v>25</v>
      </c>
      <c r="E582" s="0" t="n">
        <f aca="false">HOUR(A582)</f>
        <v>4</v>
      </c>
      <c r="F582" s="0" t="n">
        <f aca="false">IF(C582&gt;=6,0,1)</f>
        <v>1</v>
      </c>
      <c r="G582" s="0" t="n">
        <f aca="false">VLOOKUP(E582,Sheet1!$A$2:$B$25,2,0)</f>
        <v>1</v>
      </c>
    </row>
    <row r="583" customFormat="false" ht="15" hidden="false" customHeight="false" outlineLevel="0" collapsed="false">
      <c r="A583" s="11" t="n">
        <v>44586.2083333333</v>
      </c>
      <c r="B583" s="0" t="n">
        <v>741.01</v>
      </c>
      <c r="C583" s="0" t="n">
        <f aca="false">WEEKDAY(A583,2)</f>
        <v>2</v>
      </c>
      <c r="D583" s="0" t="n">
        <f aca="false">DAY(A583)</f>
        <v>25</v>
      </c>
      <c r="E583" s="0" t="n">
        <f aca="false">HOUR(A583)</f>
        <v>5</v>
      </c>
      <c r="F583" s="0" t="n">
        <f aca="false">IF(C583&gt;=6,0,1)</f>
        <v>1</v>
      </c>
      <c r="G583" s="0" t="n">
        <f aca="false">VLOOKUP(E583,Sheet1!$A$2:$B$25,2,0)</f>
        <v>1</v>
      </c>
    </row>
    <row r="584" customFormat="false" ht="15" hidden="false" customHeight="false" outlineLevel="0" collapsed="false">
      <c r="A584" s="11" t="n">
        <v>44586.25</v>
      </c>
      <c r="B584" s="0" t="n">
        <v>850.02</v>
      </c>
      <c r="C584" s="0" t="n">
        <f aca="false">WEEKDAY(A584,2)</f>
        <v>2</v>
      </c>
      <c r="D584" s="0" t="n">
        <f aca="false">DAY(A584)</f>
        <v>25</v>
      </c>
      <c r="E584" s="0" t="n">
        <f aca="false">HOUR(A584)</f>
        <v>6</v>
      </c>
      <c r="F584" s="0" t="n">
        <f aca="false">IF(C584&gt;=6,0,1)</f>
        <v>1</v>
      </c>
      <c r="G584" s="0" t="n">
        <f aca="false">VLOOKUP(E584,Sheet1!$A$2:$B$25,2,0)</f>
        <v>1</v>
      </c>
    </row>
    <row r="585" customFormat="false" ht="15" hidden="false" customHeight="false" outlineLevel="0" collapsed="false">
      <c r="A585" s="11" t="n">
        <v>44586.2916666667</v>
      </c>
      <c r="B585" s="0" t="n">
        <v>904.54</v>
      </c>
      <c r="C585" s="0" t="n">
        <f aca="false">WEEKDAY(A585,2)</f>
        <v>2</v>
      </c>
      <c r="D585" s="0" t="n">
        <f aca="false">DAY(A585)</f>
        <v>25</v>
      </c>
      <c r="E585" s="0" t="n">
        <f aca="false">HOUR(A585)</f>
        <v>7</v>
      </c>
      <c r="F585" s="0" t="n">
        <f aca="false">IF(C585&gt;=6,0,1)</f>
        <v>1</v>
      </c>
      <c r="G585" s="0" t="n">
        <f aca="false">VLOOKUP(E585,Sheet1!$A$2:$B$25,2,0)</f>
        <v>1</v>
      </c>
    </row>
    <row r="586" customFormat="false" ht="15" hidden="false" customHeight="false" outlineLevel="0" collapsed="false">
      <c r="A586" s="11" t="n">
        <v>44586.3333333333</v>
      </c>
      <c r="B586" s="0" t="n">
        <v>939.66</v>
      </c>
      <c r="C586" s="0" t="n">
        <f aca="false">WEEKDAY(A586,2)</f>
        <v>2</v>
      </c>
      <c r="D586" s="0" t="n">
        <f aca="false">DAY(A586)</f>
        <v>25</v>
      </c>
      <c r="E586" s="0" t="n">
        <f aca="false">HOUR(A586)</f>
        <v>8</v>
      </c>
      <c r="F586" s="0" t="n">
        <f aca="false">IF(C586&gt;=6,0,1)</f>
        <v>1</v>
      </c>
      <c r="G586" s="0" t="n">
        <f aca="false">VLOOKUP(E586,Sheet1!$A$2:$B$25,2,0)</f>
        <v>1</v>
      </c>
    </row>
    <row r="587" customFormat="false" ht="15" hidden="false" customHeight="false" outlineLevel="0" collapsed="false">
      <c r="A587" s="11" t="n">
        <v>44586.375</v>
      </c>
      <c r="B587" s="0" t="n">
        <v>969.63</v>
      </c>
      <c r="C587" s="0" t="n">
        <f aca="false">WEEKDAY(A587,2)</f>
        <v>2</v>
      </c>
      <c r="D587" s="0" t="n">
        <f aca="false">DAY(A587)</f>
        <v>25</v>
      </c>
      <c r="E587" s="0" t="n">
        <f aca="false">HOUR(A587)</f>
        <v>9</v>
      </c>
      <c r="F587" s="0" t="n">
        <f aca="false">IF(C587&gt;=6,0,1)</f>
        <v>1</v>
      </c>
      <c r="G587" s="0" t="n">
        <f aca="false">VLOOKUP(E587,Sheet1!$A$2:$B$25,2,0)</f>
        <v>1</v>
      </c>
    </row>
    <row r="588" customFormat="false" ht="15" hidden="false" customHeight="false" outlineLevel="0" collapsed="false">
      <c r="A588" s="11" t="n">
        <v>44586.4166666667</v>
      </c>
      <c r="B588" s="0" t="n">
        <v>897.88</v>
      </c>
      <c r="C588" s="0" t="n">
        <f aca="false">WEEKDAY(A588,2)</f>
        <v>2</v>
      </c>
      <c r="D588" s="0" t="n">
        <f aca="false">DAY(A588)</f>
        <v>25</v>
      </c>
      <c r="E588" s="0" t="n">
        <f aca="false">HOUR(A588)</f>
        <v>10</v>
      </c>
      <c r="F588" s="0" t="n">
        <f aca="false">IF(C588&gt;=6,0,1)</f>
        <v>1</v>
      </c>
      <c r="G588" s="0" t="n">
        <f aca="false">VLOOKUP(E588,Sheet1!$A$2:$B$25,2,0)</f>
        <v>1</v>
      </c>
    </row>
    <row r="589" customFormat="false" ht="15" hidden="false" customHeight="false" outlineLevel="0" collapsed="false">
      <c r="A589" s="11" t="n">
        <v>44586.4583333333</v>
      </c>
      <c r="B589" s="0" t="n">
        <v>848.9</v>
      </c>
      <c r="C589" s="0" t="n">
        <f aca="false">WEEKDAY(A589,2)</f>
        <v>2</v>
      </c>
      <c r="D589" s="0" t="n">
        <f aca="false">DAY(A589)</f>
        <v>25</v>
      </c>
      <c r="E589" s="0" t="n">
        <f aca="false">HOUR(A589)</f>
        <v>11</v>
      </c>
      <c r="F589" s="0" t="n">
        <f aca="false">IF(C589&gt;=6,0,1)</f>
        <v>1</v>
      </c>
      <c r="G589" s="0" t="n">
        <f aca="false">VLOOKUP(E589,Sheet1!$A$2:$B$25,2,0)</f>
        <v>1</v>
      </c>
    </row>
    <row r="590" customFormat="false" ht="15" hidden="false" customHeight="false" outlineLevel="0" collapsed="false">
      <c r="A590" s="11" t="n">
        <v>44586.5</v>
      </c>
      <c r="B590" s="0" t="n">
        <v>842.28</v>
      </c>
      <c r="C590" s="0" t="n">
        <f aca="false">WEEKDAY(A590,2)</f>
        <v>2</v>
      </c>
      <c r="D590" s="0" t="n">
        <f aca="false">DAY(A590)</f>
        <v>25</v>
      </c>
      <c r="E590" s="0" t="n">
        <f aca="false">HOUR(A590)</f>
        <v>12</v>
      </c>
      <c r="F590" s="0" t="n">
        <f aca="false">IF(C590&gt;=6,0,1)</f>
        <v>1</v>
      </c>
      <c r="G590" s="0" t="n">
        <f aca="false">VLOOKUP(E590,Sheet1!$A$2:$B$25,2,0)</f>
        <v>1</v>
      </c>
    </row>
    <row r="591" customFormat="false" ht="15" hidden="false" customHeight="false" outlineLevel="0" collapsed="false">
      <c r="A591" s="11" t="n">
        <v>44586.5416666667</v>
      </c>
      <c r="B591" s="0" t="n">
        <v>873.95</v>
      </c>
      <c r="C591" s="0" t="n">
        <f aca="false">WEEKDAY(A591,2)</f>
        <v>2</v>
      </c>
      <c r="D591" s="0" t="n">
        <f aca="false">DAY(A591)</f>
        <v>25</v>
      </c>
      <c r="E591" s="0" t="n">
        <f aca="false">HOUR(A591)</f>
        <v>13</v>
      </c>
      <c r="F591" s="0" t="n">
        <f aca="false">IF(C591&gt;=6,0,1)</f>
        <v>1</v>
      </c>
      <c r="G591" s="0" t="n">
        <f aca="false">VLOOKUP(E591,Sheet1!$A$2:$B$25,2,0)</f>
        <v>1</v>
      </c>
    </row>
    <row r="592" customFormat="false" ht="15" hidden="false" customHeight="false" outlineLevel="0" collapsed="false">
      <c r="A592" s="11" t="n">
        <v>44586.5833333333</v>
      </c>
      <c r="B592" s="0" t="n">
        <v>703.21</v>
      </c>
      <c r="C592" s="0" t="n">
        <f aca="false">WEEKDAY(A592,2)</f>
        <v>2</v>
      </c>
      <c r="D592" s="0" t="n">
        <f aca="false">DAY(A592)</f>
        <v>25</v>
      </c>
      <c r="E592" s="0" t="n">
        <f aca="false">HOUR(A592)</f>
        <v>14</v>
      </c>
      <c r="F592" s="0" t="n">
        <f aca="false">IF(C592&gt;=6,0,1)</f>
        <v>1</v>
      </c>
      <c r="G592" s="0" t="n">
        <f aca="false">VLOOKUP(E592,Sheet1!$A$2:$B$25,2,0)</f>
        <v>1</v>
      </c>
    </row>
    <row r="593" customFormat="false" ht="15" hidden="false" customHeight="false" outlineLevel="0" collapsed="false">
      <c r="A593" s="11" t="n">
        <v>44586.625</v>
      </c>
      <c r="B593" s="0" t="n">
        <v>453.69</v>
      </c>
      <c r="C593" s="0" t="n">
        <f aca="false">WEEKDAY(A593,2)</f>
        <v>2</v>
      </c>
      <c r="D593" s="0" t="n">
        <f aca="false">DAY(A593)</f>
        <v>25</v>
      </c>
      <c r="E593" s="0" t="n">
        <f aca="false">HOUR(A593)</f>
        <v>15</v>
      </c>
      <c r="F593" s="0" t="n">
        <f aca="false">IF(C593&gt;=6,0,1)</f>
        <v>1</v>
      </c>
      <c r="G593" s="0" t="n">
        <f aca="false">VLOOKUP(E593,Sheet1!$A$2:$B$25,2,0)</f>
        <v>1</v>
      </c>
    </row>
    <row r="594" customFormat="false" ht="15" hidden="false" customHeight="false" outlineLevel="0" collapsed="false">
      <c r="A594" s="11" t="n">
        <v>44586.6666666667</v>
      </c>
      <c r="B594" s="0" t="n">
        <v>389.61</v>
      </c>
      <c r="C594" s="0" t="n">
        <f aca="false">WEEKDAY(A594,2)</f>
        <v>2</v>
      </c>
      <c r="D594" s="0" t="n">
        <f aca="false">DAY(A594)</f>
        <v>25</v>
      </c>
      <c r="E594" s="0" t="n">
        <f aca="false">HOUR(A594)</f>
        <v>16</v>
      </c>
      <c r="F594" s="0" t="n">
        <f aca="false">IF(C594&gt;=6,0,1)</f>
        <v>1</v>
      </c>
      <c r="G594" s="0" t="n">
        <f aca="false">VLOOKUP(E594,Sheet1!$A$2:$B$25,2,0)</f>
        <v>0</v>
      </c>
    </row>
    <row r="595" customFormat="false" ht="15" hidden="false" customHeight="false" outlineLevel="0" collapsed="false">
      <c r="A595" s="11" t="n">
        <v>44586.7083333333</v>
      </c>
      <c r="B595" s="0" t="n">
        <v>388.91</v>
      </c>
      <c r="C595" s="0" t="n">
        <f aca="false">WEEKDAY(A595,2)</f>
        <v>2</v>
      </c>
      <c r="D595" s="0" t="n">
        <f aca="false">DAY(A595)</f>
        <v>25</v>
      </c>
      <c r="E595" s="0" t="n">
        <f aca="false">HOUR(A595)</f>
        <v>17</v>
      </c>
      <c r="F595" s="0" t="n">
        <f aca="false">IF(C595&gt;=6,0,1)</f>
        <v>1</v>
      </c>
      <c r="G595" s="0" t="n">
        <f aca="false">VLOOKUP(E595,Sheet1!$A$2:$B$25,2,0)</f>
        <v>0</v>
      </c>
    </row>
    <row r="596" customFormat="false" ht="15" hidden="false" customHeight="false" outlineLevel="0" collapsed="false">
      <c r="A596" s="11" t="n">
        <v>44586.75</v>
      </c>
      <c r="B596" s="0" t="n">
        <v>382.06</v>
      </c>
      <c r="C596" s="0" t="n">
        <f aca="false">WEEKDAY(A596,2)</f>
        <v>2</v>
      </c>
      <c r="D596" s="0" t="n">
        <f aca="false">DAY(A596)</f>
        <v>25</v>
      </c>
      <c r="E596" s="0" t="n">
        <f aca="false">HOUR(A596)</f>
        <v>18</v>
      </c>
      <c r="F596" s="0" t="n">
        <f aca="false">IF(C596&gt;=6,0,1)</f>
        <v>1</v>
      </c>
      <c r="G596" s="0" t="n">
        <f aca="false">VLOOKUP(E596,Sheet1!$A$2:$B$25,2,0)</f>
        <v>0</v>
      </c>
    </row>
    <row r="597" customFormat="false" ht="15" hidden="false" customHeight="false" outlineLevel="0" collapsed="false">
      <c r="A597" s="11" t="n">
        <v>44586.7916666667</v>
      </c>
      <c r="B597" s="0" t="n">
        <v>370.62</v>
      </c>
      <c r="C597" s="0" t="n">
        <f aca="false">WEEKDAY(A597,2)</f>
        <v>2</v>
      </c>
      <c r="D597" s="0" t="n">
        <f aca="false">DAY(A597)</f>
        <v>25</v>
      </c>
      <c r="E597" s="0" t="n">
        <f aca="false">HOUR(A597)</f>
        <v>19</v>
      </c>
      <c r="F597" s="0" t="n">
        <f aca="false">IF(C597&gt;=6,0,1)</f>
        <v>1</v>
      </c>
      <c r="G597" s="0" t="n">
        <f aca="false">VLOOKUP(E597,Sheet1!$A$2:$B$25,2,0)</f>
        <v>0</v>
      </c>
    </row>
    <row r="598" customFormat="false" ht="15" hidden="false" customHeight="false" outlineLevel="0" collapsed="false">
      <c r="A598" s="11" t="n">
        <v>44586.8333333333</v>
      </c>
      <c r="B598" s="0" t="n">
        <v>366.94</v>
      </c>
      <c r="C598" s="0" t="n">
        <f aca="false">WEEKDAY(A598,2)</f>
        <v>2</v>
      </c>
      <c r="D598" s="0" t="n">
        <f aca="false">DAY(A598)</f>
        <v>25</v>
      </c>
      <c r="E598" s="0" t="n">
        <f aca="false">HOUR(A598)</f>
        <v>20</v>
      </c>
      <c r="F598" s="0" t="n">
        <f aca="false">IF(C598&gt;=6,0,1)</f>
        <v>1</v>
      </c>
      <c r="G598" s="0" t="n">
        <f aca="false">VLOOKUP(E598,Sheet1!$A$2:$B$25,2,0)</f>
        <v>0</v>
      </c>
    </row>
    <row r="599" customFormat="false" ht="15" hidden="false" customHeight="false" outlineLevel="0" collapsed="false">
      <c r="A599" s="11" t="n">
        <v>44586.875</v>
      </c>
      <c r="B599" s="0" t="n">
        <v>362.34</v>
      </c>
      <c r="C599" s="0" t="n">
        <f aca="false">WEEKDAY(A599,2)</f>
        <v>2</v>
      </c>
      <c r="D599" s="0" t="n">
        <f aca="false">DAY(A599)</f>
        <v>25</v>
      </c>
      <c r="E599" s="0" t="n">
        <f aca="false">HOUR(A599)</f>
        <v>21</v>
      </c>
      <c r="F599" s="0" t="n">
        <f aca="false">IF(C599&gt;=6,0,1)</f>
        <v>1</v>
      </c>
      <c r="G599" s="0" t="n">
        <f aca="false">VLOOKUP(E599,Sheet1!$A$2:$B$25,2,0)</f>
        <v>0</v>
      </c>
    </row>
    <row r="600" customFormat="false" ht="15" hidden="false" customHeight="false" outlineLevel="0" collapsed="false">
      <c r="A600" s="11" t="n">
        <v>44586.9166666667</v>
      </c>
      <c r="B600" s="0" t="n">
        <v>355.52</v>
      </c>
      <c r="C600" s="0" t="n">
        <f aca="false">WEEKDAY(A600,2)</f>
        <v>2</v>
      </c>
      <c r="D600" s="0" t="n">
        <f aca="false">DAY(A600)</f>
        <v>25</v>
      </c>
      <c r="E600" s="0" t="n">
        <f aca="false">HOUR(A600)</f>
        <v>22</v>
      </c>
      <c r="F600" s="0" t="n">
        <f aca="false">IF(C600&gt;=6,0,1)</f>
        <v>1</v>
      </c>
      <c r="G600" s="0" t="n">
        <f aca="false">VLOOKUP(E600,Sheet1!$A$2:$B$25,2,0)</f>
        <v>0</v>
      </c>
    </row>
    <row r="601" customFormat="false" ht="15" hidden="false" customHeight="false" outlineLevel="0" collapsed="false">
      <c r="A601" s="11" t="n">
        <v>44586.9583333333</v>
      </c>
      <c r="B601" s="0" t="n">
        <v>354.01</v>
      </c>
      <c r="C601" s="0" t="n">
        <f aca="false">WEEKDAY(A601,2)</f>
        <v>2</v>
      </c>
      <c r="D601" s="0" t="n">
        <f aca="false">DAY(A601)</f>
        <v>25</v>
      </c>
      <c r="E601" s="0" t="n">
        <f aca="false">HOUR(A601)</f>
        <v>23</v>
      </c>
      <c r="F601" s="0" t="n">
        <f aca="false">IF(C601&gt;=6,0,1)</f>
        <v>1</v>
      </c>
      <c r="G601" s="0" t="n">
        <f aca="false">VLOOKUP(E601,Sheet1!$A$2:$B$25,2,0)</f>
        <v>0</v>
      </c>
    </row>
    <row r="602" customFormat="false" ht="15" hidden="false" customHeight="false" outlineLevel="0" collapsed="false">
      <c r="A602" s="11" t="n">
        <v>44587</v>
      </c>
      <c r="B602" s="0" t="n">
        <v>357.24</v>
      </c>
      <c r="C602" s="0" t="n">
        <f aca="false">WEEKDAY(A602,2)</f>
        <v>3</v>
      </c>
      <c r="D602" s="0" t="n">
        <f aca="false">DAY(A602)</f>
        <v>26</v>
      </c>
      <c r="E602" s="0" t="n">
        <f aca="false">HOUR(A602)</f>
        <v>0</v>
      </c>
      <c r="F602" s="0" t="n">
        <f aca="false">IF(C602&gt;=6,0,1)</f>
        <v>1</v>
      </c>
      <c r="G602" s="0" t="n">
        <f aca="false">VLOOKUP(E602,Sheet1!$A$2:$B$25,2,0)</f>
        <v>0</v>
      </c>
    </row>
    <row r="603" customFormat="false" ht="15" hidden="false" customHeight="false" outlineLevel="0" collapsed="false">
      <c r="A603" s="11" t="n">
        <v>44587.0416666667</v>
      </c>
      <c r="B603" s="0" t="n">
        <v>357.68</v>
      </c>
      <c r="C603" s="0" t="n">
        <f aca="false">WEEKDAY(A603,2)</f>
        <v>3</v>
      </c>
      <c r="D603" s="0" t="n">
        <f aca="false">DAY(A603)</f>
        <v>26</v>
      </c>
      <c r="E603" s="0" t="n">
        <f aca="false">HOUR(A603)</f>
        <v>1</v>
      </c>
      <c r="F603" s="0" t="n">
        <f aca="false">IF(C603&gt;=6,0,1)</f>
        <v>1</v>
      </c>
      <c r="G603" s="0" t="n">
        <f aca="false">VLOOKUP(E603,Sheet1!$A$2:$B$25,2,0)</f>
        <v>0</v>
      </c>
    </row>
    <row r="604" customFormat="false" ht="15" hidden="false" customHeight="false" outlineLevel="0" collapsed="false">
      <c r="A604" s="11" t="n">
        <v>44587.0833333333</v>
      </c>
      <c r="B604" s="0" t="n">
        <v>362.32</v>
      </c>
      <c r="C604" s="0" t="n">
        <f aca="false">WEEKDAY(A604,2)</f>
        <v>3</v>
      </c>
      <c r="D604" s="0" t="n">
        <f aca="false">DAY(A604)</f>
        <v>26</v>
      </c>
      <c r="E604" s="0" t="n">
        <f aca="false">HOUR(A604)</f>
        <v>2</v>
      </c>
      <c r="F604" s="0" t="n">
        <f aca="false">IF(C604&gt;=6,0,1)</f>
        <v>1</v>
      </c>
      <c r="G604" s="0" t="n">
        <f aca="false">VLOOKUP(E604,Sheet1!$A$2:$B$25,2,0)</f>
        <v>0</v>
      </c>
    </row>
    <row r="605" customFormat="false" ht="15" hidden="false" customHeight="false" outlineLevel="0" collapsed="false">
      <c r="A605" s="11" t="n">
        <v>44587.125</v>
      </c>
      <c r="B605" s="0" t="n">
        <v>373.87</v>
      </c>
      <c r="C605" s="0" t="n">
        <f aca="false">WEEKDAY(A605,2)</f>
        <v>3</v>
      </c>
      <c r="D605" s="0" t="n">
        <f aca="false">DAY(A605)</f>
        <v>26</v>
      </c>
      <c r="E605" s="0" t="n">
        <f aca="false">HOUR(A605)</f>
        <v>3</v>
      </c>
      <c r="F605" s="0" t="n">
        <f aca="false">IF(C605&gt;=6,0,1)</f>
        <v>1</v>
      </c>
      <c r="G605" s="0" t="n">
        <f aca="false">VLOOKUP(E605,Sheet1!$A$2:$B$25,2,0)</f>
        <v>0</v>
      </c>
    </row>
    <row r="606" customFormat="false" ht="15" hidden="false" customHeight="false" outlineLevel="0" collapsed="false">
      <c r="A606" s="11" t="n">
        <v>44587.1666666667</v>
      </c>
      <c r="B606" s="0" t="n">
        <v>789.72</v>
      </c>
      <c r="C606" s="0" t="n">
        <f aca="false">WEEKDAY(A606,2)</f>
        <v>3</v>
      </c>
      <c r="D606" s="0" t="n">
        <f aca="false">DAY(A606)</f>
        <v>26</v>
      </c>
      <c r="E606" s="0" t="n">
        <f aca="false">HOUR(A606)</f>
        <v>4</v>
      </c>
      <c r="F606" s="0" t="n">
        <f aca="false">IF(C606&gt;=6,0,1)</f>
        <v>1</v>
      </c>
      <c r="G606" s="0" t="n">
        <f aca="false">VLOOKUP(E606,Sheet1!$A$2:$B$25,2,0)</f>
        <v>1</v>
      </c>
    </row>
    <row r="607" customFormat="false" ht="15" hidden="false" customHeight="false" outlineLevel="0" collapsed="false">
      <c r="A607" s="11" t="n">
        <v>44587.2083333333</v>
      </c>
      <c r="B607" s="0" t="n">
        <v>736.92</v>
      </c>
      <c r="C607" s="0" t="n">
        <f aca="false">WEEKDAY(A607,2)</f>
        <v>3</v>
      </c>
      <c r="D607" s="0" t="n">
        <f aca="false">DAY(A607)</f>
        <v>26</v>
      </c>
      <c r="E607" s="0" t="n">
        <f aca="false">HOUR(A607)</f>
        <v>5</v>
      </c>
      <c r="F607" s="0" t="n">
        <f aca="false">IF(C607&gt;=6,0,1)</f>
        <v>1</v>
      </c>
      <c r="G607" s="0" t="n">
        <f aca="false">VLOOKUP(E607,Sheet1!$A$2:$B$25,2,0)</f>
        <v>1</v>
      </c>
    </row>
    <row r="608" customFormat="false" ht="15" hidden="false" customHeight="false" outlineLevel="0" collapsed="false">
      <c r="A608" s="11" t="n">
        <v>44587.25</v>
      </c>
      <c r="B608" s="0" t="n">
        <v>861.47</v>
      </c>
      <c r="C608" s="0" t="n">
        <f aca="false">WEEKDAY(A608,2)</f>
        <v>3</v>
      </c>
      <c r="D608" s="0" t="n">
        <f aca="false">DAY(A608)</f>
        <v>26</v>
      </c>
      <c r="E608" s="0" t="n">
        <f aca="false">HOUR(A608)</f>
        <v>6</v>
      </c>
      <c r="F608" s="0" t="n">
        <f aca="false">IF(C608&gt;=6,0,1)</f>
        <v>1</v>
      </c>
      <c r="G608" s="0" t="n">
        <f aca="false">VLOOKUP(E608,Sheet1!$A$2:$B$25,2,0)</f>
        <v>1</v>
      </c>
    </row>
    <row r="609" customFormat="false" ht="15" hidden="false" customHeight="false" outlineLevel="0" collapsed="false">
      <c r="A609" s="11" t="n">
        <v>44587.2916666667</v>
      </c>
      <c r="B609" s="0" t="n">
        <v>897.32</v>
      </c>
      <c r="C609" s="0" t="n">
        <f aca="false">WEEKDAY(A609,2)</f>
        <v>3</v>
      </c>
      <c r="D609" s="0" t="n">
        <f aca="false">DAY(A609)</f>
        <v>26</v>
      </c>
      <c r="E609" s="0" t="n">
        <f aca="false">HOUR(A609)</f>
        <v>7</v>
      </c>
      <c r="F609" s="0" t="n">
        <f aca="false">IF(C609&gt;=6,0,1)</f>
        <v>1</v>
      </c>
      <c r="G609" s="0" t="n">
        <f aca="false">VLOOKUP(E609,Sheet1!$A$2:$B$25,2,0)</f>
        <v>1</v>
      </c>
    </row>
    <row r="610" customFormat="false" ht="15" hidden="false" customHeight="false" outlineLevel="0" collapsed="false">
      <c r="A610" s="11" t="n">
        <v>44587.3333333333</v>
      </c>
      <c r="B610" s="0" t="n">
        <v>918.06</v>
      </c>
      <c r="C610" s="0" t="n">
        <f aca="false">WEEKDAY(A610,2)</f>
        <v>3</v>
      </c>
      <c r="D610" s="0" t="n">
        <f aca="false">DAY(A610)</f>
        <v>26</v>
      </c>
      <c r="E610" s="0" t="n">
        <f aca="false">HOUR(A610)</f>
        <v>8</v>
      </c>
      <c r="F610" s="0" t="n">
        <f aca="false">IF(C610&gt;=6,0,1)</f>
        <v>1</v>
      </c>
      <c r="G610" s="0" t="n">
        <f aca="false">VLOOKUP(E610,Sheet1!$A$2:$B$25,2,0)</f>
        <v>1</v>
      </c>
    </row>
    <row r="611" customFormat="false" ht="15" hidden="false" customHeight="false" outlineLevel="0" collapsed="false">
      <c r="A611" s="11" t="n">
        <v>44587.375</v>
      </c>
      <c r="B611" s="0" t="n">
        <v>881.47</v>
      </c>
      <c r="C611" s="0" t="n">
        <f aca="false">WEEKDAY(A611,2)</f>
        <v>3</v>
      </c>
      <c r="D611" s="0" t="n">
        <f aca="false">DAY(A611)</f>
        <v>26</v>
      </c>
      <c r="E611" s="0" t="n">
        <f aca="false">HOUR(A611)</f>
        <v>9</v>
      </c>
      <c r="F611" s="0" t="n">
        <f aca="false">IF(C611&gt;=6,0,1)</f>
        <v>1</v>
      </c>
      <c r="G611" s="0" t="n">
        <f aca="false">VLOOKUP(E611,Sheet1!$A$2:$B$25,2,0)</f>
        <v>1</v>
      </c>
    </row>
    <row r="612" customFormat="false" ht="15" hidden="false" customHeight="false" outlineLevel="0" collapsed="false">
      <c r="A612" s="11" t="n">
        <v>44587.4166666667</v>
      </c>
      <c r="B612" s="0" t="n">
        <v>737.01</v>
      </c>
      <c r="C612" s="0" t="n">
        <f aca="false">WEEKDAY(A612,2)</f>
        <v>3</v>
      </c>
      <c r="D612" s="0" t="n">
        <f aca="false">DAY(A612)</f>
        <v>26</v>
      </c>
      <c r="E612" s="0" t="n">
        <f aca="false">HOUR(A612)</f>
        <v>10</v>
      </c>
      <c r="F612" s="0" t="n">
        <f aca="false">IF(C612&gt;=6,0,1)</f>
        <v>1</v>
      </c>
      <c r="G612" s="0" t="n">
        <f aca="false">VLOOKUP(E612,Sheet1!$A$2:$B$25,2,0)</f>
        <v>1</v>
      </c>
    </row>
    <row r="613" customFormat="false" ht="15" hidden="false" customHeight="false" outlineLevel="0" collapsed="false">
      <c r="A613" s="11" t="n">
        <v>44587.4583333333</v>
      </c>
      <c r="B613" s="0" t="n">
        <v>674.6</v>
      </c>
      <c r="C613" s="0" t="n">
        <f aca="false">WEEKDAY(A613,2)</f>
        <v>3</v>
      </c>
      <c r="D613" s="0" t="n">
        <f aca="false">DAY(A613)</f>
        <v>26</v>
      </c>
      <c r="E613" s="0" t="n">
        <f aca="false">HOUR(A613)</f>
        <v>11</v>
      </c>
      <c r="F613" s="0" t="n">
        <f aca="false">IF(C613&gt;=6,0,1)</f>
        <v>1</v>
      </c>
      <c r="G613" s="0" t="n">
        <f aca="false">VLOOKUP(E613,Sheet1!$A$2:$B$25,2,0)</f>
        <v>1</v>
      </c>
    </row>
    <row r="614" customFormat="false" ht="15" hidden="false" customHeight="false" outlineLevel="0" collapsed="false">
      <c r="A614" s="11" t="n">
        <v>44587.5</v>
      </c>
      <c r="B614" s="0" t="n">
        <v>736.19</v>
      </c>
      <c r="C614" s="0" t="n">
        <f aca="false">WEEKDAY(A614,2)</f>
        <v>3</v>
      </c>
      <c r="D614" s="0" t="n">
        <f aca="false">DAY(A614)</f>
        <v>26</v>
      </c>
      <c r="E614" s="0" t="n">
        <f aca="false">HOUR(A614)</f>
        <v>12</v>
      </c>
      <c r="F614" s="0" t="n">
        <f aca="false">IF(C614&gt;=6,0,1)</f>
        <v>1</v>
      </c>
      <c r="G614" s="0" t="n">
        <f aca="false">VLOOKUP(E614,Sheet1!$A$2:$B$25,2,0)</f>
        <v>1</v>
      </c>
    </row>
    <row r="615" customFormat="false" ht="15" hidden="false" customHeight="false" outlineLevel="0" collapsed="false">
      <c r="A615" s="11" t="n">
        <v>44587.5416666667</v>
      </c>
      <c r="B615" s="0" t="n">
        <v>716.09</v>
      </c>
      <c r="C615" s="0" t="n">
        <f aca="false">WEEKDAY(A615,2)</f>
        <v>3</v>
      </c>
      <c r="D615" s="0" t="n">
        <f aca="false">DAY(A615)</f>
        <v>26</v>
      </c>
      <c r="E615" s="0" t="n">
        <f aca="false">HOUR(A615)</f>
        <v>13</v>
      </c>
      <c r="F615" s="0" t="n">
        <f aca="false">IF(C615&gt;=6,0,1)</f>
        <v>1</v>
      </c>
      <c r="G615" s="0" t="n">
        <f aca="false">VLOOKUP(E615,Sheet1!$A$2:$B$25,2,0)</f>
        <v>1</v>
      </c>
    </row>
    <row r="616" customFormat="false" ht="15" hidden="false" customHeight="false" outlineLevel="0" collapsed="false">
      <c r="A616" s="11" t="n">
        <v>44587.5833333333</v>
      </c>
      <c r="B616" s="0" t="n">
        <v>568.68</v>
      </c>
      <c r="C616" s="0" t="n">
        <f aca="false">WEEKDAY(A616,2)</f>
        <v>3</v>
      </c>
      <c r="D616" s="0" t="n">
        <f aca="false">DAY(A616)</f>
        <v>26</v>
      </c>
      <c r="E616" s="0" t="n">
        <f aca="false">HOUR(A616)</f>
        <v>14</v>
      </c>
      <c r="F616" s="0" t="n">
        <f aca="false">IF(C616&gt;=6,0,1)</f>
        <v>1</v>
      </c>
      <c r="G616" s="0" t="n">
        <f aca="false">VLOOKUP(E616,Sheet1!$A$2:$B$25,2,0)</f>
        <v>1</v>
      </c>
    </row>
    <row r="617" customFormat="false" ht="15" hidden="false" customHeight="false" outlineLevel="0" collapsed="false">
      <c r="A617" s="11" t="n">
        <v>44587.625</v>
      </c>
      <c r="B617" s="0" t="n">
        <v>508.21</v>
      </c>
      <c r="C617" s="0" t="n">
        <f aca="false">WEEKDAY(A617,2)</f>
        <v>3</v>
      </c>
      <c r="D617" s="0" t="n">
        <f aca="false">DAY(A617)</f>
        <v>26</v>
      </c>
      <c r="E617" s="0" t="n">
        <f aca="false">HOUR(A617)</f>
        <v>15</v>
      </c>
      <c r="F617" s="0" t="n">
        <f aca="false">IF(C617&gt;=6,0,1)</f>
        <v>1</v>
      </c>
      <c r="G617" s="0" t="n">
        <f aca="false">VLOOKUP(E617,Sheet1!$A$2:$B$25,2,0)</f>
        <v>1</v>
      </c>
    </row>
    <row r="618" customFormat="false" ht="15" hidden="false" customHeight="false" outlineLevel="0" collapsed="false">
      <c r="A618" s="11" t="n">
        <v>44587.6666666667</v>
      </c>
      <c r="B618" s="0" t="n">
        <v>430.25</v>
      </c>
      <c r="C618" s="0" t="n">
        <f aca="false">WEEKDAY(A618,2)</f>
        <v>3</v>
      </c>
      <c r="D618" s="0" t="n">
        <f aca="false">DAY(A618)</f>
        <v>26</v>
      </c>
      <c r="E618" s="0" t="n">
        <f aca="false">HOUR(A618)</f>
        <v>16</v>
      </c>
      <c r="F618" s="0" t="n">
        <f aca="false">IF(C618&gt;=6,0,1)</f>
        <v>1</v>
      </c>
      <c r="G618" s="0" t="n">
        <f aca="false">VLOOKUP(E618,Sheet1!$A$2:$B$25,2,0)</f>
        <v>0</v>
      </c>
    </row>
    <row r="619" customFormat="false" ht="15" hidden="false" customHeight="false" outlineLevel="0" collapsed="false">
      <c r="A619" s="11" t="n">
        <v>44587.7083333333</v>
      </c>
      <c r="B619" s="0" t="n">
        <v>395.59</v>
      </c>
      <c r="C619" s="0" t="n">
        <f aca="false">WEEKDAY(A619,2)</f>
        <v>3</v>
      </c>
      <c r="D619" s="0" t="n">
        <f aca="false">DAY(A619)</f>
        <v>26</v>
      </c>
      <c r="E619" s="0" t="n">
        <f aca="false">HOUR(A619)</f>
        <v>17</v>
      </c>
      <c r="F619" s="0" t="n">
        <f aca="false">IF(C619&gt;=6,0,1)</f>
        <v>1</v>
      </c>
      <c r="G619" s="0" t="n">
        <f aca="false">VLOOKUP(E619,Sheet1!$A$2:$B$25,2,0)</f>
        <v>0</v>
      </c>
    </row>
    <row r="620" customFormat="false" ht="15" hidden="false" customHeight="false" outlineLevel="0" collapsed="false">
      <c r="A620" s="11" t="n">
        <v>44587.75</v>
      </c>
      <c r="B620" s="0" t="n">
        <v>378.47</v>
      </c>
      <c r="C620" s="0" t="n">
        <f aca="false">WEEKDAY(A620,2)</f>
        <v>3</v>
      </c>
      <c r="D620" s="0" t="n">
        <f aca="false">DAY(A620)</f>
        <v>26</v>
      </c>
      <c r="E620" s="0" t="n">
        <f aca="false">HOUR(A620)</f>
        <v>18</v>
      </c>
      <c r="F620" s="0" t="n">
        <f aca="false">IF(C620&gt;=6,0,1)</f>
        <v>1</v>
      </c>
      <c r="G620" s="0" t="n">
        <f aca="false">VLOOKUP(E620,Sheet1!$A$2:$B$25,2,0)</f>
        <v>0</v>
      </c>
    </row>
    <row r="621" customFormat="false" ht="15" hidden="false" customHeight="false" outlineLevel="0" collapsed="false">
      <c r="A621" s="11" t="n">
        <v>44587.7916666667</v>
      </c>
      <c r="B621" s="0" t="n">
        <v>369.47</v>
      </c>
      <c r="C621" s="0" t="n">
        <f aca="false">WEEKDAY(A621,2)</f>
        <v>3</v>
      </c>
      <c r="D621" s="0" t="n">
        <f aca="false">DAY(A621)</f>
        <v>26</v>
      </c>
      <c r="E621" s="0" t="n">
        <f aca="false">HOUR(A621)</f>
        <v>19</v>
      </c>
      <c r="F621" s="0" t="n">
        <f aca="false">IF(C621&gt;=6,0,1)</f>
        <v>1</v>
      </c>
      <c r="G621" s="0" t="n">
        <f aca="false">VLOOKUP(E621,Sheet1!$A$2:$B$25,2,0)</f>
        <v>0</v>
      </c>
    </row>
    <row r="622" customFormat="false" ht="15" hidden="false" customHeight="false" outlineLevel="0" collapsed="false">
      <c r="A622" s="11" t="n">
        <v>44587.8333333333</v>
      </c>
      <c r="B622" s="0" t="n">
        <v>362.63</v>
      </c>
      <c r="C622" s="0" t="n">
        <f aca="false">WEEKDAY(A622,2)</f>
        <v>3</v>
      </c>
      <c r="D622" s="0" t="n">
        <f aca="false">DAY(A622)</f>
        <v>26</v>
      </c>
      <c r="E622" s="0" t="n">
        <f aca="false">HOUR(A622)</f>
        <v>20</v>
      </c>
      <c r="F622" s="0" t="n">
        <f aca="false">IF(C622&gt;=6,0,1)</f>
        <v>1</v>
      </c>
      <c r="G622" s="0" t="n">
        <f aca="false">VLOOKUP(E622,Sheet1!$A$2:$B$25,2,0)</f>
        <v>0</v>
      </c>
    </row>
    <row r="623" customFormat="false" ht="15" hidden="false" customHeight="false" outlineLevel="0" collapsed="false">
      <c r="A623" s="11" t="n">
        <v>44587.875</v>
      </c>
      <c r="B623" s="0" t="n">
        <v>353.87</v>
      </c>
      <c r="C623" s="0" t="n">
        <f aca="false">WEEKDAY(A623,2)</f>
        <v>3</v>
      </c>
      <c r="D623" s="0" t="n">
        <f aca="false">DAY(A623)</f>
        <v>26</v>
      </c>
      <c r="E623" s="0" t="n">
        <f aca="false">HOUR(A623)</f>
        <v>21</v>
      </c>
      <c r="F623" s="0" t="n">
        <f aca="false">IF(C623&gt;=6,0,1)</f>
        <v>1</v>
      </c>
      <c r="G623" s="0" t="n">
        <f aca="false">VLOOKUP(E623,Sheet1!$A$2:$B$25,2,0)</f>
        <v>0</v>
      </c>
    </row>
    <row r="624" customFormat="false" ht="15" hidden="false" customHeight="false" outlineLevel="0" collapsed="false">
      <c r="A624" s="11" t="n">
        <v>44587.9166666667</v>
      </c>
      <c r="B624" s="0" t="n">
        <v>347.04</v>
      </c>
      <c r="C624" s="0" t="n">
        <f aca="false">WEEKDAY(A624,2)</f>
        <v>3</v>
      </c>
      <c r="D624" s="0" t="n">
        <f aca="false">DAY(A624)</f>
        <v>26</v>
      </c>
      <c r="E624" s="0" t="n">
        <f aca="false">HOUR(A624)</f>
        <v>22</v>
      </c>
      <c r="F624" s="0" t="n">
        <f aca="false">IF(C624&gt;=6,0,1)</f>
        <v>1</v>
      </c>
      <c r="G624" s="0" t="n">
        <f aca="false">VLOOKUP(E624,Sheet1!$A$2:$B$25,2,0)</f>
        <v>0</v>
      </c>
    </row>
    <row r="625" customFormat="false" ht="15" hidden="false" customHeight="false" outlineLevel="0" collapsed="false">
      <c r="A625" s="11" t="n">
        <v>44587.9583333333</v>
      </c>
      <c r="B625" s="0" t="n">
        <v>338.73</v>
      </c>
      <c r="C625" s="0" t="n">
        <f aca="false">WEEKDAY(A625,2)</f>
        <v>3</v>
      </c>
      <c r="D625" s="0" t="n">
        <f aca="false">DAY(A625)</f>
        <v>26</v>
      </c>
      <c r="E625" s="0" t="n">
        <f aca="false">HOUR(A625)</f>
        <v>23</v>
      </c>
      <c r="F625" s="0" t="n">
        <f aca="false">IF(C625&gt;=6,0,1)</f>
        <v>1</v>
      </c>
      <c r="G625" s="0" t="n">
        <f aca="false">VLOOKUP(E625,Sheet1!$A$2:$B$25,2,0)</f>
        <v>0</v>
      </c>
    </row>
    <row r="626" customFormat="false" ht="15" hidden="false" customHeight="false" outlineLevel="0" collapsed="false">
      <c r="A626" s="11" t="n">
        <v>44588</v>
      </c>
      <c r="B626" s="0" t="n">
        <v>334.27</v>
      </c>
      <c r="C626" s="0" t="n">
        <f aca="false">WEEKDAY(A626,2)</f>
        <v>4</v>
      </c>
      <c r="D626" s="0" t="n">
        <f aca="false">DAY(A626)</f>
        <v>27</v>
      </c>
      <c r="E626" s="0" t="n">
        <f aca="false">HOUR(A626)</f>
        <v>0</v>
      </c>
      <c r="F626" s="0" t="n">
        <f aca="false">IF(C626&gt;=6,0,1)</f>
        <v>1</v>
      </c>
      <c r="G626" s="0" t="n">
        <f aca="false">VLOOKUP(E626,Sheet1!$A$2:$B$25,2,0)</f>
        <v>0</v>
      </c>
    </row>
    <row r="627" customFormat="false" ht="15" hidden="false" customHeight="false" outlineLevel="0" collapsed="false">
      <c r="A627" s="11" t="n">
        <v>44588.0416666667</v>
      </c>
      <c r="B627" s="0" t="n">
        <v>334.18</v>
      </c>
      <c r="C627" s="0" t="n">
        <f aca="false">WEEKDAY(A627,2)</f>
        <v>4</v>
      </c>
      <c r="D627" s="0" t="n">
        <f aca="false">DAY(A627)</f>
        <v>27</v>
      </c>
      <c r="E627" s="0" t="n">
        <f aca="false">HOUR(A627)</f>
        <v>1</v>
      </c>
      <c r="F627" s="0" t="n">
        <f aca="false">IF(C627&gt;=6,0,1)</f>
        <v>1</v>
      </c>
      <c r="G627" s="0" t="n">
        <f aca="false">VLOOKUP(E627,Sheet1!$A$2:$B$25,2,0)</f>
        <v>0</v>
      </c>
    </row>
    <row r="628" customFormat="false" ht="15" hidden="false" customHeight="false" outlineLevel="0" collapsed="false">
      <c r="A628" s="11" t="n">
        <v>44588.0833333333</v>
      </c>
      <c r="B628" s="0" t="n">
        <v>337.15</v>
      </c>
      <c r="C628" s="0" t="n">
        <f aca="false">WEEKDAY(A628,2)</f>
        <v>4</v>
      </c>
      <c r="D628" s="0" t="n">
        <f aca="false">DAY(A628)</f>
        <v>27</v>
      </c>
      <c r="E628" s="0" t="n">
        <f aca="false">HOUR(A628)</f>
        <v>2</v>
      </c>
      <c r="F628" s="0" t="n">
        <f aca="false">IF(C628&gt;=6,0,1)</f>
        <v>1</v>
      </c>
      <c r="G628" s="0" t="n">
        <f aca="false">VLOOKUP(E628,Sheet1!$A$2:$B$25,2,0)</f>
        <v>0</v>
      </c>
    </row>
    <row r="629" customFormat="false" ht="15" hidden="false" customHeight="false" outlineLevel="0" collapsed="false">
      <c r="A629" s="11" t="n">
        <v>44588.125</v>
      </c>
      <c r="B629" s="0" t="n">
        <v>337.22</v>
      </c>
      <c r="C629" s="0" t="n">
        <f aca="false">WEEKDAY(A629,2)</f>
        <v>4</v>
      </c>
      <c r="D629" s="0" t="n">
        <f aca="false">DAY(A629)</f>
        <v>27</v>
      </c>
      <c r="E629" s="0" t="n">
        <f aca="false">HOUR(A629)</f>
        <v>3</v>
      </c>
      <c r="F629" s="0" t="n">
        <f aca="false">IF(C629&gt;=6,0,1)</f>
        <v>1</v>
      </c>
      <c r="G629" s="0" t="n">
        <f aca="false">VLOOKUP(E629,Sheet1!$A$2:$B$25,2,0)</f>
        <v>0</v>
      </c>
    </row>
    <row r="630" customFormat="false" ht="15" hidden="false" customHeight="false" outlineLevel="0" collapsed="false">
      <c r="A630" s="11" t="n">
        <v>44588.1666666667</v>
      </c>
      <c r="B630" s="0" t="n">
        <v>803.58</v>
      </c>
      <c r="C630" s="0" t="n">
        <f aca="false">WEEKDAY(A630,2)</f>
        <v>4</v>
      </c>
      <c r="D630" s="0" t="n">
        <f aca="false">DAY(A630)</f>
        <v>27</v>
      </c>
      <c r="E630" s="0" t="n">
        <f aca="false">HOUR(A630)</f>
        <v>4</v>
      </c>
      <c r="F630" s="0" t="n">
        <f aca="false">IF(C630&gt;=6,0,1)</f>
        <v>1</v>
      </c>
      <c r="G630" s="0" t="n">
        <f aca="false">VLOOKUP(E630,Sheet1!$A$2:$B$25,2,0)</f>
        <v>1</v>
      </c>
    </row>
    <row r="631" customFormat="false" ht="15" hidden="false" customHeight="false" outlineLevel="0" collapsed="false">
      <c r="A631" s="11" t="n">
        <v>44588.2083333333</v>
      </c>
      <c r="B631" s="0" t="n">
        <v>778.85</v>
      </c>
      <c r="C631" s="0" t="n">
        <f aca="false">WEEKDAY(A631,2)</f>
        <v>4</v>
      </c>
      <c r="D631" s="0" t="n">
        <f aca="false">DAY(A631)</f>
        <v>27</v>
      </c>
      <c r="E631" s="0" t="n">
        <f aca="false">HOUR(A631)</f>
        <v>5</v>
      </c>
      <c r="F631" s="0" t="n">
        <f aca="false">IF(C631&gt;=6,0,1)</f>
        <v>1</v>
      </c>
      <c r="G631" s="0" t="n">
        <f aca="false">VLOOKUP(E631,Sheet1!$A$2:$B$25,2,0)</f>
        <v>1</v>
      </c>
    </row>
    <row r="632" customFormat="false" ht="15" hidden="false" customHeight="false" outlineLevel="0" collapsed="false">
      <c r="A632" s="11" t="n">
        <v>44588.25</v>
      </c>
      <c r="B632" s="0" t="n">
        <v>936.55</v>
      </c>
      <c r="C632" s="0" t="n">
        <f aca="false">WEEKDAY(A632,2)</f>
        <v>4</v>
      </c>
      <c r="D632" s="0" t="n">
        <f aca="false">DAY(A632)</f>
        <v>27</v>
      </c>
      <c r="E632" s="0" t="n">
        <f aca="false">HOUR(A632)</f>
        <v>6</v>
      </c>
      <c r="F632" s="0" t="n">
        <f aca="false">IF(C632&gt;=6,0,1)</f>
        <v>1</v>
      </c>
      <c r="G632" s="0" t="n">
        <f aca="false">VLOOKUP(E632,Sheet1!$A$2:$B$25,2,0)</f>
        <v>1</v>
      </c>
    </row>
    <row r="633" customFormat="false" ht="15" hidden="false" customHeight="false" outlineLevel="0" collapsed="false">
      <c r="A633" s="11" t="n">
        <v>44588.2916666667</v>
      </c>
      <c r="B633" s="0" t="n">
        <v>916.37</v>
      </c>
      <c r="C633" s="0" t="n">
        <f aca="false">WEEKDAY(A633,2)</f>
        <v>4</v>
      </c>
      <c r="D633" s="0" t="n">
        <f aca="false">DAY(A633)</f>
        <v>27</v>
      </c>
      <c r="E633" s="0" t="n">
        <f aca="false">HOUR(A633)</f>
        <v>7</v>
      </c>
      <c r="F633" s="0" t="n">
        <f aca="false">IF(C633&gt;=6,0,1)</f>
        <v>1</v>
      </c>
      <c r="G633" s="0" t="n">
        <f aca="false">VLOOKUP(E633,Sheet1!$A$2:$B$25,2,0)</f>
        <v>1</v>
      </c>
    </row>
    <row r="634" customFormat="false" ht="15" hidden="false" customHeight="false" outlineLevel="0" collapsed="false">
      <c r="A634" s="11" t="n">
        <v>44588.3333333333</v>
      </c>
      <c r="B634" s="0" t="n">
        <v>938.13</v>
      </c>
      <c r="C634" s="0" t="n">
        <f aca="false">WEEKDAY(A634,2)</f>
        <v>4</v>
      </c>
      <c r="D634" s="0" t="n">
        <f aca="false">DAY(A634)</f>
        <v>27</v>
      </c>
      <c r="E634" s="0" t="n">
        <f aca="false">HOUR(A634)</f>
        <v>8</v>
      </c>
      <c r="F634" s="0" t="n">
        <f aca="false">IF(C634&gt;=6,0,1)</f>
        <v>1</v>
      </c>
      <c r="G634" s="0" t="n">
        <f aca="false">VLOOKUP(E634,Sheet1!$A$2:$B$25,2,0)</f>
        <v>1</v>
      </c>
    </row>
    <row r="635" customFormat="false" ht="15" hidden="false" customHeight="false" outlineLevel="0" collapsed="false">
      <c r="A635" s="11" t="n">
        <v>44588.375</v>
      </c>
      <c r="B635" s="0" t="n">
        <v>1020.8</v>
      </c>
      <c r="C635" s="0" t="n">
        <f aca="false">WEEKDAY(A635,2)</f>
        <v>4</v>
      </c>
      <c r="D635" s="0" t="n">
        <f aca="false">DAY(A635)</f>
        <v>27</v>
      </c>
      <c r="E635" s="0" t="n">
        <f aca="false">HOUR(A635)</f>
        <v>9</v>
      </c>
      <c r="F635" s="0" t="n">
        <f aca="false">IF(C635&gt;=6,0,1)</f>
        <v>1</v>
      </c>
      <c r="G635" s="0" t="n">
        <f aca="false">VLOOKUP(E635,Sheet1!$A$2:$B$25,2,0)</f>
        <v>1</v>
      </c>
    </row>
    <row r="636" customFormat="false" ht="15" hidden="false" customHeight="false" outlineLevel="0" collapsed="false">
      <c r="A636" s="11" t="n">
        <v>44588.4166666667</v>
      </c>
      <c r="B636" s="0" t="n">
        <v>975.66</v>
      </c>
      <c r="C636" s="0" t="n">
        <f aca="false">WEEKDAY(A636,2)</f>
        <v>4</v>
      </c>
      <c r="D636" s="0" t="n">
        <f aca="false">DAY(A636)</f>
        <v>27</v>
      </c>
      <c r="E636" s="0" t="n">
        <f aca="false">HOUR(A636)</f>
        <v>10</v>
      </c>
      <c r="F636" s="0" t="n">
        <f aca="false">IF(C636&gt;=6,0,1)</f>
        <v>1</v>
      </c>
      <c r="G636" s="0" t="n">
        <f aca="false">VLOOKUP(E636,Sheet1!$A$2:$B$25,2,0)</f>
        <v>1</v>
      </c>
    </row>
    <row r="637" customFormat="false" ht="15" hidden="false" customHeight="false" outlineLevel="0" collapsed="false">
      <c r="A637" s="11" t="n">
        <v>44588.4583333333</v>
      </c>
      <c r="B637" s="0" t="n">
        <v>944.83</v>
      </c>
      <c r="C637" s="0" t="n">
        <f aca="false">WEEKDAY(A637,2)</f>
        <v>4</v>
      </c>
      <c r="D637" s="0" t="n">
        <f aca="false">DAY(A637)</f>
        <v>27</v>
      </c>
      <c r="E637" s="0" t="n">
        <f aca="false">HOUR(A637)</f>
        <v>11</v>
      </c>
      <c r="F637" s="0" t="n">
        <f aca="false">IF(C637&gt;=6,0,1)</f>
        <v>1</v>
      </c>
      <c r="G637" s="0" t="n">
        <f aca="false">VLOOKUP(E637,Sheet1!$A$2:$B$25,2,0)</f>
        <v>1</v>
      </c>
    </row>
    <row r="638" customFormat="false" ht="15" hidden="false" customHeight="false" outlineLevel="0" collapsed="false">
      <c r="A638" s="11" t="n">
        <v>44588.5</v>
      </c>
      <c r="B638" s="0" t="n">
        <v>886.4</v>
      </c>
      <c r="C638" s="0" t="n">
        <f aca="false">WEEKDAY(A638,2)</f>
        <v>4</v>
      </c>
      <c r="D638" s="0" t="n">
        <f aca="false">DAY(A638)</f>
        <v>27</v>
      </c>
      <c r="E638" s="0" t="n">
        <f aca="false">HOUR(A638)</f>
        <v>12</v>
      </c>
      <c r="F638" s="0" t="n">
        <f aca="false">IF(C638&gt;=6,0,1)</f>
        <v>1</v>
      </c>
      <c r="G638" s="0" t="n">
        <f aca="false">VLOOKUP(E638,Sheet1!$A$2:$B$25,2,0)</f>
        <v>1</v>
      </c>
    </row>
    <row r="639" customFormat="false" ht="15" hidden="false" customHeight="false" outlineLevel="0" collapsed="false">
      <c r="A639" s="11" t="n">
        <v>44588.5416666667</v>
      </c>
      <c r="B639" s="0" t="n">
        <v>782.39</v>
      </c>
      <c r="C639" s="0" t="n">
        <f aca="false">WEEKDAY(A639,2)</f>
        <v>4</v>
      </c>
      <c r="D639" s="0" t="n">
        <f aca="false">DAY(A639)</f>
        <v>27</v>
      </c>
      <c r="E639" s="0" t="n">
        <f aca="false">HOUR(A639)</f>
        <v>13</v>
      </c>
      <c r="F639" s="0" t="n">
        <f aca="false">IF(C639&gt;=6,0,1)</f>
        <v>1</v>
      </c>
      <c r="G639" s="0" t="n">
        <f aca="false">VLOOKUP(E639,Sheet1!$A$2:$B$25,2,0)</f>
        <v>1</v>
      </c>
    </row>
    <row r="640" customFormat="false" ht="15" hidden="false" customHeight="false" outlineLevel="0" collapsed="false">
      <c r="A640" s="11" t="n">
        <v>44588.5833333333</v>
      </c>
      <c r="B640" s="0" t="n">
        <v>345.09</v>
      </c>
      <c r="C640" s="0" t="n">
        <f aca="false">WEEKDAY(A640,2)</f>
        <v>4</v>
      </c>
      <c r="D640" s="0" t="n">
        <f aca="false">DAY(A640)</f>
        <v>27</v>
      </c>
      <c r="E640" s="0" t="n">
        <f aca="false">HOUR(A640)</f>
        <v>14</v>
      </c>
      <c r="F640" s="0" t="n">
        <f aca="false">IF(C640&gt;=6,0,1)</f>
        <v>1</v>
      </c>
      <c r="G640" s="0" t="n">
        <f aca="false">VLOOKUP(E640,Sheet1!$A$2:$B$25,2,0)</f>
        <v>1</v>
      </c>
    </row>
    <row r="641" customFormat="false" ht="15" hidden="false" customHeight="false" outlineLevel="0" collapsed="false">
      <c r="A641" s="11" t="n">
        <v>44588.625</v>
      </c>
      <c r="B641" s="0" t="n">
        <v>335.77</v>
      </c>
      <c r="C641" s="0" t="n">
        <f aca="false">WEEKDAY(A641,2)</f>
        <v>4</v>
      </c>
      <c r="D641" s="0" t="n">
        <f aca="false">DAY(A641)</f>
        <v>27</v>
      </c>
      <c r="E641" s="0" t="n">
        <f aca="false">HOUR(A641)</f>
        <v>15</v>
      </c>
      <c r="F641" s="0" t="n">
        <f aca="false">IF(C641&gt;=6,0,1)</f>
        <v>1</v>
      </c>
      <c r="G641" s="0" t="n">
        <f aca="false">VLOOKUP(E641,Sheet1!$A$2:$B$25,2,0)</f>
        <v>1</v>
      </c>
    </row>
    <row r="642" customFormat="false" ht="15" hidden="false" customHeight="false" outlineLevel="0" collapsed="false">
      <c r="A642" s="11" t="n">
        <v>44588.6666666667</v>
      </c>
      <c r="B642" s="0" t="n">
        <v>335.14</v>
      </c>
      <c r="C642" s="0" t="n">
        <f aca="false">WEEKDAY(A642,2)</f>
        <v>4</v>
      </c>
      <c r="D642" s="0" t="n">
        <f aca="false">DAY(A642)</f>
        <v>27</v>
      </c>
      <c r="E642" s="0" t="n">
        <f aca="false">HOUR(A642)</f>
        <v>16</v>
      </c>
      <c r="F642" s="0" t="n">
        <f aca="false">IF(C642&gt;=6,0,1)</f>
        <v>1</v>
      </c>
      <c r="G642" s="0" t="n">
        <f aca="false">VLOOKUP(E642,Sheet1!$A$2:$B$25,2,0)</f>
        <v>0</v>
      </c>
    </row>
    <row r="643" customFormat="false" ht="15" hidden="false" customHeight="false" outlineLevel="0" collapsed="false">
      <c r="A643" s="11" t="n">
        <v>44588.7083333333</v>
      </c>
      <c r="B643" s="0" t="n">
        <v>340.38</v>
      </c>
      <c r="C643" s="0" t="n">
        <f aca="false">WEEKDAY(A643,2)</f>
        <v>4</v>
      </c>
      <c r="D643" s="0" t="n">
        <f aca="false">DAY(A643)</f>
        <v>27</v>
      </c>
      <c r="E643" s="0" t="n">
        <f aca="false">HOUR(A643)</f>
        <v>17</v>
      </c>
      <c r="F643" s="0" t="n">
        <f aca="false">IF(C643&gt;=6,0,1)</f>
        <v>1</v>
      </c>
      <c r="G643" s="0" t="n">
        <f aca="false">VLOOKUP(E643,Sheet1!$A$2:$B$25,2,0)</f>
        <v>0</v>
      </c>
    </row>
    <row r="644" customFormat="false" ht="15" hidden="false" customHeight="false" outlineLevel="0" collapsed="false">
      <c r="A644" s="11" t="n">
        <v>44588.75</v>
      </c>
      <c r="B644" s="0" t="n">
        <v>343.98</v>
      </c>
      <c r="C644" s="0" t="n">
        <f aca="false">WEEKDAY(A644,2)</f>
        <v>4</v>
      </c>
      <c r="D644" s="0" t="n">
        <f aca="false">DAY(A644)</f>
        <v>27</v>
      </c>
      <c r="E644" s="0" t="n">
        <f aca="false">HOUR(A644)</f>
        <v>18</v>
      </c>
      <c r="F644" s="0" t="n">
        <f aca="false">IF(C644&gt;=6,0,1)</f>
        <v>1</v>
      </c>
      <c r="G644" s="0" t="n">
        <f aca="false">VLOOKUP(E644,Sheet1!$A$2:$B$25,2,0)</f>
        <v>0</v>
      </c>
    </row>
    <row r="645" customFormat="false" ht="15" hidden="false" customHeight="false" outlineLevel="0" collapsed="false">
      <c r="A645" s="11" t="n">
        <v>44588.7916666667</v>
      </c>
      <c r="B645" s="0" t="n">
        <v>344.49</v>
      </c>
      <c r="C645" s="0" t="n">
        <f aca="false">WEEKDAY(A645,2)</f>
        <v>4</v>
      </c>
      <c r="D645" s="0" t="n">
        <f aca="false">DAY(A645)</f>
        <v>27</v>
      </c>
      <c r="E645" s="0" t="n">
        <f aca="false">HOUR(A645)</f>
        <v>19</v>
      </c>
      <c r="F645" s="0" t="n">
        <f aca="false">IF(C645&gt;=6,0,1)</f>
        <v>1</v>
      </c>
      <c r="G645" s="0" t="n">
        <f aca="false">VLOOKUP(E645,Sheet1!$A$2:$B$25,2,0)</f>
        <v>0</v>
      </c>
    </row>
    <row r="646" customFormat="false" ht="15" hidden="false" customHeight="false" outlineLevel="0" collapsed="false">
      <c r="A646" s="11" t="n">
        <v>44588.8333333333</v>
      </c>
      <c r="B646" s="0" t="n">
        <v>325.56</v>
      </c>
      <c r="C646" s="0" t="n">
        <f aca="false">WEEKDAY(A646,2)</f>
        <v>4</v>
      </c>
      <c r="D646" s="0" t="n">
        <f aca="false">DAY(A646)</f>
        <v>27</v>
      </c>
      <c r="E646" s="0" t="n">
        <f aca="false">HOUR(A646)</f>
        <v>20</v>
      </c>
      <c r="F646" s="0" t="n">
        <f aca="false">IF(C646&gt;=6,0,1)</f>
        <v>1</v>
      </c>
      <c r="G646" s="0" t="n">
        <f aca="false">VLOOKUP(E646,Sheet1!$A$2:$B$25,2,0)</f>
        <v>0</v>
      </c>
    </row>
    <row r="647" customFormat="false" ht="15" hidden="false" customHeight="false" outlineLevel="0" collapsed="false">
      <c r="A647" s="11" t="n">
        <v>44588.875</v>
      </c>
      <c r="B647" s="0" t="n">
        <v>321.77</v>
      </c>
      <c r="C647" s="0" t="n">
        <f aca="false">WEEKDAY(A647,2)</f>
        <v>4</v>
      </c>
      <c r="D647" s="0" t="n">
        <f aca="false">DAY(A647)</f>
        <v>27</v>
      </c>
      <c r="E647" s="0" t="n">
        <f aca="false">HOUR(A647)</f>
        <v>21</v>
      </c>
      <c r="F647" s="0" t="n">
        <f aca="false">IF(C647&gt;=6,0,1)</f>
        <v>1</v>
      </c>
      <c r="G647" s="0" t="n">
        <f aca="false">VLOOKUP(E647,Sheet1!$A$2:$B$25,2,0)</f>
        <v>0</v>
      </c>
    </row>
    <row r="648" customFormat="false" ht="15" hidden="false" customHeight="false" outlineLevel="0" collapsed="false">
      <c r="A648" s="11" t="n">
        <v>44588.9166666667</v>
      </c>
      <c r="B648" s="0" t="n">
        <v>312.58</v>
      </c>
      <c r="C648" s="0" t="n">
        <f aca="false">WEEKDAY(A648,2)</f>
        <v>4</v>
      </c>
      <c r="D648" s="0" t="n">
        <f aca="false">DAY(A648)</f>
        <v>27</v>
      </c>
      <c r="E648" s="0" t="n">
        <f aca="false">HOUR(A648)</f>
        <v>22</v>
      </c>
      <c r="F648" s="0" t="n">
        <f aca="false">IF(C648&gt;=6,0,1)</f>
        <v>1</v>
      </c>
      <c r="G648" s="0" t="n">
        <f aca="false">VLOOKUP(E648,Sheet1!$A$2:$B$25,2,0)</f>
        <v>0</v>
      </c>
    </row>
    <row r="649" customFormat="false" ht="15" hidden="false" customHeight="false" outlineLevel="0" collapsed="false">
      <c r="A649" s="11" t="n">
        <v>44588.9583333333</v>
      </c>
      <c r="B649" s="0" t="n">
        <v>315.12</v>
      </c>
      <c r="C649" s="0" t="n">
        <f aca="false">WEEKDAY(A649,2)</f>
        <v>4</v>
      </c>
      <c r="D649" s="0" t="n">
        <f aca="false">DAY(A649)</f>
        <v>27</v>
      </c>
      <c r="E649" s="0" t="n">
        <f aca="false">HOUR(A649)</f>
        <v>23</v>
      </c>
      <c r="F649" s="0" t="n">
        <f aca="false">IF(C649&gt;=6,0,1)</f>
        <v>1</v>
      </c>
      <c r="G649" s="0" t="n">
        <f aca="false">VLOOKUP(E649,Sheet1!$A$2:$B$25,2,0)</f>
        <v>0</v>
      </c>
    </row>
    <row r="650" customFormat="false" ht="15" hidden="false" customHeight="false" outlineLevel="0" collapsed="false">
      <c r="A650" s="11" t="n">
        <v>44589</v>
      </c>
      <c r="B650" s="0" t="n">
        <v>311.57</v>
      </c>
      <c r="C650" s="0" t="n">
        <f aca="false">WEEKDAY(A650,2)</f>
        <v>5</v>
      </c>
      <c r="D650" s="0" t="n">
        <f aca="false">DAY(A650)</f>
        <v>28</v>
      </c>
      <c r="E650" s="0" t="n">
        <f aca="false">HOUR(A650)</f>
        <v>0</v>
      </c>
      <c r="F650" s="0" t="n">
        <f aca="false">IF(C650&gt;=6,0,1)</f>
        <v>1</v>
      </c>
      <c r="G650" s="0" t="n">
        <f aca="false">VLOOKUP(E650,Sheet1!$A$2:$B$25,2,0)</f>
        <v>0</v>
      </c>
    </row>
    <row r="651" customFormat="false" ht="15" hidden="false" customHeight="false" outlineLevel="0" collapsed="false">
      <c r="A651" s="11" t="n">
        <v>44589.0416666667</v>
      </c>
      <c r="B651" s="0" t="n">
        <v>321.89</v>
      </c>
      <c r="C651" s="0" t="n">
        <f aca="false">WEEKDAY(A651,2)</f>
        <v>5</v>
      </c>
      <c r="D651" s="0" t="n">
        <f aca="false">DAY(A651)</f>
        <v>28</v>
      </c>
      <c r="E651" s="0" t="n">
        <f aca="false">HOUR(A651)</f>
        <v>1</v>
      </c>
      <c r="F651" s="0" t="n">
        <f aca="false">IF(C651&gt;=6,0,1)</f>
        <v>1</v>
      </c>
      <c r="G651" s="0" t="n">
        <f aca="false">VLOOKUP(E651,Sheet1!$A$2:$B$25,2,0)</f>
        <v>0</v>
      </c>
    </row>
    <row r="652" customFormat="false" ht="15" hidden="false" customHeight="false" outlineLevel="0" collapsed="false">
      <c r="A652" s="11" t="n">
        <v>44589.0833333333</v>
      </c>
      <c r="B652" s="0" t="n">
        <v>321.71</v>
      </c>
      <c r="C652" s="0" t="n">
        <f aca="false">WEEKDAY(A652,2)</f>
        <v>5</v>
      </c>
      <c r="D652" s="0" t="n">
        <f aca="false">DAY(A652)</f>
        <v>28</v>
      </c>
      <c r="E652" s="0" t="n">
        <f aca="false">HOUR(A652)</f>
        <v>2</v>
      </c>
      <c r="F652" s="0" t="n">
        <f aca="false">IF(C652&gt;=6,0,1)</f>
        <v>1</v>
      </c>
      <c r="G652" s="0" t="n">
        <f aca="false">VLOOKUP(E652,Sheet1!$A$2:$B$25,2,0)</f>
        <v>0</v>
      </c>
    </row>
    <row r="653" customFormat="false" ht="15" hidden="false" customHeight="false" outlineLevel="0" collapsed="false">
      <c r="A653" s="11" t="n">
        <v>44589.125</v>
      </c>
      <c r="B653" s="0" t="n">
        <v>311.88</v>
      </c>
      <c r="C653" s="0" t="n">
        <f aca="false">WEEKDAY(A653,2)</f>
        <v>5</v>
      </c>
      <c r="D653" s="0" t="n">
        <f aca="false">DAY(A653)</f>
        <v>28</v>
      </c>
      <c r="E653" s="0" t="n">
        <f aca="false">HOUR(A653)</f>
        <v>3</v>
      </c>
      <c r="F653" s="0" t="n">
        <f aca="false">IF(C653&gt;=6,0,1)</f>
        <v>1</v>
      </c>
      <c r="G653" s="0" t="n">
        <f aca="false">VLOOKUP(E653,Sheet1!$A$2:$B$25,2,0)</f>
        <v>0</v>
      </c>
    </row>
    <row r="654" customFormat="false" ht="15" hidden="false" customHeight="false" outlineLevel="0" collapsed="false">
      <c r="A654" s="11" t="n">
        <v>44589.1666666667</v>
      </c>
      <c r="B654" s="0" t="n">
        <v>800.53</v>
      </c>
      <c r="C654" s="0" t="n">
        <f aca="false">WEEKDAY(A654,2)</f>
        <v>5</v>
      </c>
      <c r="D654" s="0" t="n">
        <f aca="false">DAY(A654)</f>
        <v>28</v>
      </c>
      <c r="E654" s="0" t="n">
        <f aca="false">HOUR(A654)</f>
        <v>4</v>
      </c>
      <c r="F654" s="0" t="n">
        <f aca="false">IF(C654&gt;=6,0,1)</f>
        <v>1</v>
      </c>
      <c r="G654" s="0" t="n">
        <f aca="false">VLOOKUP(E654,Sheet1!$A$2:$B$25,2,0)</f>
        <v>1</v>
      </c>
    </row>
    <row r="655" customFormat="false" ht="15" hidden="false" customHeight="false" outlineLevel="0" collapsed="false">
      <c r="A655" s="11" t="n">
        <v>44589.2083333333</v>
      </c>
      <c r="B655" s="0" t="n">
        <v>770.17</v>
      </c>
      <c r="C655" s="0" t="n">
        <f aca="false">WEEKDAY(A655,2)</f>
        <v>5</v>
      </c>
      <c r="D655" s="0" t="n">
        <f aca="false">DAY(A655)</f>
        <v>28</v>
      </c>
      <c r="E655" s="0" t="n">
        <f aca="false">HOUR(A655)</f>
        <v>5</v>
      </c>
      <c r="F655" s="0" t="n">
        <f aca="false">IF(C655&gt;=6,0,1)</f>
        <v>1</v>
      </c>
      <c r="G655" s="0" t="n">
        <f aca="false">VLOOKUP(E655,Sheet1!$A$2:$B$25,2,0)</f>
        <v>1</v>
      </c>
    </row>
    <row r="656" customFormat="false" ht="15" hidden="false" customHeight="false" outlineLevel="0" collapsed="false">
      <c r="A656" s="11" t="n">
        <v>44589.25</v>
      </c>
      <c r="B656" s="0" t="n">
        <v>1011.88</v>
      </c>
      <c r="C656" s="0" t="n">
        <f aca="false">WEEKDAY(A656,2)</f>
        <v>5</v>
      </c>
      <c r="D656" s="0" t="n">
        <f aca="false">DAY(A656)</f>
        <v>28</v>
      </c>
      <c r="E656" s="0" t="n">
        <f aca="false">HOUR(A656)</f>
        <v>6</v>
      </c>
      <c r="F656" s="0" t="n">
        <f aca="false">IF(C656&gt;=6,0,1)</f>
        <v>1</v>
      </c>
      <c r="G656" s="0" t="n">
        <f aca="false">VLOOKUP(E656,Sheet1!$A$2:$B$25,2,0)</f>
        <v>1</v>
      </c>
    </row>
    <row r="657" customFormat="false" ht="15" hidden="false" customHeight="false" outlineLevel="0" collapsed="false">
      <c r="A657" s="11" t="n">
        <v>44589.2916666667</v>
      </c>
      <c r="B657" s="0" t="n">
        <v>983.61</v>
      </c>
      <c r="C657" s="0" t="n">
        <f aca="false">WEEKDAY(A657,2)</f>
        <v>5</v>
      </c>
      <c r="D657" s="0" t="n">
        <f aca="false">DAY(A657)</f>
        <v>28</v>
      </c>
      <c r="E657" s="0" t="n">
        <f aca="false">HOUR(A657)</f>
        <v>7</v>
      </c>
      <c r="F657" s="0" t="n">
        <f aca="false">IF(C657&gt;=6,0,1)</f>
        <v>1</v>
      </c>
      <c r="G657" s="0" t="n">
        <f aca="false">VLOOKUP(E657,Sheet1!$A$2:$B$25,2,0)</f>
        <v>1</v>
      </c>
    </row>
    <row r="658" customFormat="false" ht="15" hidden="false" customHeight="false" outlineLevel="0" collapsed="false">
      <c r="A658" s="11" t="n">
        <v>44589.3333333333</v>
      </c>
      <c r="B658" s="0" t="n">
        <v>866.98</v>
      </c>
      <c r="C658" s="0" t="n">
        <f aca="false">WEEKDAY(A658,2)</f>
        <v>5</v>
      </c>
      <c r="D658" s="0" t="n">
        <f aca="false">DAY(A658)</f>
        <v>28</v>
      </c>
      <c r="E658" s="0" t="n">
        <f aca="false">HOUR(A658)</f>
        <v>8</v>
      </c>
      <c r="F658" s="0" t="n">
        <f aca="false">IF(C658&gt;=6,0,1)</f>
        <v>1</v>
      </c>
      <c r="G658" s="0" t="n">
        <f aca="false">VLOOKUP(E658,Sheet1!$A$2:$B$25,2,0)</f>
        <v>1</v>
      </c>
    </row>
    <row r="659" customFormat="false" ht="15" hidden="false" customHeight="false" outlineLevel="0" collapsed="false">
      <c r="A659" s="11" t="n">
        <v>44589.375</v>
      </c>
      <c r="B659" s="0" t="n">
        <v>862.04</v>
      </c>
      <c r="C659" s="0" t="n">
        <f aca="false">WEEKDAY(A659,2)</f>
        <v>5</v>
      </c>
      <c r="D659" s="0" t="n">
        <f aca="false">DAY(A659)</f>
        <v>28</v>
      </c>
      <c r="E659" s="0" t="n">
        <f aca="false">HOUR(A659)</f>
        <v>9</v>
      </c>
      <c r="F659" s="0" t="n">
        <f aca="false">IF(C659&gt;=6,0,1)</f>
        <v>1</v>
      </c>
      <c r="G659" s="0" t="n">
        <f aca="false">VLOOKUP(E659,Sheet1!$A$2:$B$25,2,0)</f>
        <v>1</v>
      </c>
    </row>
    <row r="660" customFormat="false" ht="15" hidden="false" customHeight="false" outlineLevel="0" collapsed="false">
      <c r="A660" s="11" t="n">
        <v>44589.4166666667</v>
      </c>
      <c r="B660" s="0" t="n">
        <v>811.23</v>
      </c>
      <c r="C660" s="0" t="n">
        <f aca="false">WEEKDAY(A660,2)</f>
        <v>5</v>
      </c>
      <c r="D660" s="0" t="n">
        <f aca="false">DAY(A660)</f>
        <v>28</v>
      </c>
      <c r="E660" s="0" t="n">
        <f aca="false">HOUR(A660)</f>
        <v>10</v>
      </c>
      <c r="F660" s="0" t="n">
        <f aca="false">IF(C660&gt;=6,0,1)</f>
        <v>1</v>
      </c>
      <c r="G660" s="0" t="n">
        <f aca="false">VLOOKUP(E660,Sheet1!$A$2:$B$25,2,0)</f>
        <v>1</v>
      </c>
    </row>
    <row r="661" customFormat="false" ht="15" hidden="false" customHeight="false" outlineLevel="0" collapsed="false">
      <c r="A661" s="11" t="n">
        <v>44589.4583333333</v>
      </c>
      <c r="B661" s="0" t="n">
        <v>672.13</v>
      </c>
      <c r="C661" s="0" t="n">
        <f aca="false">WEEKDAY(A661,2)</f>
        <v>5</v>
      </c>
      <c r="D661" s="0" t="n">
        <f aca="false">DAY(A661)</f>
        <v>28</v>
      </c>
      <c r="E661" s="0" t="n">
        <f aca="false">HOUR(A661)</f>
        <v>11</v>
      </c>
      <c r="F661" s="0" t="n">
        <f aca="false">IF(C661&gt;=6,0,1)</f>
        <v>1</v>
      </c>
      <c r="G661" s="0" t="n">
        <f aca="false">VLOOKUP(E661,Sheet1!$A$2:$B$25,2,0)</f>
        <v>1</v>
      </c>
    </row>
    <row r="662" customFormat="false" ht="15" hidden="false" customHeight="false" outlineLevel="0" collapsed="false">
      <c r="A662" s="11" t="n">
        <v>44589.5</v>
      </c>
      <c r="B662" s="0" t="n">
        <v>459.06</v>
      </c>
      <c r="C662" s="0" t="n">
        <f aca="false">WEEKDAY(A662,2)</f>
        <v>5</v>
      </c>
      <c r="D662" s="0" t="n">
        <f aca="false">DAY(A662)</f>
        <v>28</v>
      </c>
      <c r="E662" s="0" t="n">
        <f aca="false">HOUR(A662)</f>
        <v>12</v>
      </c>
      <c r="F662" s="0" t="n">
        <f aca="false">IF(C662&gt;=6,0,1)</f>
        <v>1</v>
      </c>
      <c r="G662" s="0" t="n">
        <f aca="false">VLOOKUP(E662,Sheet1!$A$2:$B$25,2,0)</f>
        <v>1</v>
      </c>
    </row>
    <row r="663" customFormat="false" ht="15" hidden="false" customHeight="false" outlineLevel="0" collapsed="false">
      <c r="A663" s="11" t="n">
        <v>44589.5416666667</v>
      </c>
      <c r="B663" s="0" t="n">
        <v>396.14</v>
      </c>
      <c r="C663" s="0" t="n">
        <f aca="false">WEEKDAY(A663,2)</f>
        <v>5</v>
      </c>
      <c r="D663" s="0" t="n">
        <f aca="false">DAY(A663)</f>
        <v>28</v>
      </c>
      <c r="E663" s="0" t="n">
        <f aca="false">HOUR(A663)</f>
        <v>13</v>
      </c>
      <c r="F663" s="0" t="n">
        <f aca="false">IF(C663&gt;=6,0,1)</f>
        <v>1</v>
      </c>
      <c r="G663" s="0" t="n">
        <f aca="false">VLOOKUP(E663,Sheet1!$A$2:$B$25,2,0)</f>
        <v>1</v>
      </c>
    </row>
    <row r="664" customFormat="false" ht="15" hidden="false" customHeight="false" outlineLevel="0" collapsed="false">
      <c r="A664" s="11" t="n">
        <v>44589.5833333333</v>
      </c>
      <c r="B664" s="0" t="n">
        <v>361.45</v>
      </c>
      <c r="C664" s="0" t="n">
        <f aca="false">WEEKDAY(A664,2)</f>
        <v>5</v>
      </c>
      <c r="D664" s="0" t="n">
        <f aca="false">DAY(A664)</f>
        <v>28</v>
      </c>
      <c r="E664" s="0" t="n">
        <f aca="false">HOUR(A664)</f>
        <v>14</v>
      </c>
      <c r="F664" s="0" t="n">
        <f aca="false">IF(C664&gt;=6,0,1)</f>
        <v>1</v>
      </c>
      <c r="G664" s="0" t="n">
        <f aca="false">VLOOKUP(E664,Sheet1!$A$2:$B$25,2,0)</f>
        <v>1</v>
      </c>
    </row>
    <row r="665" customFormat="false" ht="15" hidden="false" customHeight="false" outlineLevel="0" collapsed="false">
      <c r="A665" s="11" t="n">
        <v>44589.625</v>
      </c>
      <c r="B665" s="0" t="n">
        <v>350.47</v>
      </c>
      <c r="C665" s="0" t="n">
        <f aca="false">WEEKDAY(A665,2)</f>
        <v>5</v>
      </c>
      <c r="D665" s="0" t="n">
        <f aca="false">DAY(A665)</f>
        <v>28</v>
      </c>
      <c r="E665" s="0" t="n">
        <f aca="false">HOUR(A665)</f>
        <v>15</v>
      </c>
      <c r="F665" s="0" t="n">
        <f aca="false">IF(C665&gt;=6,0,1)</f>
        <v>1</v>
      </c>
      <c r="G665" s="0" t="n">
        <f aca="false">VLOOKUP(E665,Sheet1!$A$2:$B$25,2,0)</f>
        <v>1</v>
      </c>
    </row>
    <row r="666" customFormat="false" ht="15" hidden="false" customHeight="false" outlineLevel="0" collapsed="false">
      <c r="A666" s="11" t="n">
        <v>44589.6666666667</v>
      </c>
      <c r="B666" s="0" t="n">
        <v>351.07</v>
      </c>
      <c r="C666" s="0" t="n">
        <f aca="false">WEEKDAY(A666,2)</f>
        <v>5</v>
      </c>
      <c r="D666" s="0" t="n">
        <f aca="false">DAY(A666)</f>
        <v>28</v>
      </c>
      <c r="E666" s="0" t="n">
        <f aca="false">HOUR(A666)</f>
        <v>16</v>
      </c>
      <c r="F666" s="0" t="n">
        <f aca="false">IF(C666&gt;=6,0,1)</f>
        <v>1</v>
      </c>
      <c r="G666" s="0" t="n">
        <f aca="false">VLOOKUP(E666,Sheet1!$A$2:$B$25,2,0)</f>
        <v>0</v>
      </c>
    </row>
    <row r="667" customFormat="false" ht="15" hidden="false" customHeight="false" outlineLevel="0" collapsed="false">
      <c r="A667" s="11" t="n">
        <v>44589.7083333333</v>
      </c>
      <c r="B667" s="0" t="n">
        <v>336.23</v>
      </c>
      <c r="C667" s="0" t="n">
        <f aca="false">WEEKDAY(A667,2)</f>
        <v>5</v>
      </c>
      <c r="D667" s="0" t="n">
        <f aca="false">DAY(A667)</f>
        <v>28</v>
      </c>
      <c r="E667" s="0" t="n">
        <f aca="false">HOUR(A667)</f>
        <v>17</v>
      </c>
      <c r="F667" s="0" t="n">
        <f aca="false">IF(C667&gt;=6,0,1)</f>
        <v>1</v>
      </c>
      <c r="G667" s="0" t="n">
        <f aca="false">VLOOKUP(E667,Sheet1!$A$2:$B$25,2,0)</f>
        <v>0</v>
      </c>
    </row>
    <row r="668" customFormat="false" ht="15" hidden="false" customHeight="false" outlineLevel="0" collapsed="false">
      <c r="A668" s="11" t="n">
        <v>44589.75</v>
      </c>
      <c r="B668" s="0" t="n">
        <v>332.89</v>
      </c>
      <c r="C668" s="0" t="n">
        <f aca="false">WEEKDAY(A668,2)</f>
        <v>5</v>
      </c>
      <c r="D668" s="0" t="n">
        <f aca="false">DAY(A668)</f>
        <v>28</v>
      </c>
      <c r="E668" s="0" t="n">
        <f aca="false">HOUR(A668)</f>
        <v>18</v>
      </c>
      <c r="F668" s="0" t="n">
        <f aca="false">IF(C668&gt;=6,0,1)</f>
        <v>1</v>
      </c>
      <c r="G668" s="0" t="n">
        <f aca="false">VLOOKUP(E668,Sheet1!$A$2:$B$25,2,0)</f>
        <v>0</v>
      </c>
    </row>
    <row r="669" customFormat="false" ht="15" hidden="false" customHeight="false" outlineLevel="0" collapsed="false">
      <c r="A669" s="11" t="n">
        <v>44589.7916666667</v>
      </c>
      <c r="B669" s="0" t="n">
        <v>324.14</v>
      </c>
      <c r="C669" s="0" t="n">
        <f aca="false">WEEKDAY(A669,2)</f>
        <v>5</v>
      </c>
      <c r="D669" s="0" t="n">
        <f aca="false">DAY(A669)</f>
        <v>28</v>
      </c>
      <c r="E669" s="0" t="n">
        <f aca="false">HOUR(A669)</f>
        <v>19</v>
      </c>
      <c r="F669" s="0" t="n">
        <f aca="false">IF(C669&gt;=6,0,1)</f>
        <v>1</v>
      </c>
      <c r="G669" s="0" t="n">
        <f aca="false">VLOOKUP(E669,Sheet1!$A$2:$B$25,2,0)</f>
        <v>0</v>
      </c>
    </row>
    <row r="670" customFormat="false" ht="15" hidden="false" customHeight="false" outlineLevel="0" collapsed="false">
      <c r="A670" s="11" t="n">
        <v>44589.8333333333</v>
      </c>
      <c r="B670" s="0" t="n">
        <v>327.34</v>
      </c>
      <c r="C670" s="0" t="n">
        <f aca="false">WEEKDAY(A670,2)</f>
        <v>5</v>
      </c>
      <c r="D670" s="0" t="n">
        <f aca="false">DAY(A670)</f>
        <v>28</v>
      </c>
      <c r="E670" s="0" t="n">
        <f aca="false">HOUR(A670)</f>
        <v>20</v>
      </c>
      <c r="F670" s="0" t="n">
        <f aca="false">IF(C670&gt;=6,0,1)</f>
        <v>1</v>
      </c>
      <c r="G670" s="0" t="n">
        <f aca="false">VLOOKUP(E670,Sheet1!$A$2:$B$25,2,0)</f>
        <v>0</v>
      </c>
    </row>
    <row r="671" customFormat="false" ht="15" hidden="false" customHeight="false" outlineLevel="0" collapsed="false">
      <c r="A671" s="11" t="n">
        <v>44589.875</v>
      </c>
      <c r="B671" s="0" t="n">
        <v>326.05</v>
      </c>
      <c r="C671" s="0" t="n">
        <f aca="false">WEEKDAY(A671,2)</f>
        <v>5</v>
      </c>
      <c r="D671" s="0" t="n">
        <f aca="false">DAY(A671)</f>
        <v>28</v>
      </c>
      <c r="E671" s="0" t="n">
        <f aca="false">HOUR(A671)</f>
        <v>21</v>
      </c>
      <c r="F671" s="0" t="n">
        <f aca="false">IF(C671&gt;=6,0,1)</f>
        <v>1</v>
      </c>
      <c r="G671" s="0" t="n">
        <f aca="false">VLOOKUP(E671,Sheet1!$A$2:$B$25,2,0)</f>
        <v>0</v>
      </c>
    </row>
    <row r="672" customFormat="false" ht="15" hidden="false" customHeight="false" outlineLevel="0" collapsed="false">
      <c r="A672" s="11" t="n">
        <v>44589.9166666667</v>
      </c>
      <c r="B672" s="0" t="n">
        <v>316.75</v>
      </c>
      <c r="C672" s="0" t="n">
        <f aca="false">WEEKDAY(A672,2)</f>
        <v>5</v>
      </c>
      <c r="D672" s="0" t="n">
        <f aca="false">DAY(A672)</f>
        <v>28</v>
      </c>
      <c r="E672" s="0" t="n">
        <f aca="false">HOUR(A672)</f>
        <v>22</v>
      </c>
      <c r="F672" s="0" t="n">
        <f aca="false">IF(C672&gt;=6,0,1)</f>
        <v>1</v>
      </c>
      <c r="G672" s="0" t="n">
        <f aca="false">VLOOKUP(E672,Sheet1!$A$2:$B$25,2,0)</f>
        <v>0</v>
      </c>
    </row>
    <row r="673" customFormat="false" ht="15" hidden="false" customHeight="false" outlineLevel="0" collapsed="false">
      <c r="A673" s="11" t="n">
        <v>44589.9583333333</v>
      </c>
      <c r="B673" s="0" t="n">
        <v>315.82</v>
      </c>
      <c r="C673" s="0" t="n">
        <f aca="false">WEEKDAY(A673,2)</f>
        <v>5</v>
      </c>
      <c r="D673" s="0" t="n">
        <f aca="false">DAY(A673)</f>
        <v>28</v>
      </c>
      <c r="E673" s="0" t="n">
        <f aca="false">HOUR(A673)</f>
        <v>23</v>
      </c>
      <c r="F673" s="0" t="n">
        <f aca="false">IF(C673&gt;=6,0,1)</f>
        <v>1</v>
      </c>
      <c r="G673" s="0" t="n">
        <f aca="false">VLOOKUP(E673,Sheet1!$A$2:$B$25,2,0)</f>
        <v>0</v>
      </c>
    </row>
    <row r="674" customFormat="false" ht="15" hidden="false" customHeight="false" outlineLevel="0" collapsed="false">
      <c r="A674" s="11" t="n">
        <v>44590</v>
      </c>
      <c r="B674" s="0" t="n">
        <v>318.96</v>
      </c>
      <c r="C674" s="0" t="n">
        <f aca="false">WEEKDAY(A674,2)</f>
        <v>6</v>
      </c>
      <c r="D674" s="0" t="n">
        <f aca="false">DAY(A674)</f>
        <v>29</v>
      </c>
      <c r="E674" s="0" t="n">
        <f aca="false">HOUR(A674)</f>
        <v>0</v>
      </c>
      <c r="F674" s="0" t="n">
        <f aca="false">IF(C674&gt;=6,0,1)</f>
        <v>0</v>
      </c>
      <c r="G674" s="0" t="n">
        <f aca="false">VLOOKUP(E674,Sheet1!$A$2:$B$25,2,0)</f>
        <v>0</v>
      </c>
    </row>
    <row r="675" customFormat="false" ht="15" hidden="false" customHeight="false" outlineLevel="0" collapsed="false">
      <c r="A675" s="11" t="n">
        <v>44590.0416666667</v>
      </c>
      <c r="B675" s="0" t="n">
        <v>316.44</v>
      </c>
      <c r="C675" s="0" t="n">
        <f aca="false">WEEKDAY(A675,2)</f>
        <v>6</v>
      </c>
      <c r="D675" s="0" t="n">
        <f aca="false">DAY(A675)</f>
        <v>29</v>
      </c>
      <c r="E675" s="0" t="n">
        <f aca="false">HOUR(A675)</f>
        <v>1</v>
      </c>
      <c r="F675" s="0" t="n">
        <f aca="false">IF(C675&gt;=6,0,1)</f>
        <v>0</v>
      </c>
      <c r="G675" s="0" t="n">
        <f aca="false">VLOOKUP(E675,Sheet1!$A$2:$B$25,2,0)</f>
        <v>0</v>
      </c>
    </row>
    <row r="676" customFormat="false" ht="15" hidden="false" customHeight="false" outlineLevel="0" collapsed="false">
      <c r="A676" s="11" t="n">
        <v>44590.0833333333</v>
      </c>
      <c r="B676" s="0" t="n">
        <v>318</v>
      </c>
      <c r="C676" s="0" t="n">
        <f aca="false">WEEKDAY(A676,2)</f>
        <v>6</v>
      </c>
      <c r="D676" s="0" t="n">
        <f aca="false">DAY(A676)</f>
        <v>29</v>
      </c>
      <c r="E676" s="0" t="n">
        <f aca="false">HOUR(A676)</f>
        <v>2</v>
      </c>
      <c r="F676" s="0" t="n">
        <f aca="false">IF(C676&gt;=6,0,1)</f>
        <v>0</v>
      </c>
      <c r="G676" s="0" t="n">
        <f aca="false">VLOOKUP(E676,Sheet1!$A$2:$B$25,2,0)</f>
        <v>0</v>
      </c>
    </row>
    <row r="677" customFormat="false" ht="15" hidden="false" customHeight="false" outlineLevel="0" collapsed="false">
      <c r="A677" s="11" t="n">
        <v>44590.125</v>
      </c>
      <c r="B677" s="0" t="n">
        <v>311.84</v>
      </c>
      <c r="C677" s="0" t="n">
        <f aca="false">WEEKDAY(A677,2)</f>
        <v>6</v>
      </c>
      <c r="D677" s="0" t="n">
        <f aca="false">DAY(A677)</f>
        <v>29</v>
      </c>
      <c r="E677" s="0" t="n">
        <f aca="false">HOUR(A677)</f>
        <v>3</v>
      </c>
      <c r="F677" s="0" t="n">
        <f aca="false">IF(C677&gt;=6,0,1)</f>
        <v>0</v>
      </c>
      <c r="G677" s="0" t="n">
        <f aca="false">VLOOKUP(E677,Sheet1!$A$2:$B$25,2,0)</f>
        <v>0</v>
      </c>
    </row>
    <row r="678" customFormat="false" ht="15" hidden="false" customHeight="false" outlineLevel="0" collapsed="false">
      <c r="A678" s="11" t="n">
        <v>44590.1666666667</v>
      </c>
      <c r="B678" s="0" t="n">
        <v>320.56</v>
      </c>
      <c r="C678" s="0" t="n">
        <f aca="false">WEEKDAY(A678,2)</f>
        <v>6</v>
      </c>
      <c r="D678" s="0" t="n">
        <f aca="false">DAY(A678)</f>
        <v>29</v>
      </c>
      <c r="E678" s="0" t="n">
        <f aca="false">HOUR(A678)</f>
        <v>4</v>
      </c>
      <c r="F678" s="0" t="n">
        <f aca="false">IF(C678&gt;=6,0,1)</f>
        <v>0</v>
      </c>
      <c r="G678" s="0" t="n">
        <f aca="false">VLOOKUP(E678,Sheet1!$A$2:$B$25,2,0)</f>
        <v>1</v>
      </c>
    </row>
    <row r="679" customFormat="false" ht="15" hidden="false" customHeight="false" outlineLevel="0" collapsed="false">
      <c r="A679" s="11" t="n">
        <v>44590.2083333333</v>
      </c>
      <c r="B679" s="0" t="n">
        <v>320.64</v>
      </c>
      <c r="C679" s="0" t="n">
        <f aca="false">WEEKDAY(A679,2)</f>
        <v>6</v>
      </c>
      <c r="D679" s="0" t="n">
        <f aca="false">DAY(A679)</f>
        <v>29</v>
      </c>
      <c r="E679" s="0" t="n">
        <f aca="false">HOUR(A679)</f>
        <v>5</v>
      </c>
      <c r="F679" s="0" t="n">
        <f aca="false">IF(C679&gt;=6,0,1)</f>
        <v>0</v>
      </c>
      <c r="G679" s="0" t="n">
        <f aca="false">VLOOKUP(E679,Sheet1!$A$2:$B$25,2,0)</f>
        <v>1</v>
      </c>
    </row>
    <row r="680" customFormat="false" ht="15" hidden="false" customHeight="false" outlineLevel="0" collapsed="false">
      <c r="A680" s="11" t="n">
        <v>44590.25</v>
      </c>
      <c r="B680" s="0" t="n">
        <v>342.59</v>
      </c>
      <c r="C680" s="0" t="n">
        <f aca="false">WEEKDAY(A680,2)</f>
        <v>6</v>
      </c>
      <c r="D680" s="0" t="n">
        <f aca="false">DAY(A680)</f>
        <v>29</v>
      </c>
      <c r="E680" s="0" t="n">
        <f aca="false">HOUR(A680)</f>
        <v>6</v>
      </c>
      <c r="F680" s="0" t="n">
        <f aca="false">IF(C680&gt;=6,0,1)</f>
        <v>0</v>
      </c>
      <c r="G680" s="0" t="n">
        <f aca="false">VLOOKUP(E680,Sheet1!$A$2:$B$25,2,0)</f>
        <v>1</v>
      </c>
    </row>
    <row r="681" customFormat="false" ht="15" hidden="false" customHeight="false" outlineLevel="0" collapsed="false">
      <c r="A681" s="11" t="n">
        <v>44590.2916666667</v>
      </c>
      <c r="B681" s="0" t="n">
        <v>339.68</v>
      </c>
      <c r="C681" s="0" t="n">
        <f aca="false">WEEKDAY(A681,2)</f>
        <v>6</v>
      </c>
      <c r="D681" s="0" t="n">
        <f aca="false">DAY(A681)</f>
        <v>29</v>
      </c>
      <c r="E681" s="0" t="n">
        <f aca="false">HOUR(A681)</f>
        <v>7</v>
      </c>
      <c r="F681" s="0" t="n">
        <f aca="false">IF(C681&gt;=6,0,1)</f>
        <v>0</v>
      </c>
      <c r="G681" s="0" t="n">
        <f aca="false">VLOOKUP(E681,Sheet1!$A$2:$B$25,2,0)</f>
        <v>1</v>
      </c>
    </row>
    <row r="682" customFormat="false" ht="15" hidden="false" customHeight="false" outlineLevel="0" collapsed="false">
      <c r="A682" s="11" t="n">
        <v>44590.3333333333</v>
      </c>
      <c r="B682" s="0" t="n">
        <v>330.71</v>
      </c>
      <c r="C682" s="0" t="n">
        <f aca="false">WEEKDAY(A682,2)</f>
        <v>6</v>
      </c>
      <c r="D682" s="0" t="n">
        <f aca="false">DAY(A682)</f>
        <v>29</v>
      </c>
      <c r="E682" s="0" t="n">
        <f aca="false">HOUR(A682)</f>
        <v>8</v>
      </c>
      <c r="F682" s="0" t="n">
        <f aca="false">IF(C682&gt;=6,0,1)</f>
        <v>0</v>
      </c>
      <c r="G682" s="0" t="n">
        <f aca="false">VLOOKUP(E682,Sheet1!$A$2:$B$25,2,0)</f>
        <v>1</v>
      </c>
    </row>
    <row r="683" customFormat="false" ht="15" hidden="false" customHeight="false" outlineLevel="0" collapsed="false">
      <c r="A683" s="11" t="n">
        <v>44590.375</v>
      </c>
      <c r="B683" s="0" t="n">
        <v>338.47</v>
      </c>
      <c r="C683" s="0" t="n">
        <f aca="false">WEEKDAY(A683,2)</f>
        <v>6</v>
      </c>
      <c r="D683" s="0" t="n">
        <f aca="false">DAY(A683)</f>
        <v>29</v>
      </c>
      <c r="E683" s="0" t="n">
        <f aca="false">HOUR(A683)</f>
        <v>9</v>
      </c>
      <c r="F683" s="0" t="n">
        <f aca="false">IF(C683&gt;=6,0,1)</f>
        <v>0</v>
      </c>
      <c r="G683" s="0" t="n">
        <f aca="false">VLOOKUP(E683,Sheet1!$A$2:$B$25,2,0)</f>
        <v>1</v>
      </c>
    </row>
    <row r="684" customFormat="false" ht="15" hidden="false" customHeight="false" outlineLevel="0" collapsed="false">
      <c r="A684" s="11" t="n">
        <v>44590.4166666667</v>
      </c>
      <c r="B684" s="0" t="n">
        <v>333.73</v>
      </c>
      <c r="C684" s="0" t="n">
        <f aca="false">WEEKDAY(A684,2)</f>
        <v>6</v>
      </c>
      <c r="D684" s="0" t="n">
        <f aca="false">DAY(A684)</f>
        <v>29</v>
      </c>
      <c r="E684" s="0" t="n">
        <f aca="false">HOUR(A684)</f>
        <v>10</v>
      </c>
      <c r="F684" s="0" t="n">
        <f aca="false">IF(C684&gt;=6,0,1)</f>
        <v>0</v>
      </c>
      <c r="G684" s="0" t="n">
        <f aca="false">VLOOKUP(E684,Sheet1!$A$2:$B$25,2,0)</f>
        <v>1</v>
      </c>
    </row>
    <row r="685" customFormat="false" ht="15" hidden="false" customHeight="false" outlineLevel="0" collapsed="false">
      <c r="A685" s="11" t="n">
        <v>44590.4583333333</v>
      </c>
      <c r="B685" s="0" t="n">
        <v>332.98</v>
      </c>
      <c r="C685" s="0" t="n">
        <f aca="false">WEEKDAY(A685,2)</f>
        <v>6</v>
      </c>
      <c r="D685" s="0" t="n">
        <f aca="false">DAY(A685)</f>
        <v>29</v>
      </c>
      <c r="E685" s="0" t="n">
        <f aca="false">HOUR(A685)</f>
        <v>11</v>
      </c>
      <c r="F685" s="0" t="n">
        <f aca="false">IF(C685&gt;=6,0,1)</f>
        <v>0</v>
      </c>
      <c r="G685" s="0" t="n">
        <f aca="false">VLOOKUP(E685,Sheet1!$A$2:$B$25,2,0)</f>
        <v>1</v>
      </c>
    </row>
    <row r="686" customFormat="false" ht="15" hidden="false" customHeight="false" outlineLevel="0" collapsed="false">
      <c r="A686" s="11" t="n">
        <v>44590.5</v>
      </c>
      <c r="B686" s="0" t="n">
        <v>320.3</v>
      </c>
      <c r="C686" s="0" t="n">
        <f aca="false">WEEKDAY(A686,2)</f>
        <v>6</v>
      </c>
      <c r="D686" s="0" t="n">
        <f aca="false">DAY(A686)</f>
        <v>29</v>
      </c>
      <c r="E686" s="0" t="n">
        <f aca="false">HOUR(A686)</f>
        <v>12</v>
      </c>
      <c r="F686" s="0" t="n">
        <f aca="false">IF(C686&gt;=6,0,1)</f>
        <v>0</v>
      </c>
      <c r="G686" s="0" t="n">
        <f aca="false">VLOOKUP(E686,Sheet1!$A$2:$B$25,2,0)</f>
        <v>1</v>
      </c>
    </row>
    <row r="687" customFormat="false" ht="15" hidden="false" customHeight="false" outlineLevel="0" collapsed="false">
      <c r="A687" s="11" t="n">
        <v>44590.5416666667</v>
      </c>
      <c r="B687" s="0" t="n">
        <v>326.11</v>
      </c>
      <c r="C687" s="0" t="n">
        <f aca="false">WEEKDAY(A687,2)</f>
        <v>6</v>
      </c>
      <c r="D687" s="0" t="n">
        <f aca="false">DAY(A687)</f>
        <v>29</v>
      </c>
      <c r="E687" s="0" t="n">
        <f aca="false">HOUR(A687)</f>
        <v>13</v>
      </c>
      <c r="F687" s="0" t="n">
        <f aca="false">IF(C687&gt;=6,0,1)</f>
        <v>0</v>
      </c>
      <c r="G687" s="0" t="n">
        <f aca="false">VLOOKUP(E687,Sheet1!$A$2:$B$25,2,0)</f>
        <v>1</v>
      </c>
    </row>
    <row r="688" customFormat="false" ht="15" hidden="false" customHeight="false" outlineLevel="0" collapsed="false">
      <c r="A688" s="11" t="n">
        <v>44590.5833333333</v>
      </c>
      <c r="B688" s="0" t="n">
        <v>317.35</v>
      </c>
      <c r="C688" s="0" t="n">
        <f aca="false">WEEKDAY(A688,2)</f>
        <v>6</v>
      </c>
      <c r="D688" s="0" t="n">
        <f aca="false">DAY(A688)</f>
        <v>29</v>
      </c>
      <c r="E688" s="0" t="n">
        <f aca="false">HOUR(A688)</f>
        <v>14</v>
      </c>
      <c r="F688" s="0" t="n">
        <f aca="false">IF(C688&gt;=6,0,1)</f>
        <v>0</v>
      </c>
      <c r="G688" s="0" t="n">
        <f aca="false">VLOOKUP(E688,Sheet1!$A$2:$B$25,2,0)</f>
        <v>1</v>
      </c>
    </row>
    <row r="689" customFormat="false" ht="15" hidden="false" customHeight="false" outlineLevel="0" collapsed="false">
      <c r="A689" s="11" t="n">
        <v>44590.625</v>
      </c>
      <c r="B689" s="0" t="n">
        <v>316.54</v>
      </c>
      <c r="C689" s="0" t="n">
        <f aca="false">WEEKDAY(A689,2)</f>
        <v>6</v>
      </c>
      <c r="D689" s="0" t="n">
        <f aca="false">DAY(A689)</f>
        <v>29</v>
      </c>
      <c r="E689" s="0" t="n">
        <f aca="false">HOUR(A689)</f>
        <v>15</v>
      </c>
      <c r="F689" s="0" t="n">
        <f aca="false">IF(C689&gt;=6,0,1)</f>
        <v>0</v>
      </c>
      <c r="G689" s="0" t="n">
        <f aca="false">VLOOKUP(E689,Sheet1!$A$2:$B$25,2,0)</f>
        <v>1</v>
      </c>
    </row>
    <row r="690" customFormat="false" ht="15" hidden="false" customHeight="false" outlineLevel="0" collapsed="false">
      <c r="A690" s="11" t="n">
        <v>44590.6666666667</v>
      </c>
      <c r="B690" s="0" t="n">
        <v>317.17</v>
      </c>
      <c r="C690" s="0" t="n">
        <f aca="false">WEEKDAY(A690,2)</f>
        <v>6</v>
      </c>
      <c r="D690" s="0" t="n">
        <f aca="false">DAY(A690)</f>
        <v>29</v>
      </c>
      <c r="E690" s="0" t="n">
        <f aca="false">HOUR(A690)</f>
        <v>16</v>
      </c>
      <c r="F690" s="0" t="n">
        <f aca="false">IF(C690&gt;=6,0,1)</f>
        <v>0</v>
      </c>
      <c r="G690" s="0" t="n">
        <f aca="false">VLOOKUP(E690,Sheet1!$A$2:$B$25,2,0)</f>
        <v>0</v>
      </c>
    </row>
    <row r="691" customFormat="false" ht="15" hidden="false" customHeight="false" outlineLevel="0" collapsed="false">
      <c r="A691" s="11" t="n">
        <v>44590.7083333333</v>
      </c>
      <c r="B691" s="0" t="n">
        <v>326.96</v>
      </c>
      <c r="C691" s="0" t="n">
        <f aca="false">WEEKDAY(A691,2)</f>
        <v>6</v>
      </c>
      <c r="D691" s="0" t="n">
        <f aca="false">DAY(A691)</f>
        <v>29</v>
      </c>
      <c r="E691" s="0" t="n">
        <f aca="false">HOUR(A691)</f>
        <v>17</v>
      </c>
      <c r="F691" s="0" t="n">
        <f aca="false">IF(C691&gt;=6,0,1)</f>
        <v>0</v>
      </c>
      <c r="G691" s="0" t="n">
        <f aca="false">VLOOKUP(E691,Sheet1!$A$2:$B$25,2,0)</f>
        <v>0</v>
      </c>
    </row>
    <row r="692" customFormat="false" ht="15" hidden="false" customHeight="false" outlineLevel="0" collapsed="false">
      <c r="A692" s="11" t="n">
        <v>44590.75</v>
      </c>
      <c r="B692" s="0" t="n">
        <v>312.06</v>
      </c>
      <c r="C692" s="0" t="n">
        <f aca="false">WEEKDAY(A692,2)</f>
        <v>6</v>
      </c>
      <c r="D692" s="0" t="n">
        <f aca="false">DAY(A692)</f>
        <v>29</v>
      </c>
      <c r="E692" s="0" t="n">
        <f aca="false">HOUR(A692)</f>
        <v>18</v>
      </c>
      <c r="F692" s="0" t="n">
        <f aca="false">IF(C692&gt;=6,0,1)</f>
        <v>0</v>
      </c>
      <c r="G692" s="0" t="n">
        <f aca="false">VLOOKUP(E692,Sheet1!$A$2:$B$25,2,0)</f>
        <v>0</v>
      </c>
    </row>
    <row r="693" customFormat="false" ht="15" hidden="false" customHeight="false" outlineLevel="0" collapsed="false">
      <c r="A693" s="11" t="n">
        <v>44590.7916666667</v>
      </c>
      <c r="B693" s="0" t="n">
        <v>304.77</v>
      </c>
      <c r="C693" s="0" t="n">
        <f aca="false">WEEKDAY(A693,2)</f>
        <v>6</v>
      </c>
      <c r="D693" s="0" t="n">
        <f aca="false">DAY(A693)</f>
        <v>29</v>
      </c>
      <c r="E693" s="0" t="n">
        <f aca="false">HOUR(A693)</f>
        <v>19</v>
      </c>
      <c r="F693" s="0" t="n">
        <f aca="false">IF(C693&gt;=6,0,1)</f>
        <v>0</v>
      </c>
      <c r="G693" s="0" t="n">
        <f aca="false">VLOOKUP(E693,Sheet1!$A$2:$B$25,2,0)</f>
        <v>0</v>
      </c>
    </row>
    <row r="694" customFormat="false" ht="15" hidden="false" customHeight="false" outlineLevel="0" collapsed="false">
      <c r="A694" s="11" t="n">
        <v>44590.8333333333</v>
      </c>
      <c r="B694" s="0" t="n">
        <v>299.26</v>
      </c>
      <c r="C694" s="0" t="n">
        <f aca="false">WEEKDAY(A694,2)</f>
        <v>6</v>
      </c>
      <c r="D694" s="0" t="n">
        <f aca="false">DAY(A694)</f>
        <v>29</v>
      </c>
      <c r="E694" s="0" t="n">
        <f aca="false">HOUR(A694)</f>
        <v>20</v>
      </c>
      <c r="F694" s="0" t="n">
        <f aca="false">IF(C694&gt;=6,0,1)</f>
        <v>0</v>
      </c>
      <c r="G694" s="0" t="n">
        <f aca="false">VLOOKUP(E694,Sheet1!$A$2:$B$25,2,0)</f>
        <v>0</v>
      </c>
    </row>
    <row r="695" customFormat="false" ht="15" hidden="false" customHeight="false" outlineLevel="0" collapsed="false">
      <c r="A695" s="11" t="n">
        <v>44590.875</v>
      </c>
      <c r="B695" s="0" t="n">
        <v>299.81</v>
      </c>
      <c r="C695" s="0" t="n">
        <f aca="false">WEEKDAY(A695,2)</f>
        <v>6</v>
      </c>
      <c r="D695" s="0" t="n">
        <f aca="false">DAY(A695)</f>
        <v>29</v>
      </c>
      <c r="E695" s="0" t="n">
        <f aca="false">HOUR(A695)</f>
        <v>21</v>
      </c>
      <c r="F695" s="0" t="n">
        <f aca="false">IF(C695&gt;=6,0,1)</f>
        <v>0</v>
      </c>
      <c r="G695" s="0" t="n">
        <f aca="false">VLOOKUP(E695,Sheet1!$A$2:$B$25,2,0)</f>
        <v>0</v>
      </c>
    </row>
    <row r="696" customFormat="false" ht="15" hidden="false" customHeight="false" outlineLevel="0" collapsed="false">
      <c r="A696" s="11" t="n">
        <v>44590.9166666667</v>
      </c>
      <c r="B696" s="0" t="n">
        <v>307.64</v>
      </c>
      <c r="C696" s="0" t="n">
        <f aca="false">WEEKDAY(A696,2)</f>
        <v>6</v>
      </c>
      <c r="D696" s="0" t="n">
        <f aca="false">DAY(A696)</f>
        <v>29</v>
      </c>
      <c r="E696" s="0" t="n">
        <f aca="false">HOUR(A696)</f>
        <v>22</v>
      </c>
      <c r="F696" s="0" t="n">
        <f aca="false">IF(C696&gt;=6,0,1)</f>
        <v>0</v>
      </c>
      <c r="G696" s="0" t="n">
        <f aca="false">VLOOKUP(E696,Sheet1!$A$2:$B$25,2,0)</f>
        <v>0</v>
      </c>
    </row>
    <row r="697" customFormat="false" ht="15" hidden="false" customHeight="false" outlineLevel="0" collapsed="false">
      <c r="A697" s="11" t="n">
        <v>44590.9583333333</v>
      </c>
      <c r="B697" s="0" t="n">
        <v>307.38</v>
      </c>
      <c r="C697" s="0" t="n">
        <f aca="false">WEEKDAY(A697,2)</f>
        <v>6</v>
      </c>
      <c r="D697" s="0" t="n">
        <f aca="false">DAY(A697)</f>
        <v>29</v>
      </c>
      <c r="E697" s="0" t="n">
        <f aca="false">HOUR(A697)</f>
        <v>23</v>
      </c>
      <c r="F697" s="0" t="n">
        <f aca="false">IF(C697&gt;=6,0,1)</f>
        <v>0</v>
      </c>
      <c r="G697" s="0" t="n">
        <f aca="false">VLOOKUP(E697,Sheet1!$A$2:$B$25,2,0)</f>
        <v>0</v>
      </c>
    </row>
    <row r="698" customFormat="false" ht="15" hidden="false" customHeight="false" outlineLevel="0" collapsed="false">
      <c r="A698" s="11" t="n">
        <v>44591</v>
      </c>
      <c r="B698" s="0" t="n">
        <v>310.57</v>
      </c>
      <c r="C698" s="0" t="n">
        <f aca="false">WEEKDAY(A698,2)</f>
        <v>7</v>
      </c>
      <c r="D698" s="0" t="n">
        <f aca="false">DAY(A698)</f>
        <v>30</v>
      </c>
      <c r="E698" s="0" t="n">
        <f aca="false">HOUR(A698)</f>
        <v>0</v>
      </c>
      <c r="F698" s="0" t="n">
        <f aca="false">IF(C698&gt;=6,0,1)</f>
        <v>0</v>
      </c>
      <c r="G698" s="0" t="n">
        <f aca="false">VLOOKUP(E698,Sheet1!$A$2:$B$25,2,0)</f>
        <v>0</v>
      </c>
    </row>
    <row r="699" customFormat="false" ht="15" hidden="false" customHeight="false" outlineLevel="0" collapsed="false">
      <c r="A699" s="11" t="n">
        <v>44591.0416666667</v>
      </c>
      <c r="B699" s="0" t="n">
        <v>306.59</v>
      </c>
      <c r="C699" s="0" t="n">
        <f aca="false">WEEKDAY(A699,2)</f>
        <v>7</v>
      </c>
      <c r="D699" s="0" t="n">
        <f aca="false">DAY(A699)</f>
        <v>30</v>
      </c>
      <c r="E699" s="0" t="n">
        <f aca="false">HOUR(A699)</f>
        <v>1</v>
      </c>
      <c r="F699" s="0" t="n">
        <f aca="false">IF(C699&gt;=6,0,1)</f>
        <v>0</v>
      </c>
      <c r="G699" s="0" t="n">
        <f aca="false">VLOOKUP(E699,Sheet1!$A$2:$B$25,2,0)</f>
        <v>0</v>
      </c>
    </row>
    <row r="700" customFormat="false" ht="15" hidden="false" customHeight="false" outlineLevel="0" collapsed="false">
      <c r="A700" s="11" t="n">
        <v>44591.0833333333</v>
      </c>
      <c r="B700" s="0" t="n">
        <v>307.68</v>
      </c>
      <c r="C700" s="0" t="n">
        <f aca="false">WEEKDAY(A700,2)</f>
        <v>7</v>
      </c>
      <c r="D700" s="0" t="n">
        <f aca="false">DAY(A700)</f>
        <v>30</v>
      </c>
      <c r="E700" s="0" t="n">
        <f aca="false">HOUR(A700)</f>
        <v>2</v>
      </c>
      <c r="F700" s="0" t="n">
        <f aca="false">IF(C700&gt;=6,0,1)</f>
        <v>0</v>
      </c>
      <c r="G700" s="0" t="n">
        <f aca="false">VLOOKUP(E700,Sheet1!$A$2:$B$25,2,0)</f>
        <v>0</v>
      </c>
    </row>
    <row r="701" customFormat="false" ht="15" hidden="false" customHeight="false" outlineLevel="0" collapsed="false">
      <c r="A701" s="11" t="n">
        <v>44591.125</v>
      </c>
      <c r="B701" s="0" t="n">
        <v>310.09</v>
      </c>
      <c r="C701" s="0" t="n">
        <f aca="false">WEEKDAY(A701,2)</f>
        <v>7</v>
      </c>
      <c r="D701" s="0" t="n">
        <f aca="false">DAY(A701)</f>
        <v>30</v>
      </c>
      <c r="E701" s="0" t="n">
        <f aca="false">HOUR(A701)</f>
        <v>3</v>
      </c>
      <c r="F701" s="0" t="n">
        <f aca="false">IF(C701&gt;=6,0,1)</f>
        <v>0</v>
      </c>
      <c r="G701" s="0" t="n">
        <f aca="false">VLOOKUP(E701,Sheet1!$A$2:$B$25,2,0)</f>
        <v>0</v>
      </c>
    </row>
    <row r="702" customFormat="false" ht="15" hidden="false" customHeight="false" outlineLevel="0" collapsed="false">
      <c r="A702" s="11" t="n">
        <v>44591.1666666667</v>
      </c>
      <c r="B702" s="0" t="n">
        <v>311.45</v>
      </c>
      <c r="C702" s="0" t="n">
        <f aca="false">WEEKDAY(A702,2)</f>
        <v>7</v>
      </c>
      <c r="D702" s="0" t="n">
        <f aca="false">DAY(A702)</f>
        <v>30</v>
      </c>
      <c r="E702" s="0" t="n">
        <f aca="false">HOUR(A702)</f>
        <v>4</v>
      </c>
      <c r="F702" s="0" t="n">
        <f aca="false">IF(C702&gt;=6,0,1)</f>
        <v>0</v>
      </c>
      <c r="G702" s="0" t="n">
        <f aca="false">VLOOKUP(E702,Sheet1!$A$2:$B$25,2,0)</f>
        <v>1</v>
      </c>
    </row>
    <row r="703" customFormat="false" ht="15" hidden="false" customHeight="false" outlineLevel="0" collapsed="false">
      <c r="A703" s="11" t="n">
        <v>44591.2083333333</v>
      </c>
      <c r="B703" s="0" t="n">
        <v>304.48</v>
      </c>
      <c r="C703" s="0" t="n">
        <f aca="false">WEEKDAY(A703,2)</f>
        <v>7</v>
      </c>
      <c r="D703" s="0" t="n">
        <f aca="false">DAY(A703)</f>
        <v>30</v>
      </c>
      <c r="E703" s="0" t="n">
        <f aca="false">HOUR(A703)</f>
        <v>5</v>
      </c>
      <c r="F703" s="0" t="n">
        <f aca="false">IF(C703&gt;=6,0,1)</f>
        <v>0</v>
      </c>
      <c r="G703" s="0" t="n">
        <f aca="false">VLOOKUP(E703,Sheet1!$A$2:$B$25,2,0)</f>
        <v>1</v>
      </c>
    </row>
    <row r="704" customFormat="false" ht="15" hidden="false" customHeight="false" outlineLevel="0" collapsed="false">
      <c r="A704" s="11" t="n">
        <v>44591.25</v>
      </c>
      <c r="B704" s="0" t="n">
        <v>305.93</v>
      </c>
      <c r="C704" s="0" t="n">
        <f aca="false">WEEKDAY(A704,2)</f>
        <v>7</v>
      </c>
      <c r="D704" s="0" t="n">
        <f aca="false">DAY(A704)</f>
        <v>30</v>
      </c>
      <c r="E704" s="0" t="n">
        <f aca="false">HOUR(A704)</f>
        <v>6</v>
      </c>
      <c r="F704" s="0" t="n">
        <f aca="false">IF(C704&gt;=6,0,1)</f>
        <v>0</v>
      </c>
      <c r="G704" s="0" t="n">
        <f aca="false">VLOOKUP(E704,Sheet1!$A$2:$B$25,2,0)</f>
        <v>1</v>
      </c>
    </row>
    <row r="705" customFormat="false" ht="15" hidden="false" customHeight="false" outlineLevel="0" collapsed="false">
      <c r="A705" s="11" t="n">
        <v>44591.2916666667</v>
      </c>
      <c r="B705" s="0" t="n">
        <v>305.91</v>
      </c>
      <c r="C705" s="0" t="n">
        <f aca="false">WEEKDAY(A705,2)</f>
        <v>7</v>
      </c>
      <c r="D705" s="0" t="n">
        <f aca="false">DAY(A705)</f>
        <v>30</v>
      </c>
      <c r="E705" s="0" t="n">
        <f aca="false">HOUR(A705)</f>
        <v>7</v>
      </c>
      <c r="F705" s="0" t="n">
        <f aca="false">IF(C705&gt;=6,0,1)</f>
        <v>0</v>
      </c>
      <c r="G705" s="0" t="n">
        <f aca="false">VLOOKUP(E705,Sheet1!$A$2:$B$25,2,0)</f>
        <v>1</v>
      </c>
    </row>
    <row r="706" customFormat="false" ht="15" hidden="false" customHeight="false" outlineLevel="0" collapsed="false">
      <c r="A706" s="11" t="n">
        <v>44591.3333333333</v>
      </c>
      <c r="B706" s="0" t="n">
        <v>302.2</v>
      </c>
      <c r="C706" s="0" t="n">
        <f aca="false">WEEKDAY(A706,2)</f>
        <v>7</v>
      </c>
      <c r="D706" s="0" t="n">
        <f aca="false">DAY(A706)</f>
        <v>30</v>
      </c>
      <c r="E706" s="0" t="n">
        <f aca="false">HOUR(A706)</f>
        <v>8</v>
      </c>
      <c r="F706" s="0" t="n">
        <f aca="false">IF(C706&gt;=6,0,1)</f>
        <v>0</v>
      </c>
      <c r="G706" s="0" t="n">
        <f aca="false">VLOOKUP(E706,Sheet1!$A$2:$B$25,2,0)</f>
        <v>1</v>
      </c>
    </row>
    <row r="707" customFormat="false" ht="15" hidden="false" customHeight="false" outlineLevel="0" collapsed="false">
      <c r="A707" s="11" t="n">
        <v>44591.375</v>
      </c>
      <c r="B707" s="0" t="n">
        <v>299.43</v>
      </c>
      <c r="C707" s="0" t="n">
        <f aca="false">WEEKDAY(A707,2)</f>
        <v>7</v>
      </c>
      <c r="D707" s="0" t="n">
        <f aca="false">DAY(A707)</f>
        <v>30</v>
      </c>
      <c r="E707" s="0" t="n">
        <f aca="false">HOUR(A707)</f>
        <v>9</v>
      </c>
      <c r="F707" s="0" t="n">
        <f aca="false">IF(C707&gt;=6,0,1)</f>
        <v>0</v>
      </c>
      <c r="G707" s="0" t="n">
        <f aca="false">VLOOKUP(E707,Sheet1!$A$2:$B$25,2,0)</f>
        <v>1</v>
      </c>
    </row>
    <row r="708" customFormat="false" ht="15" hidden="false" customHeight="false" outlineLevel="0" collapsed="false">
      <c r="A708" s="11" t="n">
        <v>44591.4166666667</v>
      </c>
      <c r="B708" s="0" t="n">
        <v>298.67</v>
      </c>
      <c r="C708" s="0" t="n">
        <f aca="false">WEEKDAY(A708,2)</f>
        <v>7</v>
      </c>
      <c r="D708" s="0" t="n">
        <f aca="false">DAY(A708)</f>
        <v>30</v>
      </c>
      <c r="E708" s="0" t="n">
        <f aca="false">HOUR(A708)</f>
        <v>10</v>
      </c>
      <c r="F708" s="0" t="n">
        <f aca="false">IF(C708&gt;=6,0,1)</f>
        <v>0</v>
      </c>
      <c r="G708" s="0" t="n">
        <f aca="false">VLOOKUP(E708,Sheet1!$A$2:$B$25,2,0)</f>
        <v>1</v>
      </c>
    </row>
    <row r="709" customFormat="false" ht="15" hidden="false" customHeight="false" outlineLevel="0" collapsed="false">
      <c r="A709" s="11" t="n">
        <v>44591.4583333333</v>
      </c>
      <c r="B709" s="0" t="n">
        <v>297.37</v>
      </c>
      <c r="C709" s="0" t="n">
        <f aca="false">WEEKDAY(A709,2)</f>
        <v>7</v>
      </c>
      <c r="D709" s="0" t="n">
        <f aca="false">DAY(A709)</f>
        <v>30</v>
      </c>
      <c r="E709" s="0" t="n">
        <f aca="false">HOUR(A709)</f>
        <v>11</v>
      </c>
      <c r="F709" s="0" t="n">
        <f aca="false">IF(C709&gt;=6,0,1)</f>
        <v>0</v>
      </c>
      <c r="G709" s="0" t="n">
        <f aca="false">VLOOKUP(E709,Sheet1!$A$2:$B$25,2,0)</f>
        <v>1</v>
      </c>
    </row>
    <row r="710" customFormat="false" ht="15" hidden="false" customHeight="false" outlineLevel="0" collapsed="false">
      <c r="A710" s="11" t="n">
        <v>44591.5</v>
      </c>
      <c r="B710" s="0" t="n">
        <v>295.52</v>
      </c>
      <c r="C710" s="0" t="n">
        <f aca="false">WEEKDAY(A710,2)</f>
        <v>7</v>
      </c>
      <c r="D710" s="0" t="n">
        <f aca="false">DAY(A710)</f>
        <v>30</v>
      </c>
      <c r="E710" s="0" t="n">
        <f aca="false">HOUR(A710)</f>
        <v>12</v>
      </c>
      <c r="F710" s="0" t="n">
        <f aca="false">IF(C710&gt;=6,0,1)</f>
        <v>0</v>
      </c>
      <c r="G710" s="0" t="n">
        <f aca="false">VLOOKUP(E710,Sheet1!$A$2:$B$25,2,0)</f>
        <v>1</v>
      </c>
    </row>
    <row r="711" customFormat="false" ht="15" hidden="false" customHeight="false" outlineLevel="0" collapsed="false">
      <c r="A711" s="11" t="n">
        <v>44591.5416666667</v>
      </c>
      <c r="B711" s="0" t="n">
        <v>292.18</v>
      </c>
      <c r="C711" s="0" t="n">
        <f aca="false">WEEKDAY(A711,2)</f>
        <v>7</v>
      </c>
      <c r="D711" s="0" t="n">
        <f aca="false">DAY(A711)</f>
        <v>30</v>
      </c>
      <c r="E711" s="0" t="n">
        <f aca="false">HOUR(A711)</f>
        <v>13</v>
      </c>
      <c r="F711" s="0" t="n">
        <f aca="false">IF(C711&gt;=6,0,1)</f>
        <v>0</v>
      </c>
      <c r="G711" s="0" t="n">
        <f aca="false">VLOOKUP(E711,Sheet1!$A$2:$B$25,2,0)</f>
        <v>1</v>
      </c>
    </row>
    <row r="712" customFormat="false" ht="15" hidden="false" customHeight="false" outlineLevel="0" collapsed="false">
      <c r="A712" s="11" t="n">
        <v>44591.5833333333</v>
      </c>
      <c r="B712" s="0" t="n">
        <v>290.32</v>
      </c>
      <c r="C712" s="0" t="n">
        <f aca="false">WEEKDAY(A712,2)</f>
        <v>7</v>
      </c>
      <c r="D712" s="0" t="n">
        <f aca="false">DAY(A712)</f>
        <v>30</v>
      </c>
      <c r="E712" s="0" t="n">
        <f aca="false">HOUR(A712)</f>
        <v>14</v>
      </c>
      <c r="F712" s="0" t="n">
        <f aca="false">IF(C712&gt;=6,0,1)</f>
        <v>0</v>
      </c>
      <c r="G712" s="0" t="n">
        <f aca="false">VLOOKUP(E712,Sheet1!$A$2:$B$25,2,0)</f>
        <v>1</v>
      </c>
    </row>
    <row r="713" customFormat="false" ht="15" hidden="false" customHeight="false" outlineLevel="0" collapsed="false">
      <c r="A713" s="11" t="n">
        <v>44591.625</v>
      </c>
      <c r="B713" s="0" t="n">
        <v>289.39</v>
      </c>
      <c r="C713" s="0" t="n">
        <f aca="false">WEEKDAY(A713,2)</f>
        <v>7</v>
      </c>
      <c r="D713" s="0" t="n">
        <f aca="false">DAY(A713)</f>
        <v>30</v>
      </c>
      <c r="E713" s="0" t="n">
        <f aca="false">HOUR(A713)</f>
        <v>15</v>
      </c>
      <c r="F713" s="0" t="n">
        <f aca="false">IF(C713&gt;=6,0,1)</f>
        <v>0</v>
      </c>
      <c r="G713" s="0" t="n">
        <f aca="false">VLOOKUP(E713,Sheet1!$A$2:$B$25,2,0)</f>
        <v>1</v>
      </c>
    </row>
    <row r="714" customFormat="false" ht="15" hidden="false" customHeight="false" outlineLevel="0" collapsed="false">
      <c r="A714" s="11" t="n">
        <v>44591.6666666667</v>
      </c>
      <c r="B714" s="0" t="n">
        <v>286.29</v>
      </c>
      <c r="C714" s="0" t="n">
        <f aca="false">WEEKDAY(A714,2)</f>
        <v>7</v>
      </c>
      <c r="D714" s="0" t="n">
        <f aca="false">DAY(A714)</f>
        <v>30</v>
      </c>
      <c r="E714" s="0" t="n">
        <f aca="false">HOUR(A714)</f>
        <v>16</v>
      </c>
      <c r="F714" s="0" t="n">
        <f aca="false">IF(C714&gt;=6,0,1)</f>
        <v>0</v>
      </c>
      <c r="G714" s="0" t="n">
        <f aca="false">VLOOKUP(E714,Sheet1!$A$2:$B$25,2,0)</f>
        <v>0</v>
      </c>
    </row>
    <row r="715" customFormat="false" ht="15" hidden="false" customHeight="false" outlineLevel="0" collapsed="false">
      <c r="A715" s="11" t="n">
        <v>44591.7083333333</v>
      </c>
      <c r="B715" s="0" t="n">
        <v>292.61</v>
      </c>
      <c r="C715" s="0" t="n">
        <f aca="false">WEEKDAY(A715,2)</f>
        <v>7</v>
      </c>
      <c r="D715" s="0" t="n">
        <f aca="false">DAY(A715)</f>
        <v>30</v>
      </c>
      <c r="E715" s="0" t="n">
        <f aca="false">HOUR(A715)</f>
        <v>17</v>
      </c>
      <c r="F715" s="0" t="n">
        <f aca="false">IF(C715&gt;=6,0,1)</f>
        <v>0</v>
      </c>
      <c r="G715" s="0" t="n">
        <f aca="false">VLOOKUP(E715,Sheet1!$A$2:$B$25,2,0)</f>
        <v>0</v>
      </c>
    </row>
    <row r="716" customFormat="false" ht="15" hidden="false" customHeight="false" outlineLevel="0" collapsed="false">
      <c r="A716" s="11" t="n">
        <v>44591.75</v>
      </c>
      <c r="B716" s="0" t="n">
        <v>298.64</v>
      </c>
      <c r="C716" s="0" t="n">
        <f aca="false">WEEKDAY(A716,2)</f>
        <v>7</v>
      </c>
      <c r="D716" s="0" t="n">
        <f aca="false">DAY(A716)</f>
        <v>30</v>
      </c>
      <c r="E716" s="0" t="n">
        <f aca="false">HOUR(A716)</f>
        <v>18</v>
      </c>
      <c r="F716" s="0" t="n">
        <f aca="false">IF(C716&gt;=6,0,1)</f>
        <v>0</v>
      </c>
      <c r="G716" s="0" t="n">
        <f aca="false">VLOOKUP(E716,Sheet1!$A$2:$B$25,2,0)</f>
        <v>0</v>
      </c>
    </row>
    <row r="717" customFormat="false" ht="15" hidden="false" customHeight="false" outlineLevel="0" collapsed="false">
      <c r="A717" s="11" t="n">
        <v>44591.7916666667</v>
      </c>
      <c r="B717" s="0" t="n">
        <v>302.81</v>
      </c>
      <c r="C717" s="0" t="n">
        <f aca="false">WEEKDAY(A717,2)</f>
        <v>7</v>
      </c>
      <c r="D717" s="0" t="n">
        <f aca="false">DAY(A717)</f>
        <v>30</v>
      </c>
      <c r="E717" s="0" t="n">
        <f aca="false">HOUR(A717)</f>
        <v>19</v>
      </c>
      <c r="F717" s="0" t="n">
        <f aca="false">IF(C717&gt;=6,0,1)</f>
        <v>0</v>
      </c>
      <c r="G717" s="0" t="n">
        <f aca="false">VLOOKUP(E717,Sheet1!$A$2:$B$25,2,0)</f>
        <v>0</v>
      </c>
    </row>
    <row r="718" customFormat="false" ht="15" hidden="false" customHeight="false" outlineLevel="0" collapsed="false">
      <c r="A718" s="11" t="n">
        <v>44591.8333333333</v>
      </c>
      <c r="B718" s="0" t="n">
        <v>301.49</v>
      </c>
      <c r="C718" s="0" t="n">
        <f aca="false">WEEKDAY(A718,2)</f>
        <v>7</v>
      </c>
      <c r="D718" s="0" t="n">
        <f aca="false">DAY(A718)</f>
        <v>30</v>
      </c>
      <c r="E718" s="0" t="n">
        <f aca="false">HOUR(A718)</f>
        <v>20</v>
      </c>
      <c r="F718" s="0" t="n">
        <f aca="false">IF(C718&gt;=6,0,1)</f>
        <v>0</v>
      </c>
      <c r="G718" s="0" t="n">
        <f aca="false">VLOOKUP(E718,Sheet1!$A$2:$B$25,2,0)</f>
        <v>0</v>
      </c>
    </row>
    <row r="719" customFormat="false" ht="15" hidden="false" customHeight="false" outlineLevel="0" collapsed="false">
      <c r="A719" s="11" t="n">
        <v>44591.875</v>
      </c>
      <c r="B719" s="0" t="n">
        <v>300.63</v>
      </c>
      <c r="C719" s="0" t="n">
        <f aca="false">WEEKDAY(A719,2)</f>
        <v>7</v>
      </c>
      <c r="D719" s="0" t="n">
        <f aca="false">DAY(A719)</f>
        <v>30</v>
      </c>
      <c r="E719" s="0" t="n">
        <f aca="false">HOUR(A719)</f>
        <v>21</v>
      </c>
      <c r="F719" s="0" t="n">
        <f aca="false">IF(C719&gt;=6,0,1)</f>
        <v>0</v>
      </c>
      <c r="G719" s="0" t="n">
        <f aca="false">VLOOKUP(E719,Sheet1!$A$2:$B$25,2,0)</f>
        <v>0</v>
      </c>
    </row>
    <row r="720" customFormat="false" ht="15" hidden="false" customHeight="false" outlineLevel="0" collapsed="false">
      <c r="A720" s="11" t="n">
        <v>44591.9166666667</v>
      </c>
      <c r="B720" s="0" t="n">
        <v>302.52</v>
      </c>
      <c r="C720" s="0" t="n">
        <f aca="false">WEEKDAY(A720,2)</f>
        <v>7</v>
      </c>
      <c r="D720" s="0" t="n">
        <f aca="false">DAY(A720)</f>
        <v>30</v>
      </c>
      <c r="E720" s="0" t="n">
        <f aca="false">HOUR(A720)</f>
        <v>22</v>
      </c>
      <c r="F720" s="0" t="n">
        <f aca="false">IF(C720&gt;=6,0,1)</f>
        <v>0</v>
      </c>
      <c r="G720" s="0" t="n">
        <f aca="false">VLOOKUP(E720,Sheet1!$A$2:$B$25,2,0)</f>
        <v>0</v>
      </c>
    </row>
    <row r="721" customFormat="false" ht="15" hidden="false" customHeight="false" outlineLevel="0" collapsed="false">
      <c r="A721" s="11" t="n">
        <v>44591.9583333333</v>
      </c>
      <c r="B721" s="0" t="n">
        <v>305.59</v>
      </c>
      <c r="C721" s="0" t="n">
        <f aca="false">WEEKDAY(A721,2)</f>
        <v>7</v>
      </c>
      <c r="D721" s="0" t="n">
        <f aca="false">DAY(A721)</f>
        <v>30</v>
      </c>
      <c r="E721" s="0" t="n">
        <f aca="false">HOUR(A721)</f>
        <v>23</v>
      </c>
      <c r="F721" s="0" t="n">
        <f aca="false">IF(C721&gt;=6,0,1)</f>
        <v>0</v>
      </c>
      <c r="G721" s="0" t="n">
        <f aca="false">VLOOKUP(E721,Sheet1!$A$2:$B$25,2,0)</f>
        <v>0</v>
      </c>
    </row>
    <row r="722" customFormat="false" ht="15" hidden="false" customHeight="false" outlineLevel="0" collapsed="false">
      <c r="A722" s="11" t="n">
        <v>44592</v>
      </c>
      <c r="B722" s="0" t="n">
        <v>303.71</v>
      </c>
      <c r="C722" s="0" t="n">
        <f aca="false">WEEKDAY(A722,2)</f>
        <v>1</v>
      </c>
      <c r="D722" s="0" t="n">
        <f aca="false">DAY(A722)</f>
        <v>31</v>
      </c>
      <c r="E722" s="0" t="n">
        <f aca="false">HOUR(A722)</f>
        <v>0</v>
      </c>
      <c r="F722" s="0" t="n">
        <f aca="false">IF(C722&gt;=6,0,1)</f>
        <v>1</v>
      </c>
      <c r="G722" s="0" t="n">
        <f aca="false">VLOOKUP(E722,Sheet1!$A$2:$B$25,2,0)</f>
        <v>0</v>
      </c>
    </row>
    <row r="723" customFormat="false" ht="15" hidden="false" customHeight="false" outlineLevel="0" collapsed="false">
      <c r="A723" s="11" t="n">
        <v>44592.0416666667</v>
      </c>
      <c r="B723" s="0" t="n">
        <v>303.16</v>
      </c>
      <c r="C723" s="0" t="n">
        <f aca="false">WEEKDAY(A723,2)</f>
        <v>1</v>
      </c>
      <c r="D723" s="0" t="n">
        <f aca="false">DAY(A723)</f>
        <v>31</v>
      </c>
      <c r="E723" s="0" t="n">
        <f aca="false">HOUR(A723)</f>
        <v>1</v>
      </c>
      <c r="F723" s="0" t="n">
        <f aca="false">IF(C723&gt;=6,0,1)</f>
        <v>1</v>
      </c>
      <c r="G723" s="0" t="n">
        <f aca="false">VLOOKUP(E723,Sheet1!$A$2:$B$25,2,0)</f>
        <v>0</v>
      </c>
    </row>
    <row r="724" customFormat="false" ht="15" hidden="false" customHeight="false" outlineLevel="0" collapsed="false">
      <c r="A724" s="11" t="n">
        <v>44592.0833333333</v>
      </c>
      <c r="B724" s="0" t="n">
        <v>303.29</v>
      </c>
      <c r="C724" s="0" t="n">
        <f aca="false">WEEKDAY(A724,2)</f>
        <v>1</v>
      </c>
      <c r="D724" s="0" t="n">
        <f aca="false">DAY(A724)</f>
        <v>31</v>
      </c>
      <c r="E724" s="0" t="n">
        <f aca="false">HOUR(A724)</f>
        <v>2</v>
      </c>
      <c r="F724" s="0" t="n">
        <f aca="false">IF(C724&gt;=6,0,1)</f>
        <v>1</v>
      </c>
      <c r="G724" s="0" t="n">
        <f aca="false">VLOOKUP(E724,Sheet1!$A$2:$B$25,2,0)</f>
        <v>0</v>
      </c>
    </row>
    <row r="725" customFormat="false" ht="15" hidden="false" customHeight="false" outlineLevel="0" collapsed="false">
      <c r="A725" s="11" t="n">
        <v>44592.125</v>
      </c>
      <c r="B725" s="0" t="n">
        <v>313.41</v>
      </c>
      <c r="C725" s="0" t="n">
        <f aca="false">WEEKDAY(A725,2)</f>
        <v>1</v>
      </c>
      <c r="D725" s="0" t="n">
        <f aca="false">DAY(A725)</f>
        <v>31</v>
      </c>
      <c r="E725" s="0" t="n">
        <f aca="false">HOUR(A725)</f>
        <v>3</v>
      </c>
      <c r="F725" s="0" t="n">
        <f aca="false">IF(C725&gt;=6,0,1)</f>
        <v>1</v>
      </c>
      <c r="G725" s="0" t="n">
        <f aca="false">VLOOKUP(E725,Sheet1!$A$2:$B$25,2,0)</f>
        <v>0</v>
      </c>
    </row>
    <row r="726" customFormat="false" ht="15" hidden="false" customHeight="false" outlineLevel="0" collapsed="false">
      <c r="A726" s="11" t="n">
        <v>44592.1666666667</v>
      </c>
      <c r="B726" s="0" t="n">
        <v>867</v>
      </c>
      <c r="C726" s="0" t="n">
        <f aca="false">WEEKDAY(A726,2)</f>
        <v>1</v>
      </c>
      <c r="D726" s="0" t="n">
        <f aca="false">DAY(A726)</f>
        <v>31</v>
      </c>
      <c r="E726" s="0" t="n">
        <f aca="false">HOUR(A726)</f>
        <v>4</v>
      </c>
      <c r="F726" s="0" t="n">
        <f aca="false">IF(C726&gt;=6,0,1)</f>
        <v>1</v>
      </c>
      <c r="G726" s="0" t="n">
        <f aca="false">VLOOKUP(E726,Sheet1!$A$2:$B$25,2,0)</f>
        <v>1</v>
      </c>
    </row>
    <row r="727" customFormat="false" ht="15" hidden="false" customHeight="false" outlineLevel="0" collapsed="false">
      <c r="A727" s="11" t="n">
        <v>44592.2083333333</v>
      </c>
      <c r="B727" s="0" t="n">
        <v>845.73</v>
      </c>
      <c r="C727" s="0" t="n">
        <f aca="false">WEEKDAY(A727,2)</f>
        <v>1</v>
      </c>
      <c r="D727" s="0" t="n">
        <f aca="false">DAY(A727)</f>
        <v>31</v>
      </c>
      <c r="E727" s="0" t="n">
        <f aca="false">HOUR(A727)</f>
        <v>5</v>
      </c>
      <c r="F727" s="0" t="n">
        <f aca="false">IF(C727&gt;=6,0,1)</f>
        <v>1</v>
      </c>
      <c r="G727" s="0" t="n">
        <f aca="false">VLOOKUP(E727,Sheet1!$A$2:$B$25,2,0)</f>
        <v>1</v>
      </c>
    </row>
    <row r="728" customFormat="false" ht="15" hidden="false" customHeight="false" outlineLevel="0" collapsed="false">
      <c r="A728" s="11" t="n">
        <v>44592.25</v>
      </c>
      <c r="B728" s="0" t="n">
        <v>914.12</v>
      </c>
      <c r="C728" s="0" t="n">
        <f aca="false">WEEKDAY(A728,2)</f>
        <v>1</v>
      </c>
      <c r="D728" s="0" t="n">
        <f aca="false">DAY(A728)</f>
        <v>31</v>
      </c>
      <c r="E728" s="0" t="n">
        <f aca="false">HOUR(A728)</f>
        <v>6</v>
      </c>
      <c r="F728" s="0" t="n">
        <f aca="false">IF(C728&gt;=6,0,1)</f>
        <v>1</v>
      </c>
      <c r="G728" s="0" t="n">
        <f aca="false">VLOOKUP(E728,Sheet1!$A$2:$B$25,2,0)</f>
        <v>1</v>
      </c>
    </row>
    <row r="729" customFormat="false" ht="15" hidden="false" customHeight="false" outlineLevel="0" collapsed="false">
      <c r="A729" s="11" t="n">
        <v>44592.2916666667</v>
      </c>
      <c r="B729" s="0" t="n">
        <v>1011.75</v>
      </c>
      <c r="C729" s="0" t="n">
        <f aca="false">WEEKDAY(A729,2)</f>
        <v>1</v>
      </c>
      <c r="D729" s="0" t="n">
        <f aca="false">DAY(A729)</f>
        <v>31</v>
      </c>
      <c r="E729" s="0" t="n">
        <f aca="false">HOUR(A729)</f>
        <v>7</v>
      </c>
      <c r="F729" s="0" t="n">
        <f aca="false">IF(C729&gt;=6,0,1)</f>
        <v>1</v>
      </c>
      <c r="G729" s="0" t="n">
        <f aca="false">VLOOKUP(E729,Sheet1!$A$2:$B$25,2,0)</f>
        <v>1</v>
      </c>
    </row>
    <row r="730" customFormat="false" ht="15" hidden="false" customHeight="false" outlineLevel="0" collapsed="false">
      <c r="A730" s="11" t="n">
        <v>44592.3333333333</v>
      </c>
      <c r="B730" s="0" t="n">
        <v>1072.41</v>
      </c>
      <c r="C730" s="0" t="n">
        <f aca="false">WEEKDAY(A730,2)</f>
        <v>1</v>
      </c>
      <c r="D730" s="0" t="n">
        <f aca="false">DAY(A730)</f>
        <v>31</v>
      </c>
      <c r="E730" s="0" t="n">
        <f aca="false">HOUR(A730)</f>
        <v>8</v>
      </c>
      <c r="F730" s="0" t="n">
        <f aca="false">IF(C730&gt;=6,0,1)</f>
        <v>1</v>
      </c>
      <c r="G730" s="0" t="n">
        <f aca="false">VLOOKUP(E730,Sheet1!$A$2:$B$25,2,0)</f>
        <v>1</v>
      </c>
    </row>
    <row r="731" customFormat="false" ht="15" hidden="false" customHeight="false" outlineLevel="0" collapsed="false">
      <c r="A731" s="11" t="n">
        <v>44592.375</v>
      </c>
      <c r="B731" s="0" t="n">
        <v>1036.93</v>
      </c>
      <c r="C731" s="0" t="n">
        <f aca="false">WEEKDAY(A731,2)</f>
        <v>1</v>
      </c>
      <c r="D731" s="0" t="n">
        <f aca="false">DAY(A731)</f>
        <v>31</v>
      </c>
      <c r="E731" s="0" t="n">
        <f aca="false">HOUR(A731)</f>
        <v>9</v>
      </c>
      <c r="F731" s="0" t="n">
        <f aca="false">IF(C731&gt;=6,0,1)</f>
        <v>1</v>
      </c>
      <c r="G731" s="0" t="n">
        <f aca="false">VLOOKUP(E731,Sheet1!$A$2:$B$25,2,0)</f>
        <v>1</v>
      </c>
    </row>
    <row r="732" customFormat="false" ht="15" hidden="false" customHeight="false" outlineLevel="0" collapsed="false">
      <c r="A732" s="11" t="n">
        <v>44592.4166666667</v>
      </c>
      <c r="B732" s="0" t="n">
        <v>1030.97</v>
      </c>
      <c r="C732" s="0" t="n">
        <f aca="false">WEEKDAY(A732,2)</f>
        <v>1</v>
      </c>
      <c r="D732" s="0" t="n">
        <f aca="false">DAY(A732)</f>
        <v>31</v>
      </c>
      <c r="E732" s="0" t="n">
        <f aca="false">HOUR(A732)</f>
        <v>10</v>
      </c>
      <c r="F732" s="0" t="n">
        <f aca="false">IF(C732&gt;=6,0,1)</f>
        <v>1</v>
      </c>
      <c r="G732" s="0" t="n">
        <f aca="false">VLOOKUP(E732,Sheet1!$A$2:$B$25,2,0)</f>
        <v>1</v>
      </c>
    </row>
    <row r="733" customFormat="false" ht="15" hidden="false" customHeight="false" outlineLevel="0" collapsed="false">
      <c r="A733" s="11" t="n">
        <v>44592.4583333333</v>
      </c>
      <c r="B733" s="0" t="n">
        <v>1038.88</v>
      </c>
      <c r="C733" s="0" t="n">
        <f aca="false">WEEKDAY(A733,2)</f>
        <v>1</v>
      </c>
      <c r="D733" s="0" t="n">
        <f aca="false">DAY(A733)</f>
        <v>31</v>
      </c>
      <c r="E733" s="0" t="n">
        <f aca="false">HOUR(A733)</f>
        <v>11</v>
      </c>
      <c r="F733" s="0" t="n">
        <f aca="false">IF(C733&gt;=6,0,1)</f>
        <v>1</v>
      </c>
      <c r="G733" s="0" t="n">
        <f aca="false">VLOOKUP(E733,Sheet1!$A$2:$B$25,2,0)</f>
        <v>1</v>
      </c>
    </row>
    <row r="734" customFormat="false" ht="15" hidden="false" customHeight="false" outlineLevel="0" collapsed="false">
      <c r="A734" s="11" t="n">
        <v>44592.5</v>
      </c>
      <c r="B734" s="0" t="n">
        <v>514.63</v>
      </c>
      <c r="C734" s="0" t="n">
        <f aca="false">WEEKDAY(A734,2)</f>
        <v>1</v>
      </c>
      <c r="D734" s="0" t="n">
        <f aca="false">DAY(A734)</f>
        <v>31</v>
      </c>
      <c r="E734" s="0" t="n">
        <f aca="false">HOUR(A734)</f>
        <v>12</v>
      </c>
      <c r="F734" s="0" t="n">
        <f aca="false">IF(C734&gt;=6,0,1)</f>
        <v>1</v>
      </c>
      <c r="G734" s="0" t="n">
        <f aca="false">VLOOKUP(E734,Sheet1!$A$2:$B$25,2,0)</f>
        <v>1</v>
      </c>
    </row>
    <row r="735" customFormat="false" ht="15" hidden="false" customHeight="false" outlineLevel="0" collapsed="false">
      <c r="A735" s="11" t="n">
        <v>44592.5416666667</v>
      </c>
      <c r="B735" s="0" t="n">
        <v>431.33</v>
      </c>
      <c r="C735" s="0" t="n">
        <f aca="false">WEEKDAY(A735,2)</f>
        <v>1</v>
      </c>
      <c r="D735" s="0" t="n">
        <f aca="false">DAY(A735)</f>
        <v>31</v>
      </c>
      <c r="E735" s="0" t="n">
        <f aca="false">HOUR(A735)</f>
        <v>13</v>
      </c>
      <c r="F735" s="0" t="n">
        <f aca="false">IF(C735&gt;=6,0,1)</f>
        <v>1</v>
      </c>
      <c r="G735" s="0" t="n">
        <f aca="false">VLOOKUP(E735,Sheet1!$A$2:$B$25,2,0)</f>
        <v>1</v>
      </c>
    </row>
    <row r="736" customFormat="false" ht="15" hidden="false" customHeight="false" outlineLevel="0" collapsed="false">
      <c r="A736" s="11" t="n">
        <v>44592.5833333333</v>
      </c>
      <c r="B736" s="0" t="n">
        <v>379.18</v>
      </c>
      <c r="C736" s="0" t="n">
        <f aca="false">WEEKDAY(A736,2)</f>
        <v>1</v>
      </c>
      <c r="D736" s="0" t="n">
        <f aca="false">DAY(A736)</f>
        <v>31</v>
      </c>
      <c r="E736" s="0" t="n">
        <f aca="false">HOUR(A736)</f>
        <v>14</v>
      </c>
      <c r="F736" s="0" t="n">
        <f aca="false">IF(C736&gt;=6,0,1)</f>
        <v>1</v>
      </c>
      <c r="G736" s="0" t="n">
        <f aca="false">VLOOKUP(E736,Sheet1!$A$2:$B$25,2,0)</f>
        <v>1</v>
      </c>
    </row>
    <row r="737" customFormat="false" ht="15" hidden="false" customHeight="false" outlineLevel="0" collapsed="false">
      <c r="A737" s="11" t="n">
        <v>44592.625</v>
      </c>
      <c r="B737" s="0" t="n">
        <v>366.38</v>
      </c>
      <c r="C737" s="0" t="n">
        <f aca="false">WEEKDAY(A737,2)</f>
        <v>1</v>
      </c>
      <c r="D737" s="0" t="n">
        <f aca="false">DAY(A737)</f>
        <v>31</v>
      </c>
      <c r="E737" s="0" t="n">
        <f aca="false">HOUR(A737)</f>
        <v>15</v>
      </c>
      <c r="F737" s="0" t="n">
        <f aca="false">IF(C737&gt;=6,0,1)</f>
        <v>1</v>
      </c>
      <c r="G737" s="0" t="n">
        <f aca="false">VLOOKUP(E737,Sheet1!$A$2:$B$25,2,0)</f>
        <v>1</v>
      </c>
    </row>
    <row r="738" customFormat="false" ht="15" hidden="false" customHeight="false" outlineLevel="0" collapsed="false">
      <c r="A738" s="11" t="n">
        <v>44592.6666666667</v>
      </c>
      <c r="B738" s="0" t="n">
        <v>357.05</v>
      </c>
      <c r="C738" s="0" t="n">
        <f aca="false">WEEKDAY(A738,2)</f>
        <v>1</v>
      </c>
      <c r="D738" s="0" t="n">
        <f aca="false">DAY(A738)</f>
        <v>31</v>
      </c>
      <c r="E738" s="0" t="n">
        <f aca="false">HOUR(A738)</f>
        <v>16</v>
      </c>
      <c r="F738" s="0" t="n">
        <f aca="false">IF(C738&gt;=6,0,1)</f>
        <v>1</v>
      </c>
      <c r="G738" s="0" t="n">
        <f aca="false">VLOOKUP(E738,Sheet1!$A$2:$B$25,2,0)</f>
        <v>0</v>
      </c>
    </row>
    <row r="739" customFormat="false" ht="15" hidden="false" customHeight="false" outlineLevel="0" collapsed="false">
      <c r="A739" s="11" t="n">
        <v>44592.7083333333</v>
      </c>
      <c r="B739" s="0" t="n">
        <v>358.83</v>
      </c>
      <c r="C739" s="0" t="n">
        <f aca="false">WEEKDAY(A739,2)</f>
        <v>1</v>
      </c>
      <c r="D739" s="0" t="n">
        <f aca="false">DAY(A739)</f>
        <v>31</v>
      </c>
      <c r="E739" s="0" t="n">
        <f aca="false">HOUR(A739)</f>
        <v>17</v>
      </c>
      <c r="F739" s="0" t="n">
        <f aca="false">IF(C739&gt;=6,0,1)</f>
        <v>1</v>
      </c>
      <c r="G739" s="0" t="n">
        <f aca="false">VLOOKUP(E739,Sheet1!$A$2:$B$25,2,0)</f>
        <v>0</v>
      </c>
    </row>
    <row r="740" customFormat="false" ht="15" hidden="false" customHeight="false" outlineLevel="0" collapsed="false">
      <c r="A740" s="11" t="n">
        <v>44592.75</v>
      </c>
      <c r="B740" s="0" t="n">
        <v>351.31</v>
      </c>
      <c r="C740" s="0" t="n">
        <f aca="false">WEEKDAY(A740,2)</f>
        <v>1</v>
      </c>
      <c r="D740" s="0" t="n">
        <f aca="false">DAY(A740)</f>
        <v>31</v>
      </c>
      <c r="E740" s="0" t="n">
        <f aca="false">HOUR(A740)</f>
        <v>18</v>
      </c>
      <c r="F740" s="0" t="n">
        <f aca="false">IF(C740&gt;=6,0,1)</f>
        <v>1</v>
      </c>
      <c r="G740" s="0" t="n">
        <f aca="false">VLOOKUP(E740,Sheet1!$A$2:$B$25,2,0)</f>
        <v>0</v>
      </c>
    </row>
    <row r="741" customFormat="false" ht="15" hidden="false" customHeight="false" outlineLevel="0" collapsed="false">
      <c r="A741" s="11" t="n">
        <v>44592.7916666667</v>
      </c>
      <c r="B741" s="0" t="n">
        <v>347.19</v>
      </c>
      <c r="C741" s="0" t="n">
        <f aca="false">WEEKDAY(A741,2)</f>
        <v>1</v>
      </c>
      <c r="D741" s="0" t="n">
        <f aca="false">DAY(A741)</f>
        <v>31</v>
      </c>
      <c r="E741" s="0" t="n">
        <f aca="false">HOUR(A741)</f>
        <v>19</v>
      </c>
      <c r="F741" s="0" t="n">
        <f aca="false">IF(C741&gt;=6,0,1)</f>
        <v>1</v>
      </c>
      <c r="G741" s="0" t="n">
        <f aca="false">VLOOKUP(E741,Sheet1!$A$2:$B$25,2,0)</f>
        <v>0</v>
      </c>
    </row>
    <row r="742" customFormat="false" ht="15" hidden="false" customHeight="false" outlineLevel="0" collapsed="false">
      <c r="A742" s="11" t="n">
        <v>44592.8333333333</v>
      </c>
      <c r="B742" s="0" t="n">
        <v>335.38</v>
      </c>
      <c r="C742" s="0" t="n">
        <f aca="false">WEEKDAY(A742,2)</f>
        <v>1</v>
      </c>
      <c r="D742" s="0" t="n">
        <f aca="false">DAY(A742)</f>
        <v>31</v>
      </c>
      <c r="E742" s="0" t="n">
        <f aca="false">HOUR(A742)</f>
        <v>20</v>
      </c>
      <c r="F742" s="0" t="n">
        <f aca="false">IF(C742&gt;=6,0,1)</f>
        <v>1</v>
      </c>
      <c r="G742" s="0" t="n">
        <f aca="false">VLOOKUP(E742,Sheet1!$A$2:$B$25,2,0)</f>
        <v>0</v>
      </c>
    </row>
    <row r="743" customFormat="false" ht="15" hidden="false" customHeight="false" outlineLevel="0" collapsed="false">
      <c r="A743" s="11" t="n">
        <v>44592.875</v>
      </c>
      <c r="B743" s="0" t="n">
        <v>335.95</v>
      </c>
      <c r="C743" s="0" t="n">
        <f aca="false">WEEKDAY(A743,2)</f>
        <v>1</v>
      </c>
      <c r="D743" s="0" t="n">
        <f aca="false">DAY(A743)</f>
        <v>31</v>
      </c>
      <c r="E743" s="0" t="n">
        <f aca="false">HOUR(A743)</f>
        <v>21</v>
      </c>
      <c r="F743" s="0" t="n">
        <f aca="false">IF(C743&gt;=6,0,1)</f>
        <v>1</v>
      </c>
      <c r="G743" s="0" t="n">
        <f aca="false">VLOOKUP(E743,Sheet1!$A$2:$B$25,2,0)</f>
        <v>0</v>
      </c>
    </row>
    <row r="744" customFormat="false" ht="15" hidden="false" customHeight="false" outlineLevel="0" collapsed="false">
      <c r="A744" s="11" t="n">
        <v>44592.9166666667</v>
      </c>
      <c r="B744" s="0" t="n">
        <v>315.63</v>
      </c>
      <c r="C744" s="0" t="n">
        <f aca="false">WEEKDAY(A744,2)</f>
        <v>1</v>
      </c>
      <c r="D744" s="0" t="n">
        <f aca="false">DAY(A744)</f>
        <v>31</v>
      </c>
      <c r="E744" s="0" t="n">
        <f aca="false">HOUR(A744)</f>
        <v>22</v>
      </c>
      <c r="F744" s="0" t="n">
        <f aca="false">IF(C744&gt;=6,0,1)</f>
        <v>1</v>
      </c>
      <c r="G744" s="0" t="n">
        <f aca="false">VLOOKUP(E744,Sheet1!$A$2:$B$25,2,0)</f>
        <v>0</v>
      </c>
    </row>
    <row r="745" customFormat="false" ht="15" hidden="false" customHeight="false" outlineLevel="0" collapsed="false">
      <c r="A745" s="11" t="n">
        <v>44592.9583333333</v>
      </c>
      <c r="B745" s="0" t="n">
        <v>315.97</v>
      </c>
      <c r="C745" s="0" t="n">
        <f aca="false">WEEKDAY(A745,2)</f>
        <v>1</v>
      </c>
      <c r="D745" s="0" t="n">
        <f aca="false">DAY(A745)</f>
        <v>31</v>
      </c>
      <c r="E745" s="0" t="n">
        <f aca="false">HOUR(A745)</f>
        <v>23</v>
      </c>
      <c r="F745" s="0" t="n">
        <f aca="false">IF(C745&gt;=6,0,1)</f>
        <v>1</v>
      </c>
      <c r="G745" s="0" t="n">
        <f aca="false">VLOOKUP(E745,Sheet1!$A$2:$B$25,2,0)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4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85"/>
    <col collapsed="false" customWidth="true" hidden="false" outlineLevel="0" max="2" min="2" style="0" width="13.28"/>
    <col collapsed="false" customWidth="true" hidden="false" outlineLevel="0" max="3" min="3" style="0" width="11.28"/>
    <col collapsed="false" customWidth="true" hidden="false" outlineLevel="0" max="4" min="4" style="0" width="5.14"/>
    <col collapsed="false" customWidth="true" hidden="false" outlineLevel="0" max="5" min="5" style="0" width="5.28"/>
    <col collapsed="false" customWidth="true" hidden="false" outlineLevel="0" max="6" min="6" style="0" width="11"/>
    <col collapsed="false" customWidth="true" hidden="false" outlineLevel="0" max="7" min="7" style="0" width="12"/>
  </cols>
  <sheetData>
    <row r="1" customFormat="false" ht="15" hidden="false" customHeight="false" outlineLevel="0" collapsed="false">
      <c r="A1" s="12" t="s">
        <v>18</v>
      </c>
      <c r="B1" s="12" t="s">
        <v>19</v>
      </c>
      <c r="C1" s="10" t="s">
        <v>14</v>
      </c>
      <c r="D1" s="10" t="s">
        <v>0</v>
      </c>
      <c r="E1" s="10" t="s">
        <v>15</v>
      </c>
      <c r="F1" s="10" t="s">
        <v>16</v>
      </c>
      <c r="G1" s="10" t="s">
        <v>17</v>
      </c>
    </row>
    <row r="2" customFormat="false" ht="15" hidden="false" customHeight="false" outlineLevel="0" collapsed="false">
      <c r="A2" s="13" t="n">
        <v>44562.0208333333</v>
      </c>
      <c r="B2" s="12" t="n">
        <v>252.62</v>
      </c>
      <c r="C2" s="0" t="n">
        <f aca="false">WEEKDAY(A2,2)</f>
        <v>6</v>
      </c>
      <c r="D2" s="0" t="n">
        <f aca="false">DAY(A2)</f>
        <v>1</v>
      </c>
      <c r="E2" s="0" t="n">
        <f aca="false">HOUR(A2)</f>
        <v>0</v>
      </c>
      <c r="F2" s="0" t="n">
        <f aca="false">IF(C2&gt;=6,0,1)</f>
        <v>0</v>
      </c>
      <c r="G2" s="0" t="n">
        <f aca="false">VLOOKUP(E2,Sheet1!$A$2:$B$25,2,0)</f>
        <v>0</v>
      </c>
    </row>
    <row r="3" customFormat="false" ht="15" hidden="false" customHeight="false" outlineLevel="0" collapsed="false">
      <c r="A3" s="13" t="n">
        <v>44562.0416666667</v>
      </c>
      <c r="B3" s="12" t="n">
        <v>250.201</v>
      </c>
      <c r="C3" s="0" t="n">
        <f aca="false">WEEKDAY(A3,2)</f>
        <v>6</v>
      </c>
      <c r="D3" s="0" t="n">
        <f aca="false">DAY(A3)</f>
        <v>1</v>
      </c>
      <c r="E3" s="0" t="n">
        <f aca="false">HOUR(A3)</f>
        <v>1</v>
      </c>
      <c r="F3" s="0" t="n">
        <f aca="false">IF(C3&gt;=6,0,1)</f>
        <v>0</v>
      </c>
      <c r="G3" s="0" t="n">
        <f aca="false">VLOOKUP(E3,Sheet1!$A$2:$B$25,2,0)</f>
        <v>0</v>
      </c>
    </row>
    <row r="4" customFormat="false" ht="15" hidden="false" customHeight="false" outlineLevel="0" collapsed="false">
      <c r="A4" s="13" t="n">
        <v>44562.0625</v>
      </c>
      <c r="B4" s="12" t="n">
        <v>247.196</v>
      </c>
      <c r="C4" s="0" t="n">
        <f aca="false">WEEKDAY(A4,2)</f>
        <v>6</v>
      </c>
      <c r="D4" s="0" t="n">
        <f aca="false">DAY(A4)</f>
        <v>1</v>
      </c>
      <c r="E4" s="0" t="n">
        <f aca="false">HOUR(A4)</f>
        <v>1</v>
      </c>
      <c r="F4" s="0" t="n">
        <f aca="false">IF(C4&gt;=6,0,1)</f>
        <v>0</v>
      </c>
      <c r="G4" s="0" t="n">
        <f aca="false">VLOOKUP(E4,Sheet1!$A$2:$B$25,2,0)</f>
        <v>0</v>
      </c>
    </row>
    <row r="5" customFormat="false" ht="15" hidden="false" customHeight="false" outlineLevel="0" collapsed="false">
      <c r="A5" s="13" t="n">
        <v>44562.0833333333</v>
      </c>
      <c r="B5" s="12" t="n">
        <v>248.756</v>
      </c>
      <c r="C5" s="0" t="n">
        <f aca="false">WEEKDAY(A5,2)</f>
        <v>6</v>
      </c>
      <c r="D5" s="0" t="n">
        <f aca="false">DAY(A5)</f>
        <v>1</v>
      </c>
      <c r="E5" s="0" t="n">
        <f aca="false">HOUR(A5)</f>
        <v>2</v>
      </c>
      <c r="F5" s="0" t="n">
        <f aca="false">IF(C5&gt;=6,0,1)</f>
        <v>0</v>
      </c>
      <c r="G5" s="0" t="n">
        <f aca="false">VLOOKUP(E5,Sheet1!$A$2:$B$25,2,0)</f>
        <v>0</v>
      </c>
    </row>
    <row r="6" customFormat="false" ht="15" hidden="false" customHeight="false" outlineLevel="0" collapsed="false">
      <c r="A6" s="13" t="n">
        <v>44562.1041666667</v>
      </c>
      <c r="B6" s="12" t="n">
        <v>247.796</v>
      </c>
      <c r="C6" s="0" t="n">
        <f aca="false">WEEKDAY(A6,2)</f>
        <v>6</v>
      </c>
      <c r="D6" s="0" t="n">
        <f aca="false">DAY(A6)</f>
        <v>1</v>
      </c>
      <c r="E6" s="0" t="n">
        <f aca="false">HOUR(A6)</f>
        <v>2</v>
      </c>
      <c r="F6" s="0" t="n">
        <f aca="false">IF(C6&gt;=6,0,1)</f>
        <v>0</v>
      </c>
      <c r="G6" s="0" t="n">
        <f aca="false">VLOOKUP(E6,Sheet1!$A$2:$B$25,2,0)</f>
        <v>0</v>
      </c>
    </row>
    <row r="7" customFormat="false" ht="15" hidden="false" customHeight="false" outlineLevel="0" collapsed="false">
      <c r="A7" s="13" t="n">
        <v>44562.125</v>
      </c>
      <c r="B7" s="12" t="n">
        <v>247.225</v>
      </c>
      <c r="C7" s="0" t="n">
        <f aca="false">WEEKDAY(A7,2)</f>
        <v>6</v>
      </c>
      <c r="D7" s="0" t="n">
        <f aca="false">DAY(A7)</f>
        <v>1</v>
      </c>
      <c r="E7" s="0" t="n">
        <f aca="false">HOUR(A7)</f>
        <v>3</v>
      </c>
      <c r="F7" s="0" t="n">
        <f aca="false">IF(C7&gt;=6,0,1)</f>
        <v>0</v>
      </c>
      <c r="G7" s="0" t="n">
        <f aca="false">VLOOKUP(E7,Sheet1!$A$2:$B$25,2,0)</f>
        <v>0</v>
      </c>
    </row>
    <row r="8" customFormat="false" ht="15" hidden="false" customHeight="false" outlineLevel="0" collapsed="false">
      <c r="A8" s="13" t="n">
        <v>44562.1458333333</v>
      </c>
      <c r="B8" s="12" t="n">
        <v>249.98</v>
      </c>
      <c r="C8" s="0" t="n">
        <f aca="false">WEEKDAY(A8,2)</f>
        <v>6</v>
      </c>
      <c r="D8" s="0" t="n">
        <f aca="false">DAY(A8)</f>
        <v>1</v>
      </c>
      <c r="E8" s="0" t="n">
        <f aca="false">HOUR(A8)</f>
        <v>3</v>
      </c>
      <c r="F8" s="0" t="n">
        <f aca="false">IF(C8&gt;=6,0,1)</f>
        <v>0</v>
      </c>
      <c r="G8" s="0" t="n">
        <f aca="false">VLOOKUP(E8,Sheet1!$A$2:$B$25,2,0)</f>
        <v>0</v>
      </c>
    </row>
    <row r="9" customFormat="false" ht="15" hidden="false" customHeight="false" outlineLevel="0" collapsed="false">
      <c r="A9" s="13" t="n">
        <v>44562.1666666667</v>
      </c>
      <c r="B9" s="12" t="n">
        <v>256.705</v>
      </c>
      <c r="C9" s="0" t="n">
        <f aca="false">WEEKDAY(A9,2)</f>
        <v>6</v>
      </c>
      <c r="D9" s="0" t="n">
        <f aca="false">DAY(A9)</f>
        <v>1</v>
      </c>
      <c r="E9" s="0" t="n">
        <f aca="false">HOUR(A9)</f>
        <v>4</v>
      </c>
      <c r="F9" s="0" t="n">
        <f aca="false">IF(C9&gt;=6,0,1)</f>
        <v>0</v>
      </c>
      <c r="G9" s="0" t="n">
        <f aca="false">VLOOKUP(E9,Sheet1!$A$2:$B$25,2,0)</f>
        <v>1</v>
      </c>
    </row>
    <row r="10" customFormat="false" ht="15" hidden="false" customHeight="false" outlineLevel="0" collapsed="false">
      <c r="A10" s="13" t="n">
        <v>44562.1875</v>
      </c>
      <c r="B10" s="12" t="n">
        <v>261.02</v>
      </c>
      <c r="C10" s="0" t="n">
        <f aca="false">WEEKDAY(A10,2)</f>
        <v>6</v>
      </c>
      <c r="D10" s="0" t="n">
        <f aca="false">DAY(A10)</f>
        <v>1</v>
      </c>
      <c r="E10" s="0" t="n">
        <f aca="false">HOUR(A10)</f>
        <v>4</v>
      </c>
      <c r="F10" s="0" t="n">
        <f aca="false">IF(C10&gt;=6,0,1)</f>
        <v>0</v>
      </c>
      <c r="G10" s="0" t="n">
        <f aca="false">VLOOKUP(E10,Sheet1!$A$2:$B$25,2,0)</f>
        <v>1</v>
      </c>
    </row>
    <row r="11" customFormat="false" ht="15" hidden="false" customHeight="false" outlineLevel="0" collapsed="false">
      <c r="A11" s="13" t="n">
        <v>44562.2083333333</v>
      </c>
      <c r="B11" s="12" t="n">
        <v>255.716</v>
      </c>
      <c r="C11" s="0" t="n">
        <f aca="false">WEEKDAY(A11,2)</f>
        <v>6</v>
      </c>
      <c r="D11" s="0" t="n">
        <f aca="false">DAY(A11)</f>
        <v>1</v>
      </c>
      <c r="E11" s="0" t="n">
        <f aca="false">HOUR(A11)</f>
        <v>5</v>
      </c>
      <c r="F11" s="0" t="n">
        <f aca="false">IF(C11&gt;=6,0,1)</f>
        <v>0</v>
      </c>
      <c r="G11" s="0" t="n">
        <f aca="false">VLOOKUP(E11,Sheet1!$A$2:$B$25,2,0)</f>
        <v>1</v>
      </c>
    </row>
    <row r="12" customFormat="false" ht="15" hidden="false" customHeight="false" outlineLevel="0" collapsed="false">
      <c r="A12" s="13" t="n">
        <v>44562.2291666667</v>
      </c>
      <c r="B12" s="12" t="n">
        <v>260.065</v>
      </c>
      <c r="C12" s="0" t="n">
        <f aca="false">WEEKDAY(A12,2)</f>
        <v>6</v>
      </c>
      <c r="D12" s="0" t="n">
        <f aca="false">DAY(A12)</f>
        <v>1</v>
      </c>
      <c r="E12" s="0" t="n">
        <f aca="false">HOUR(A12)</f>
        <v>5</v>
      </c>
      <c r="F12" s="0" t="n">
        <f aca="false">IF(C12&gt;=6,0,1)</f>
        <v>0</v>
      </c>
      <c r="G12" s="0" t="n">
        <f aca="false">VLOOKUP(E12,Sheet1!$A$2:$B$25,2,0)</f>
        <v>1</v>
      </c>
    </row>
    <row r="13" customFormat="false" ht="15" hidden="false" customHeight="false" outlineLevel="0" collapsed="false">
      <c r="A13" s="13" t="n">
        <v>44562.25</v>
      </c>
      <c r="B13" s="12" t="n">
        <v>258.836</v>
      </c>
      <c r="C13" s="0" t="n">
        <f aca="false">WEEKDAY(A13,2)</f>
        <v>6</v>
      </c>
      <c r="D13" s="0" t="n">
        <f aca="false">DAY(A13)</f>
        <v>1</v>
      </c>
      <c r="E13" s="0" t="n">
        <f aca="false">HOUR(A13)</f>
        <v>6</v>
      </c>
      <c r="F13" s="0" t="n">
        <f aca="false">IF(C13&gt;=6,0,1)</f>
        <v>0</v>
      </c>
      <c r="G13" s="0" t="n">
        <f aca="false">VLOOKUP(E13,Sheet1!$A$2:$B$25,2,0)</f>
        <v>1</v>
      </c>
    </row>
    <row r="14" customFormat="false" ht="15" hidden="false" customHeight="false" outlineLevel="0" collapsed="false">
      <c r="A14" s="13" t="n">
        <v>44562.2708333333</v>
      </c>
      <c r="B14" s="12" t="n">
        <v>256.436</v>
      </c>
      <c r="C14" s="0" t="n">
        <f aca="false">WEEKDAY(A14,2)</f>
        <v>6</v>
      </c>
      <c r="D14" s="0" t="n">
        <f aca="false">DAY(A14)</f>
        <v>1</v>
      </c>
      <c r="E14" s="0" t="n">
        <f aca="false">HOUR(A14)</f>
        <v>6</v>
      </c>
      <c r="F14" s="0" t="n">
        <f aca="false">IF(C14&gt;=6,0,1)</f>
        <v>0</v>
      </c>
      <c r="G14" s="0" t="n">
        <f aca="false">VLOOKUP(E14,Sheet1!$A$2:$B$25,2,0)</f>
        <v>1</v>
      </c>
    </row>
    <row r="15" customFormat="false" ht="15" hidden="false" customHeight="false" outlineLevel="0" collapsed="false">
      <c r="A15" s="13" t="n">
        <v>44562.2916666667</v>
      </c>
      <c r="B15" s="12" t="n">
        <v>256.585</v>
      </c>
      <c r="C15" s="0" t="n">
        <f aca="false">WEEKDAY(A15,2)</f>
        <v>6</v>
      </c>
      <c r="D15" s="0" t="n">
        <f aca="false">DAY(A15)</f>
        <v>1</v>
      </c>
      <c r="E15" s="0" t="n">
        <f aca="false">HOUR(A15)</f>
        <v>7</v>
      </c>
      <c r="F15" s="0" t="n">
        <f aca="false">IF(C15&gt;=6,0,1)</f>
        <v>0</v>
      </c>
      <c r="G15" s="0" t="n">
        <f aca="false">VLOOKUP(E15,Sheet1!$A$2:$B$25,2,0)</f>
        <v>1</v>
      </c>
    </row>
    <row r="16" customFormat="false" ht="15" hidden="false" customHeight="false" outlineLevel="0" collapsed="false">
      <c r="A16" s="13" t="n">
        <v>44562.3125</v>
      </c>
      <c r="B16" s="12" t="n">
        <v>254.636</v>
      </c>
      <c r="C16" s="0" t="n">
        <f aca="false">WEEKDAY(A16,2)</f>
        <v>6</v>
      </c>
      <c r="D16" s="0" t="n">
        <f aca="false">DAY(A16)</f>
        <v>1</v>
      </c>
      <c r="E16" s="0" t="n">
        <f aca="false">HOUR(A16)</f>
        <v>7</v>
      </c>
      <c r="F16" s="0" t="n">
        <f aca="false">IF(C16&gt;=6,0,1)</f>
        <v>0</v>
      </c>
      <c r="G16" s="0" t="n">
        <f aca="false">VLOOKUP(E16,Sheet1!$A$2:$B$25,2,0)</f>
        <v>1</v>
      </c>
    </row>
    <row r="17" customFormat="false" ht="15" hidden="false" customHeight="false" outlineLevel="0" collapsed="false">
      <c r="A17" s="13" t="n">
        <v>44562.3333333333</v>
      </c>
      <c r="B17" s="12" t="n">
        <v>248.636</v>
      </c>
      <c r="C17" s="0" t="n">
        <f aca="false">WEEKDAY(A17,2)</f>
        <v>6</v>
      </c>
      <c r="D17" s="0" t="n">
        <f aca="false">DAY(A17)</f>
        <v>1</v>
      </c>
      <c r="E17" s="0" t="n">
        <f aca="false">HOUR(A17)</f>
        <v>8</v>
      </c>
      <c r="F17" s="0" t="n">
        <f aca="false">IF(C17&gt;=6,0,1)</f>
        <v>0</v>
      </c>
      <c r="G17" s="0" t="n">
        <f aca="false">VLOOKUP(E17,Sheet1!$A$2:$B$25,2,0)</f>
        <v>1</v>
      </c>
    </row>
    <row r="18" customFormat="false" ht="15" hidden="false" customHeight="false" outlineLevel="0" collapsed="false">
      <c r="A18" s="13" t="n">
        <v>44562.3541666667</v>
      </c>
      <c r="B18" s="12" t="n">
        <v>245.516</v>
      </c>
      <c r="C18" s="0" t="n">
        <f aca="false">WEEKDAY(A18,2)</f>
        <v>6</v>
      </c>
      <c r="D18" s="0" t="n">
        <f aca="false">DAY(A18)</f>
        <v>1</v>
      </c>
      <c r="E18" s="0" t="n">
        <f aca="false">HOUR(A18)</f>
        <v>8</v>
      </c>
      <c r="F18" s="0" t="n">
        <f aca="false">IF(C18&gt;=6,0,1)</f>
        <v>0</v>
      </c>
      <c r="G18" s="0" t="n">
        <f aca="false">VLOOKUP(E18,Sheet1!$A$2:$B$25,2,0)</f>
        <v>1</v>
      </c>
    </row>
    <row r="19" customFormat="false" ht="15" hidden="false" customHeight="false" outlineLevel="0" collapsed="false">
      <c r="A19" s="13" t="n">
        <v>44562.375</v>
      </c>
      <c r="B19" s="12" t="n">
        <v>245.401</v>
      </c>
      <c r="C19" s="0" t="n">
        <f aca="false">WEEKDAY(A19,2)</f>
        <v>6</v>
      </c>
      <c r="D19" s="0" t="n">
        <f aca="false">DAY(A19)</f>
        <v>1</v>
      </c>
      <c r="E19" s="0" t="n">
        <f aca="false">HOUR(A19)</f>
        <v>9</v>
      </c>
      <c r="F19" s="0" t="n">
        <f aca="false">IF(C19&gt;=6,0,1)</f>
        <v>0</v>
      </c>
      <c r="G19" s="0" t="n">
        <f aca="false">VLOOKUP(E19,Sheet1!$A$2:$B$25,2,0)</f>
        <v>1</v>
      </c>
    </row>
    <row r="20" customFormat="false" ht="15" hidden="false" customHeight="false" outlineLevel="0" collapsed="false">
      <c r="A20" s="13" t="n">
        <v>44562.3958333333</v>
      </c>
      <c r="B20" s="12" t="n">
        <v>242.66</v>
      </c>
      <c r="C20" s="0" t="n">
        <f aca="false">WEEKDAY(A20,2)</f>
        <v>6</v>
      </c>
      <c r="D20" s="0" t="n">
        <f aca="false">DAY(A20)</f>
        <v>1</v>
      </c>
      <c r="E20" s="0" t="n">
        <f aca="false">HOUR(A20)</f>
        <v>9</v>
      </c>
      <c r="F20" s="0" t="n">
        <f aca="false">IF(C20&gt;=6,0,1)</f>
        <v>0</v>
      </c>
      <c r="G20" s="0" t="n">
        <f aca="false">VLOOKUP(E20,Sheet1!$A$2:$B$25,2,0)</f>
        <v>1</v>
      </c>
    </row>
    <row r="21" customFormat="false" ht="15" hidden="false" customHeight="false" outlineLevel="0" collapsed="false">
      <c r="A21" s="13" t="n">
        <v>44562.4166666667</v>
      </c>
      <c r="B21" s="12" t="n">
        <v>240.86</v>
      </c>
      <c r="C21" s="0" t="n">
        <f aca="false">WEEKDAY(A21,2)</f>
        <v>6</v>
      </c>
      <c r="D21" s="0" t="n">
        <f aca="false">DAY(A21)</f>
        <v>1</v>
      </c>
      <c r="E21" s="0" t="n">
        <f aca="false">HOUR(A21)</f>
        <v>10</v>
      </c>
      <c r="F21" s="0" t="n">
        <f aca="false">IF(C21&gt;=6,0,1)</f>
        <v>0</v>
      </c>
      <c r="G21" s="0" t="n">
        <f aca="false">VLOOKUP(E21,Sheet1!$A$2:$B$25,2,0)</f>
        <v>1</v>
      </c>
    </row>
    <row r="22" customFormat="false" ht="15" hidden="false" customHeight="false" outlineLevel="0" collapsed="false">
      <c r="A22" s="13" t="n">
        <v>44562.4375</v>
      </c>
      <c r="B22" s="12" t="n">
        <v>243.596</v>
      </c>
      <c r="C22" s="0" t="n">
        <f aca="false">WEEKDAY(A22,2)</f>
        <v>6</v>
      </c>
      <c r="D22" s="0" t="n">
        <f aca="false">DAY(A22)</f>
        <v>1</v>
      </c>
      <c r="E22" s="0" t="n">
        <f aca="false">HOUR(A22)</f>
        <v>10</v>
      </c>
      <c r="F22" s="0" t="n">
        <f aca="false">IF(C22&gt;=6,0,1)</f>
        <v>0</v>
      </c>
      <c r="G22" s="0" t="n">
        <f aca="false">VLOOKUP(E22,Sheet1!$A$2:$B$25,2,0)</f>
        <v>1</v>
      </c>
    </row>
    <row r="23" customFormat="false" ht="15" hidden="false" customHeight="false" outlineLevel="0" collapsed="false">
      <c r="A23" s="13" t="n">
        <v>44562.4583333333</v>
      </c>
      <c r="B23" s="12" t="n">
        <v>248.9</v>
      </c>
      <c r="C23" s="0" t="n">
        <f aca="false">WEEKDAY(A23,2)</f>
        <v>6</v>
      </c>
      <c r="D23" s="0" t="n">
        <f aca="false">DAY(A23)</f>
        <v>1</v>
      </c>
      <c r="E23" s="0" t="n">
        <f aca="false">HOUR(A23)</f>
        <v>11</v>
      </c>
      <c r="F23" s="0" t="n">
        <f aca="false">IF(C23&gt;=6,0,1)</f>
        <v>0</v>
      </c>
      <c r="G23" s="0" t="n">
        <f aca="false">VLOOKUP(E23,Sheet1!$A$2:$B$25,2,0)</f>
        <v>1</v>
      </c>
    </row>
    <row r="24" customFormat="false" ht="15" hidden="false" customHeight="false" outlineLevel="0" collapsed="false">
      <c r="A24" s="13" t="n">
        <v>44562.4791666667</v>
      </c>
      <c r="B24" s="12" t="n">
        <v>244.82</v>
      </c>
      <c r="C24" s="0" t="n">
        <f aca="false">WEEKDAY(A24,2)</f>
        <v>6</v>
      </c>
      <c r="D24" s="0" t="n">
        <f aca="false">DAY(A24)</f>
        <v>1</v>
      </c>
      <c r="E24" s="0" t="n">
        <f aca="false">HOUR(A24)</f>
        <v>11</v>
      </c>
      <c r="F24" s="0" t="n">
        <f aca="false">IF(C24&gt;=6,0,1)</f>
        <v>0</v>
      </c>
      <c r="G24" s="0" t="n">
        <f aca="false">VLOOKUP(E24,Sheet1!$A$2:$B$25,2,0)</f>
        <v>1</v>
      </c>
    </row>
    <row r="25" customFormat="false" ht="15" hidden="false" customHeight="false" outlineLevel="0" collapsed="false">
      <c r="A25" s="13" t="n">
        <v>44562.5</v>
      </c>
      <c r="B25" s="12" t="n">
        <v>240.961</v>
      </c>
      <c r="C25" s="0" t="n">
        <f aca="false">WEEKDAY(A25,2)</f>
        <v>6</v>
      </c>
      <c r="D25" s="0" t="n">
        <f aca="false">DAY(A25)</f>
        <v>1</v>
      </c>
      <c r="E25" s="0" t="n">
        <f aca="false">HOUR(A25)</f>
        <v>12</v>
      </c>
      <c r="F25" s="0" t="n">
        <f aca="false">IF(C25&gt;=6,0,1)</f>
        <v>0</v>
      </c>
      <c r="G25" s="0" t="n">
        <f aca="false">VLOOKUP(E25,Sheet1!$A$2:$B$25,2,0)</f>
        <v>1</v>
      </c>
    </row>
    <row r="26" customFormat="false" ht="15" hidden="false" customHeight="false" outlineLevel="0" collapsed="false">
      <c r="A26" s="13" t="n">
        <v>44562.5208333333</v>
      </c>
      <c r="B26" s="12" t="n">
        <v>240.716</v>
      </c>
      <c r="C26" s="0" t="n">
        <f aca="false">WEEKDAY(A26,2)</f>
        <v>6</v>
      </c>
      <c r="D26" s="0" t="n">
        <f aca="false">DAY(A26)</f>
        <v>1</v>
      </c>
      <c r="E26" s="0" t="n">
        <f aca="false">HOUR(A26)</f>
        <v>12</v>
      </c>
      <c r="F26" s="0" t="n">
        <f aca="false">IF(C26&gt;=6,0,1)</f>
        <v>0</v>
      </c>
      <c r="G26" s="0" t="n">
        <f aca="false">VLOOKUP(E26,Sheet1!$A$2:$B$25,2,0)</f>
        <v>1</v>
      </c>
    </row>
    <row r="27" customFormat="false" ht="15" hidden="false" customHeight="false" outlineLevel="0" collapsed="false">
      <c r="A27" s="13" t="n">
        <v>44562.5416666667</v>
      </c>
      <c r="B27" s="12" t="n">
        <v>244.34</v>
      </c>
      <c r="C27" s="0" t="n">
        <f aca="false">WEEKDAY(A27,2)</f>
        <v>6</v>
      </c>
      <c r="D27" s="0" t="n">
        <f aca="false">DAY(A27)</f>
        <v>1</v>
      </c>
      <c r="E27" s="0" t="n">
        <f aca="false">HOUR(A27)</f>
        <v>13</v>
      </c>
      <c r="F27" s="0" t="n">
        <f aca="false">IF(C27&gt;=6,0,1)</f>
        <v>0</v>
      </c>
      <c r="G27" s="0" t="n">
        <f aca="false">VLOOKUP(E27,Sheet1!$A$2:$B$25,2,0)</f>
        <v>1</v>
      </c>
    </row>
    <row r="28" customFormat="false" ht="15" hidden="false" customHeight="false" outlineLevel="0" collapsed="false">
      <c r="A28" s="13" t="n">
        <v>44562.5625</v>
      </c>
      <c r="B28" s="12" t="n">
        <v>241.1</v>
      </c>
      <c r="C28" s="0" t="n">
        <f aca="false">WEEKDAY(A28,2)</f>
        <v>6</v>
      </c>
      <c r="D28" s="0" t="n">
        <f aca="false">DAY(A28)</f>
        <v>1</v>
      </c>
      <c r="E28" s="0" t="n">
        <f aca="false">HOUR(A28)</f>
        <v>13</v>
      </c>
      <c r="F28" s="0" t="n">
        <f aca="false">IF(C28&gt;=6,0,1)</f>
        <v>0</v>
      </c>
      <c r="G28" s="0" t="n">
        <f aca="false">VLOOKUP(E28,Sheet1!$A$2:$B$25,2,0)</f>
        <v>1</v>
      </c>
    </row>
    <row r="29" customFormat="false" ht="15" hidden="false" customHeight="false" outlineLevel="0" collapsed="false">
      <c r="A29" s="13" t="n">
        <v>44562.5833333333</v>
      </c>
      <c r="B29" s="12" t="n">
        <v>242.036</v>
      </c>
      <c r="C29" s="0" t="n">
        <f aca="false">WEEKDAY(A29,2)</f>
        <v>6</v>
      </c>
      <c r="D29" s="0" t="n">
        <f aca="false">DAY(A29)</f>
        <v>1</v>
      </c>
      <c r="E29" s="0" t="n">
        <f aca="false">HOUR(A29)</f>
        <v>14</v>
      </c>
      <c r="F29" s="0" t="n">
        <f aca="false">IF(C29&gt;=6,0,1)</f>
        <v>0</v>
      </c>
      <c r="G29" s="0" t="n">
        <f aca="false">VLOOKUP(E29,Sheet1!$A$2:$B$25,2,0)</f>
        <v>1</v>
      </c>
    </row>
    <row r="30" customFormat="false" ht="15" hidden="false" customHeight="false" outlineLevel="0" collapsed="false">
      <c r="A30" s="13" t="n">
        <v>44562.6041666667</v>
      </c>
      <c r="B30" s="12" t="n">
        <v>235.676</v>
      </c>
      <c r="C30" s="0" t="n">
        <f aca="false">WEEKDAY(A30,2)</f>
        <v>6</v>
      </c>
      <c r="D30" s="0" t="n">
        <f aca="false">DAY(A30)</f>
        <v>1</v>
      </c>
      <c r="E30" s="0" t="n">
        <f aca="false">HOUR(A30)</f>
        <v>14</v>
      </c>
      <c r="F30" s="0" t="n">
        <f aca="false">IF(C30&gt;=6,0,1)</f>
        <v>0</v>
      </c>
      <c r="G30" s="0" t="n">
        <f aca="false">VLOOKUP(E30,Sheet1!$A$2:$B$25,2,0)</f>
        <v>1</v>
      </c>
    </row>
    <row r="31" customFormat="false" ht="15" hidden="false" customHeight="false" outlineLevel="0" collapsed="false">
      <c r="A31" s="13" t="n">
        <v>44562.625</v>
      </c>
      <c r="B31" s="12" t="n">
        <v>240.86</v>
      </c>
      <c r="C31" s="0" t="n">
        <f aca="false">WEEKDAY(A31,2)</f>
        <v>6</v>
      </c>
      <c r="D31" s="0" t="n">
        <f aca="false">DAY(A31)</f>
        <v>1</v>
      </c>
      <c r="E31" s="0" t="n">
        <f aca="false">HOUR(A31)</f>
        <v>15</v>
      </c>
      <c r="F31" s="0" t="n">
        <f aca="false">IF(C31&gt;=6,0,1)</f>
        <v>0</v>
      </c>
      <c r="G31" s="0" t="n">
        <f aca="false">VLOOKUP(E31,Sheet1!$A$2:$B$25,2,0)</f>
        <v>1</v>
      </c>
    </row>
    <row r="32" customFormat="false" ht="15" hidden="false" customHeight="false" outlineLevel="0" collapsed="false">
      <c r="A32" s="13" t="n">
        <v>44562.6458333333</v>
      </c>
      <c r="B32" s="12" t="n">
        <v>241.321</v>
      </c>
      <c r="C32" s="0" t="n">
        <f aca="false">WEEKDAY(A32,2)</f>
        <v>6</v>
      </c>
      <c r="D32" s="0" t="n">
        <f aca="false">DAY(A32)</f>
        <v>1</v>
      </c>
      <c r="E32" s="0" t="n">
        <f aca="false">HOUR(A32)</f>
        <v>15</v>
      </c>
      <c r="F32" s="0" t="n">
        <f aca="false">IF(C32&gt;=6,0,1)</f>
        <v>0</v>
      </c>
      <c r="G32" s="0" t="n">
        <f aca="false">VLOOKUP(E32,Sheet1!$A$2:$B$25,2,0)</f>
        <v>1</v>
      </c>
    </row>
    <row r="33" customFormat="false" ht="15" hidden="false" customHeight="false" outlineLevel="0" collapsed="false">
      <c r="A33" s="13" t="n">
        <v>44562.6666666667</v>
      </c>
      <c r="B33" s="12" t="n">
        <v>243.86</v>
      </c>
      <c r="C33" s="0" t="n">
        <f aca="false">WEEKDAY(A33,2)</f>
        <v>6</v>
      </c>
      <c r="D33" s="0" t="n">
        <f aca="false">DAY(A33)</f>
        <v>1</v>
      </c>
      <c r="E33" s="0" t="n">
        <f aca="false">HOUR(A33)</f>
        <v>16</v>
      </c>
      <c r="F33" s="0" t="n">
        <f aca="false">IF(C33&gt;=6,0,1)</f>
        <v>0</v>
      </c>
      <c r="G33" s="0" t="n">
        <f aca="false">VLOOKUP(E33,Sheet1!$A$2:$B$25,2,0)</f>
        <v>0</v>
      </c>
    </row>
    <row r="34" customFormat="false" ht="15" hidden="false" customHeight="false" outlineLevel="0" collapsed="false">
      <c r="A34" s="13" t="n">
        <v>44562.6875</v>
      </c>
      <c r="B34" s="12" t="n">
        <v>243.5</v>
      </c>
      <c r="C34" s="0" t="n">
        <f aca="false">WEEKDAY(A34,2)</f>
        <v>6</v>
      </c>
      <c r="D34" s="0" t="n">
        <f aca="false">DAY(A34)</f>
        <v>1</v>
      </c>
      <c r="E34" s="0" t="n">
        <f aca="false">HOUR(A34)</f>
        <v>16</v>
      </c>
      <c r="F34" s="0" t="n">
        <f aca="false">IF(C34&gt;=6,0,1)</f>
        <v>0</v>
      </c>
      <c r="G34" s="0" t="n">
        <f aca="false">VLOOKUP(E34,Sheet1!$A$2:$B$25,2,0)</f>
        <v>0</v>
      </c>
    </row>
    <row r="35" customFormat="false" ht="15" hidden="false" customHeight="false" outlineLevel="0" collapsed="false">
      <c r="A35" s="13" t="n">
        <v>44562.7083333333</v>
      </c>
      <c r="B35" s="12" t="n">
        <v>244.945</v>
      </c>
      <c r="C35" s="0" t="n">
        <f aca="false">WEEKDAY(A35,2)</f>
        <v>6</v>
      </c>
      <c r="D35" s="0" t="n">
        <f aca="false">DAY(A35)</f>
        <v>1</v>
      </c>
      <c r="E35" s="0" t="n">
        <f aca="false">HOUR(A35)</f>
        <v>17</v>
      </c>
      <c r="F35" s="0" t="n">
        <f aca="false">IF(C35&gt;=6,0,1)</f>
        <v>0</v>
      </c>
      <c r="G35" s="0" t="n">
        <f aca="false">VLOOKUP(E35,Sheet1!$A$2:$B$25,2,0)</f>
        <v>0</v>
      </c>
    </row>
    <row r="36" customFormat="false" ht="15" hidden="false" customHeight="false" outlineLevel="0" collapsed="false">
      <c r="A36" s="13" t="n">
        <v>44562.7291666667</v>
      </c>
      <c r="B36" s="12" t="n">
        <v>258.116</v>
      </c>
      <c r="C36" s="0" t="n">
        <f aca="false">WEEKDAY(A36,2)</f>
        <v>6</v>
      </c>
      <c r="D36" s="0" t="n">
        <f aca="false">DAY(A36)</f>
        <v>1</v>
      </c>
      <c r="E36" s="0" t="n">
        <f aca="false">HOUR(A36)</f>
        <v>17</v>
      </c>
      <c r="F36" s="0" t="n">
        <f aca="false">IF(C36&gt;=6,0,1)</f>
        <v>0</v>
      </c>
      <c r="G36" s="0" t="n">
        <f aca="false">VLOOKUP(E36,Sheet1!$A$2:$B$25,2,0)</f>
        <v>0</v>
      </c>
    </row>
    <row r="37" customFormat="false" ht="15" hidden="false" customHeight="false" outlineLevel="0" collapsed="false">
      <c r="A37" s="13" t="n">
        <v>44562.75</v>
      </c>
      <c r="B37" s="12" t="n">
        <v>259.1</v>
      </c>
      <c r="C37" s="0" t="n">
        <f aca="false">WEEKDAY(A37,2)</f>
        <v>6</v>
      </c>
      <c r="D37" s="0" t="n">
        <f aca="false">DAY(A37)</f>
        <v>1</v>
      </c>
      <c r="E37" s="0" t="n">
        <f aca="false">HOUR(A37)</f>
        <v>18</v>
      </c>
      <c r="F37" s="0" t="n">
        <f aca="false">IF(C37&gt;=6,0,1)</f>
        <v>0</v>
      </c>
      <c r="G37" s="0" t="n">
        <f aca="false">VLOOKUP(E37,Sheet1!$A$2:$B$25,2,0)</f>
        <v>0</v>
      </c>
    </row>
    <row r="38" customFormat="false" ht="15" hidden="false" customHeight="false" outlineLevel="0" collapsed="false">
      <c r="A38" s="13" t="n">
        <v>44562.7708333333</v>
      </c>
      <c r="B38" s="12" t="n">
        <v>253.676</v>
      </c>
      <c r="C38" s="0" t="n">
        <f aca="false">WEEKDAY(A38,2)</f>
        <v>6</v>
      </c>
      <c r="D38" s="0" t="n">
        <f aca="false">DAY(A38)</f>
        <v>1</v>
      </c>
      <c r="E38" s="0" t="n">
        <f aca="false">HOUR(A38)</f>
        <v>18</v>
      </c>
      <c r="F38" s="0" t="n">
        <f aca="false">IF(C38&gt;=6,0,1)</f>
        <v>0</v>
      </c>
      <c r="G38" s="0" t="n">
        <f aca="false">VLOOKUP(E38,Sheet1!$A$2:$B$25,2,0)</f>
        <v>0</v>
      </c>
    </row>
    <row r="39" customFormat="false" ht="15" hidden="false" customHeight="false" outlineLevel="0" collapsed="false">
      <c r="A39" s="13" t="n">
        <v>44562.7916666667</v>
      </c>
      <c r="B39" s="12" t="n">
        <v>256.7</v>
      </c>
      <c r="C39" s="0" t="n">
        <f aca="false">WEEKDAY(A39,2)</f>
        <v>6</v>
      </c>
      <c r="D39" s="0" t="n">
        <f aca="false">DAY(A39)</f>
        <v>1</v>
      </c>
      <c r="E39" s="0" t="n">
        <f aca="false">HOUR(A39)</f>
        <v>19</v>
      </c>
      <c r="F39" s="0" t="n">
        <f aca="false">IF(C39&gt;=6,0,1)</f>
        <v>0</v>
      </c>
      <c r="G39" s="0" t="n">
        <f aca="false">VLOOKUP(E39,Sheet1!$A$2:$B$25,2,0)</f>
        <v>0</v>
      </c>
    </row>
    <row r="40" customFormat="false" ht="15" hidden="false" customHeight="false" outlineLevel="0" collapsed="false">
      <c r="A40" s="13" t="n">
        <v>44562.8125</v>
      </c>
      <c r="B40" s="12" t="n">
        <v>253.825</v>
      </c>
      <c r="C40" s="0" t="n">
        <f aca="false">WEEKDAY(A40,2)</f>
        <v>6</v>
      </c>
      <c r="D40" s="0" t="n">
        <f aca="false">DAY(A40)</f>
        <v>1</v>
      </c>
      <c r="E40" s="0" t="n">
        <f aca="false">HOUR(A40)</f>
        <v>19</v>
      </c>
      <c r="F40" s="0" t="n">
        <f aca="false">IF(C40&gt;=6,0,1)</f>
        <v>0</v>
      </c>
      <c r="G40" s="0" t="n">
        <f aca="false">VLOOKUP(E40,Sheet1!$A$2:$B$25,2,0)</f>
        <v>0</v>
      </c>
    </row>
    <row r="41" customFormat="false" ht="15" hidden="false" customHeight="false" outlineLevel="0" collapsed="false">
      <c r="A41" s="13" t="n">
        <v>44562.8333333333</v>
      </c>
      <c r="B41" s="12" t="n">
        <v>245.06</v>
      </c>
      <c r="C41" s="0" t="n">
        <f aca="false">WEEKDAY(A41,2)</f>
        <v>6</v>
      </c>
      <c r="D41" s="0" t="n">
        <f aca="false">DAY(A41)</f>
        <v>1</v>
      </c>
      <c r="E41" s="0" t="n">
        <f aca="false">HOUR(A41)</f>
        <v>20</v>
      </c>
      <c r="F41" s="0" t="n">
        <f aca="false">IF(C41&gt;=6,0,1)</f>
        <v>0</v>
      </c>
      <c r="G41" s="0" t="n">
        <f aca="false">VLOOKUP(E41,Sheet1!$A$2:$B$25,2,0)</f>
        <v>0</v>
      </c>
    </row>
    <row r="42" customFormat="false" ht="15" hidden="false" customHeight="false" outlineLevel="0" collapsed="false">
      <c r="A42" s="13" t="n">
        <v>44562.8541666667</v>
      </c>
      <c r="B42" s="12" t="n">
        <v>268.916</v>
      </c>
      <c r="C42" s="0" t="n">
        <f aca="false">WEEKDAY(A42,2)</f>
        <v>6</v>
      </c>
      <c r="D42" s="0" t="n">
        <f aca="false">DAY(A42)</f>
        <v>1</v>
      </c>
      <c r="E42" s="0" t="n">
        <f aca="false">HOUR(A42)</f>
        <v>20</v>
      </c>
      <c r="F42" s="0" t="n">
        <f aca="false">IF(C42&gt;=6,0,1)</f>
        <v>0</v>
      </c>
      <c r="G42" s="0" t="n">
        <f aca="false">VLOOKUP(E42,Sheet1!$A$2:$B$25,2,0)</f>
        <v>0</v>
      </c>
    </row>
    <row r="43" customFormat="false" ht="15" hidden="false" customHeight="false" outlineLevel="0" collapsed="false">
      <c r="A43" s="13" t="n">
        <v>44562.875</v>
      </c>
      <c r="B43" s="12" t="n">
        <v>256.585</v>
      </c>
      <c r="C43" s="0" t="n">
        <f aca="false">WEEKDAY(A43,2)</f>
        <v>6</v>
      </c>
      <c r="D43" s="0" t="n">
        <f aca="false">DAY(A43)</f>
        <v>1</v>
      </c>
      <c r="E43" s="0" t="n">
        <f aca="false">HOUR(A43)</f>
        <v>21</v>
      </c>
      <c r="F43" s="0" t="n">
        <f aca="false">IF(C43&gt;=6,0,1)</f>
        <v>0</v>
      </c>
      <c r="G43" s="0" t="n">
        <f aca="false">VLOOKUP(E43,Sheet1!$A$2:$B$25,2,0)</f>
        <v>0</v>
      </c>
    </row>
    <row r="44" customFormat="false" ht="15" hidden="false" customHeight="false" outlineLevel="0" collapsed="false">
      <c r="A44" s="13" t="n">
        <v>44562.8958333333</v>
      </c>
      <c r="B44" s="12" t="n">
        <v>255.74</v>
      </c>
      <c r="C44" s="0" t="n">
        <f aca="false">WEEKDAY(A44,2)</f>
        <v>6</v>
      </c>
      <c r="D44" s="0" t="n">
        <f aca="false">DAY(A44)</f>
        <v>1</v>
      </c>
      <c r="E44" s="0" t="n">
        <f aca="false">HOUR(A44)</f>
        <v>21</v>
      </c>
      <c r="F44" s="0" t="n">
        <f aca="false">IF(C44&gt;=6,0,1)</f>
        <v>0</v>
      </c>
      <c r="G44" s="0" t="n">
        <f aca="false">VLOOKUP(E44,Sheet1!$A$2:$B$25,2,0)</f>
        <v>0</v>
      </c>
    </row>
    <row r="45" customFormat="false" ht="15" hidden="false" customHeight="false" outlineLevel="0" collapsed="false">
      <c r="A45" s="13" t="n">
        <v>44562.9166666667</v>
      </c>
      <c r="B45" s="12" t="n">
        <v>251.756</v>
      </c>
      <c r="C45" s="0" t="n">
        <f aca="false">WEEKDAY(A45,2)</f>
        <v>6</v>
      </c>
      <c r="D45" s="0" t="n">
        <f aca="false">DAY(A45)</f>
        <v>1</v>
      </c>
      <c r="E45" s="0" t="n">
        <f aca="false">HOUR(A45)</f>
        <v>22</v>
      </c>
      <c r="F45" s="0" t="n">
        <f aca="false">IF(C45&gt;=6,0,1)</f>
        <v>0</v>
      </c>
      <c r="G45" s="0" t="n">
        <f aca="false">VLOOKUP(E45,Sheet1!$A$2:$B$25,2,0)</f>
        <v>0</v>
      </c>
    </row>
    <row r="46" customFormat="false" ht="15" hidden="false" customHeight="false" outlineLevel="0" collapsed="false">
      <c r="A46" s="13" t="n">
        <v>44562.9375</v>
      </c>
      <c r="B46" s="12" t="n">
        <v>258.865</v>
      </c>
      <c r="C46" s="0" t="n">
        <f aca="false">WEEKDAY(A46,2)</f>
        <v>6</v>
      </c>
      <c r="D46" s="0" t="n">
        <f aca="false">DAY(A46)</f>
        <v>1</v>
      </c>
      <c r="E46" s="0" t="n">
        <f aca="false">HOUR(A46)</f>
        <v>22</v>
      </c>
      <c r="F46" s="0" t="n">
        <f aca="false">IF(C46&gt;=6,0,1)</f>
        <v>0</v>
      </c>
      <c r="G46" s="0" t="n">
        <f aca="false">VLOOKUP(E46,Sheet1!$A$2:$B$25,2,0)</f>
        <v>0</v>
      </c>
    </row>
    <row r="47" customFormat="false" ht="15" hidden="false" customHeight="false" outlineLevel="0" collapsed="false">
      <c r="A47" s="13" t="n">
        <v>44562.9583333333</v>
      </c>
      <c r="B47" s="12" t="n">
        <v>256.34</v>
      </c>
      <c r="C47" s="0" t="n">
        <f aca="false">WEEKDAY(A47,2)</f>
        <v>6</v>
      </c>
      <c r="D47" s="0" t="n">
        <f aca="false">DAY(A47)</f>
        <v>1</v>
      </c>
      <c r="E47" s="0" t="n">
        <f aca="false">HOUR(A47)</f>
        <v>23</v>
      </c>
      <c r="F47" s="0" t="n">
        <f aca="false">IF(C47&gt;=6,0,1)</f>
        <v>0</v>
      </c>
      <c r="G47" s="0" t="n">
        <f aca="false">VLOOKUP(E47,Sheet1!$A$2:$B$25,2,0)</f>
        <v>0</v>
      </c>
    </row>
    <row r="48" customFormat="false" ht="15" hidden="false" customHeight="false" outlineLevel="0" collapsed="false">
      <c r="A48" s="13" t="n">
        <v>44562.9791666667</v>
      </c>
      <c r="B48" s="12" t="n">
        <v>255.116</v>
      </c>
      <c r="C48" s="0" t="n">
        <f aca="false">WEEKDAY(A48,2)</f>
        <v>6</v>
      </c>
      <c r="D48" s="0" t="n">
        <f aca="false">DAY(A48)</f>
        <v>1</v>
      </c>
      <c r="E48" s="0" t="n">
        <f aca="false">HOUR(A48)</f>
        <v>23</v>
      </c>
      <c r="F48" s="0" t="n">
        <f aca="false">IF(C48&gt;=6,0,1)</f>
        <v>0</v>
      </c>
      <c r="G48" s="0" t="n">
        <f aca="false">VLOOKUP(E48,Sheet1!$A$2:$B$25,2,0)</f>
        <v>0</v>
      </c>
    </row>
    <row r="49" customFormat="false" ht="15" hidden="false" customHeight="false" outlineLevel="0" collapsed="false">
      <c r="A49" s="13" t="n">
        <v>44563</v>
      </c>
      <c r="B49" s="12" t="n">
        <v>254.665</v>
      </c>
      <c r="C49" s="0" t="n">
        <f aca="false">WEEKDAY(A49,2)</f>
        <v>7</v>
      </c>
      <c r="D49" s="0" t="n">
        <f aca="false">DAY(A49)</f>
        <v>2</v>
      </c>
      <c r="E49" s="0" t="n">
        <f aca="false">HOUR(A49)</f>
        <v>0</v>
      </c>
      <c r="F49" s="0" t="n">
        <f aca="false">IF(C49&gt;=6,0,1)</f>
        <v>0</v>
      </c>
      <c r="G49" s="0" t="n">
        <f aca="false">VLOOKUP(E49,Sheet1!$A$2:$B$25,2,0)</f>
        <v>0</v>
      </c>
    </row>
    <row r="50" customFormat="false" ht="15" hidden="false" customHeight="false" outlineLevel="0" collapsed="false">
      <c r="A50" s="13" t="n">
        <v>44563.0208333333</v>
      </c>
      <c r="B50" s="12" t="n">
        <v>253.316</v>
      </c>
      <c r="C50" s="0" t="n">
        <f aca="false">WEEKDAY(A50,2)</f>
        <v>7</v>
      </c>
      <c r="D50" s="0" t="n">
        <f aca="false">DAY(A50)</f>
        <v>2</v>
      </c>
      <c r="E50" s="0" t="n">
        <f aca="false">HOUR(A50)</f>
        <v>0</v>
      </c>
      <c r="F50" s="0" t="n">
        <f aca="false">IF(C50&gt;=6,0,1)</f>
        <v>0</v>
      </c>
      <c r="G50" s="0" t="n">
        <f aca="false">VLOOKUP(E50,Sheet1!$A$2:$B$25,2,0)</f>
        <v>0</v>
      </c>
    </row>
    <row r="51" customFormat="false" ht="15" hidden="false" customHeight="false" outlineLevel="0" collapsed="false">
      <c r="A51" s="13" t="n">
        <v>44563.0416666667</v>
      </c>
      <c r="B51" s="12" t="n">
        <v>257.156</v>
      </c>
      <c r="C51" s="0" t="n">
        <f aca="false">WEEKDAY(A51,2)</f>
        <v>7</v>
      </c>
      <c r="D51" s="0" t="n">
        <f aca="false">DAY(A51)</f>
        <v>2</v>
      </c>
      <c r="E51" s="0" t="n">
        <f aca="false">HOUR(A51)</f>
        <v>1</v>
      </c>
      <c r="F51" s="0" t="n">
        <f aca="false">IF(C51&gt;=6,0,1)</f>
        <v>0</v>
      </c>
      <c r="G51" s="0" t="n">
        <f aca="false">VLOOKUP(E51,Sheet1!$A$2:$B$25,2,0)</f>
        <v>0</v>
      </c>
    </row>
    <row r="52" customFormat="false" ht="15" hidden="false" customHeight="false" outlineLevel="0" collapsed="false">
      <c r="A52" s="13" t="n">
        <v>44563.0625</v>
      </c>
      <c r="B52" s="12" t="n">
        <v>254.876</v>
      </c>
      <c r="C52" s="0" t="n">
        <f aca="false">WEEKDAY(A52,2)</f>
        <v>7</v>
      </c>
      <c r="D52" s="0" t="n">
        <f aca="false">DAY(A52)</f>
        <v>2</v>
      </c>
      <c r="E52" s="0" t="n">
        <f aca="false">HOUR(A52)</f>
        <v>1</v>
      </c>
      <c r="F52" s="0" t="n">
        <f aca="false">IF(C52&gt;=6,0,1)</f>
        <v>0</v>
      </c>
      <c r="G52" s="0" t="n">
        <f aca="false">VLOOKUP(E52,Sheet1!$A$2:$B$25,2,0)</f>
        <v>0</v>
      </c>
    </row>
    <row r="53" customFormat="false" ht="15" hidden="false" customHeight="false" outlineLevel="0" collapsed="false">
      <c r="A53" s="13" t="n">
        <v>44563.0833333333</v>
      </c>
      <c r="B53" s="12" t="n">
        <v>255.116</v>
      </c>
      <c r="C53" s="0" t="n">
        <f aca="false">WEEKDAY(A53,2)</f>
        <v>7</v>
      </c>
      <c r="D53" s="0" t="n">
        <f aca="false">DAY(A53)</f>
        <v>2</v>
      </c>
      <c r="E53" s="0" t="n">
        <f aca="false">HOUR(A53)</f>
        <v>2</v>
      </c>
      <c r="F53" s="0" t="n">
        <f aca="false">IF(C53&gt;=6,0,1)</f>
        <v>0</v>
      </c>
      <c r="G53" s="0" t="n">
        <f aca="false">VLOOKUP(E53,Sheet1!$A$2:$B$25,2,0)</f>
        <v>0</v>
      </c>
    </row>
    <row r="54" customFormat="false" ht="15" hidden="false" customHeight="false" outlineLevel="0" collapsed="false">
      <c r="A54" s="13" t="n">
        <v>44563.1041666667</v>
      </c>
      <c r="B54" s="12" t="n">
        <v>245.156</v>
      </c>
      <c r="C54" s="0" t="n">
        <f aca="false">WEEKDAY(A54,2)</f>
        <v>7</v>
      </c>
      <c r="D54" s="0" t="n">
        <f aca="false">DAY(A54)</f>
        <v>2</v>
      </c>
      <c r="E54" s="0" t="n">
        <f aca="false">HOUR(A54)</f>
        <v>2</v>
      </c>
      <c r="F54" s="0" t="n">
        <f aca="false">IF(C54&gt;=6,0,1)</f>
        <v>0</v>
      </c>
      <c r="G54" s="0" t="n">
        <f aca="false">VLOOKUP(E54,Sheet1!$A$2:$B$25,2,0)</f>
        <v>0</v>
      </c>
    </row>
    <row r="55" customFormat="false" ht="15" hidden="false" customHeight="false" outlineLevel="0" collapsed="false">
      <c r="A55" s="13" t="n">
        <v>44563.125</v>
      </c>
      <c r="B55" s="12" t="n">
        <v>238.705</v>
      </c>
      <c r="C55" s="0" t="n">
        <f aca="false">WEEKDAY(A55,2)</f>
        <v>7</v>
      </c>
      <c r="D55" s="0" t="n">
        <f aca="false">DAY(A55)</f>
        <v>2</v>
      </c>
      <c r="E55" s="0" t="n">
        <f aca="false">HOUR(A55)</f>
        <v>3</v>
      </c>
      <c r="F55" s="0" t="n">
        <f aca="false">IF(C55&gt;=6,0,1)</f>
        <v>0</v>
      </c>
      <c r="G55" s="0" t="n">
        <f aca="false">VLOOKUP(E55,Sheet1!$A$2:$B$25,2,0)</f>
        <v>0</v>
      </c>
    </row>
    <row r="56" customFormat="false" ht="15" hidden="false" customHeight="false" outlineLevel="0" collapsed="false">
      <c r="A56" s="13" t="n">
        <v>44563.1458333333</v>
      </c>
      <c r="B56" s="12" t="n">
        <v>242.756</v>
      </c>
      <c r="C56" s="0" t="n">
        <f aca="false">WEEKDAY(A56,2)</f>
        <v>7</v>
      </c>
      <c r="D56" s="0" t="n">
        <f aca="false">DAY(A56)</f>
        <v>2</v>
      </c>
      <c r="E56" s="0" t="n">
        <f aca="false">HOUR(A56)</f>
        <v>3</v>
      </c>
      <c r="F56" s="0" t="n">
        <f aca="false">IF(C56&gt;=6,0,1)</f>
        <v>0</v>
      </c>
      <c r="G56" s="0" t="n">
        <f aca="false">VLOOKUP(E56,Sheet1!$A$2:$B$25,2,0)</f>
        <v>0</v>
      </c>
    </row>
    <row r="57" customFormat="false" ht="15" hidden="false" customHeight="false" outlineLevel="0" collapsed="false">
      <c r="A57" s="13" t="n">
        <v>44563.1666666667</v>
      </c>
      <c r="B57" s="12" t="n">
        <v>244.681</v>
      </c>
      <c r="C57" s="0" t="n">
        <f aca="false">WEEKDAY(A57,2)</f>
        <v>7</v>
      </c>
      <c r="D57" s="0" t="n">
        <f aca="false">DAY(A57)</f>
        <v>2</v>
      </c>
      <c r="E57" s="0" t="n">
        <f aca="false">HOUR(A57)</f>
        <v>4</v>
      </c>
      <c r="F57" s="0" t="n">
        <f aca="false">IF(C57&gt;=6,0,1)</f>
        <v>0</v>
      </c>
      <c r="G57" s="0" t="n">
        <f aca="false">VLOOKUP(E57,Sheet1!$A$2:$B$25,2,0)</f>
        <v>1</v>
      </c>
    </row>
    <row r="58" customFormat="false" ht="15" hidden="false" customHeight="false" outlineLevel="0" collapsed="false">
      <c r="A58" s="13" t="n">
        <v>44563.1875</v>
      </c>
      <c r="B58" s="12" t="n">
        <v>247.7</v>
      </c>
      <c r="C58" s="0" t="n">
        <f aca="false">WEEKDAY(A58,2)</f>
        <v>7</v>
      </c>
      <c r="D58" s="0" t="n">
        <f aca="false">DAY(A58)</f>
        <v>2</v>
      </c>
      <c r="E58" s="0" t="n">
        <f aca="false">HOUR(A58)</f>
        <v>4</v>
      </c>
      <c r="F58" s="0" t="n">
        <f aca="false">IF(C58&gt;=6,0,1)</f>
        <v>0</v>
      </c>
      <c r="G58" s="0" t="n">
        <f aca="false">VLOOKUP(E58,Sheet1!$A$2:$B$25,2,0)</f>
        <v>1</v>
      </c>
    </row>
    <row r="59" customFormat="false" ht="15" hidden="false" customHeight="false" outlineLevel="0" collapsed="false">
      <c r="A59" s="13" t="n">
        <v>44563.2083333333</v>
      </c>
      <c r="B59" s="12" t="n">
        <v>243.116</v>
      </c>
      <c r="C59" s="0" t="n">
        <f aca="false">WEEKDAY(A59,2)</f>
        <v>7</v>
      </c>
      <c r="D59" s="0" t="n">
        <f aca="false">DAY(A59)</f>
        <v>2</v>
      </c>
      <c r="E59" s="0" t="n">
        <f aca="false">HOUR(A59)</f>
        <v>5</v>
      </c>
      <c r="F59" s="0" t="n">
        <f aca="false">IF(C59&gt;=6,0,1)</f>
        <v>0</v>
      </c>
      <c r="G59" s="0" t="n">
        <f aca="false">VLOOKUP(E59,Sheet1!$A$2:$B$25,2,0)</f>
        <v>1</v>
      </c>
    </row>
    <row r="60" customFormat="false" ht="15" hidden="false" customHeight="false" outlineLevel="0" collapsed="false">
      <c r="A60" s="13" t="n">
        <v>44563.2291666667</v>
      </c>
      <c r="B60" s="12" t="n">
        <v>242.78</v>
      </c>
      <c r="C60" s="0" t="n">
        <f aca="false">WEEKDAY(A60,2)</f>
        <v>7</v>
      </c>
      <c r="D60" s="0" t="n">
        <f aca="false">DAY(A60)</f>
        <v>2</v>
      </c>
      <c r="E60" s="0" t="n">
        <f aca="false">HOUR(A60)</f>
        <v>5</v>
      </c>
      <c r="F60" s="0" t="n">
        <f aca="false">IF(C60&gt;=6,0,1)</f>
        <v>0</v>
      </c>
      <c r="G60" s="0" t="n">
        <f aca="false">VLOOKUP(E60,Sheet1!$A$2:$B$25,2,0)</f>
        <v>1</v>
      </c>
    </row>
    <row r="61" customFormat="false" ht="15" hidden="false" customHeight="false" outlineLevel="0" collapsed="false">
      <c r="A61" s="13" t="n">
        <v>44563.25</v>
      </c>
      <c r="B61" s="12" t="n">
        <v>241.46</v>
      </c>
      <c r="C61" s="0" t="n">
        <f aca="false">WEEKDAY(A61,2)</f>
        <v>7</v>
      </c>
      <c r="D61" s="0" t="n">
        <f aca="false">DAY(A61)</f>
        <v>2</v>
      </c>
      <c r="E61" s="0" t="n">
        <f aca="false">HOUR(A61)</f>
        <v>6</v>
      </c>
      <c r="F61" s="0" t="n">
        <f aca="false">IF(C61&gt;=6,0,1)</f>
        <v>0</v>
      </c>
      <c r="G61" s="0" t="n">
        <f aca="false">VLOOKUP(E61,Sheet1!$A$2:$B$25,2,0)</f>
        <v>1</v>
      </c>
    </row>
    <row r="62" customFormat="false" ht="15" hidden="false" customHeight="false" outlineLevel="0" collapsed="false">
      <c r="A62" s="13" t="n">
        <v>44563.2708333333</v>
      </c>
      <c r="B62" s="12" t="n">
        <v>246.236</v>
      </c>
      <c r="C62" s="0" t="n">
        <f aca="false">WEEKDAY(A62,2)</f>
        <v>7</v>
      </c>
      <c r="D62" s="0" t="n">
        <f aca="false">DAY(A62)</f>
        <v>2</v>
      </c>
      <c r="E62" s="0" t="n">
        <f aca="false">HOUR(A62)</f>
        <v>6</v>
      </c>
      <c r="F62" s="0" t="n">
        <f aca="false">IF(C62&gt;=6,0,1)</f>
        <v>0</v>
      </c>
      <c r="G62" s="0" t="n">
        <f aca="false">VLOOKUP(E62,Sheet1!$A$2:$B$25,2,0)</f>
        <v>1</v>
      </c>
    </row>
    <row r="63" customFormat="false" ht="15" hidden="false" customHeight="false" outlineLevel="0" collapsed="false">
      <c r="A63" s="13" t="n">
        <v>44563.2916666667</v>
      </c>
      <c r="B63" s="12" t="n">
        <v>231.745</v>
      </c>
      <c r="C63" s="0" t="n">
        <f aca="false">WEEKDAY(A63,2)</f>
        <v>7</v>
      </c>
      <c r="D63" s="0" t="n">
        <f aca="false">DAY(A63)</f>
        <v>2</v>
      </c>
      <c r="E63" s="0" t="n">
        <f aca="false">HOUR(A63)</f>
        <v>7</v>
      </c>
      <c r="F63" s="0" t="n">
        <f aca="false">IF(C63&gt;=6,0,1)</f>
        <v>0</v>
      </c>
      <c r="G63" s="0" t="n">
        <f aca="false">VLOOKUP(E63,Sheet1!$A$2:$B$25,2,0)</f>
        <v>1</v>
      </c>
    </row>
    <row r="64" customFormat="false" ht="15" hidden="false" customHeight="false" outlineLevel="0" collapsed="false">
      <c r="A64" s="13" t="n">
        <v>44563.3125</v>
      </c>
      <c r="B64" s="12" t="n">
        <v>230.996</v>
      </c>
      <c r="C64" s="0" t="n">
        <f aca="false">WEEKDAY(A64,2)</f>
        <v>7</v>
      </c>
      <c r="D64" s="0" t="n">
        <f aca="false">DAY(A64)</f>
        <v>2</v>
      </c>
      <c r="E64" s="0" t="n">
        <f aca="false">HOUR(A64)</f>
        <v>7</v>
      </c>
      <c r="F64" s="0" t="n">
        <f aca="false">IF(C64&gt;=6,0,1)</f>
        <v>0</v>
      </c>
      <c r="G64" s="0" t="n">
        <f aca="false">VLOOKUP(E64,Sheet1!$A$2:$B$25,2,0)</f>
        <v>1</v>
      </c>
    </row>
    <row r="65" customFormat="false" ht="15" hidden="false" customHeight="false" outlineLevel="0" collapsed="false">
      <c r="A65" s="13" t="n">
        <v>44563.3333333333</v>
      </c>
      <c r="B65" s="12" t="n">
        <v>227.756</v>
      </c>
      <c r="C65" s="0" t="n">
        <f aca="false">WEEKDAY(A65,2)</f>
        <v>7</v>
      </c>
      <c r="D65" s="0" t="n">
        <f aca="false">DAY(A65)</f>
        <v>2</v>
      </c>
      <c r="E65" s="0" t="n">
        <f aca="false">HOUR(A65)</f>
        <v>8</v>
      </c>
      <c r="F65" s="0" t="n">
        <f aca="false">IF(C65&gt;=6,0,1)</f>
        <v>0</v>
      </c>
      <c r="G65" s="0" t="n">
        <f aca="false">VLOOKUP(E65,Sheet1!$A$2:$B$25,2,0)</f>
        <v>1</v>
      </c>
    </row>
    <row r="66" customFormat="false" ht="15" hidden="false" customHeight="false" outlineLevel="0" collapsed="false">
      <c r="A66" s="13" t="n">
        <v>44563.3541666667</v>
      </c>
      <c r="B66" s="12" t="n">
        <v>211.825</v>
      </c>
      <c r="C66" s="0" t="n">
        <f aca="false">WEEKDAY(A66,2)</f>
        <v>7</v>
      </c>
      <c r="D66" s="0" t="n">
        <f aca="false">DAY(A66)</f>
        <v>2</v>
      </c>
      <c r="E66" s="0" t="n">
        <f aca="false">HOUR(A66)</f>
        <v>8</v>
      </c>
      <c r="F66" s="0" t="n">
        <f aca="false">IF(C66&gt;=6,0,1)</f>
        <v>0</v>
      </c>
      <c r="G66" s="0" t="n">
        <f aca="false">VLOOKUP(E66,Sheet1!$A$2:$B$25,2,0)</f>
        <v>1</v>
      </c>
    </row>
    <row r="67" customFormat="false" ht="15" hidden="false" customHeight="false" outlineLevel="0" collapsed="false">
      <c r="A67" s="13" t="n">
        <v>44563.375</v>
      </c>
      <c r="B67" s="12" t="n">
        <v>211.46</v>
      </c>
      <c r="C67" s="0" t="n">
        <f aca="false">WEEKDAY(A67,2)</f>
        <v>7</v>
      </c>
      <c r="D67" s="0" t="n">
        <f aca="false">DAY(A67)</f>
        <v>2</v>
      </c>
      <c r="E67" s="0" t="n">
        <f aca="false">HOUR(A67)</f>
        <v>9</v>
      </c>
      <c r="F67" s="0" t="n">
        <f aca="false">IF(C67&gt;=6,0,1)</f>
        <v>0</v>
      </c>
      <c r="G67" s="0" t="n">
        <f aca="false">VLOOKUP(E67,Sheet1!$A$2:$B$25,2,0)</f>
        <v>1</v>
      </c>
    </row>
    <row r="68" customFormat="false" ht="15" hidden="false" customHeight="false" outlineLevel="0" collapsed="false">
      <c r="A68" s="13" t="n">
        <v>44563.3958333333</v>
      </c>
      <c r="B68" s="12" t="n">
        <v>218.156</v>
      </c>
      <c r="C68" s="0" t="n">
        <f aca="false">WEEKDAY(A68,2)</f>
        <v>7</v>
      </c>
      <c r="D68" s="0" t="n">
        <f aca="false">DAY(A68)</f>
        <v>2</v>
      </c>
      <c r="E68" s="0" t="n">
        <f aca="false">HOUR(A68)</f>
        <v>9</v>
      </c>
      <c r="F68" s="0" t="n">
        <f aca="false">IF(C68&gt;=6,0,1)</f>
        <v>0</v>
      </c>
      <c r="G68" s="0" t="n">
        <f aca="false">VLOOKUP(E68,Sheet1!$A$2:$B$25,2,0)</f>
        <v>1</v>
      </c>
    </row>
    <row r="69" customFormat="false" ht="15" hidden="false" customHeight="false" outlineLevel="0" collapsed="false">
      <c r="A69" s="13" t="n">
        <v>44563.4166666667</v>
      </c>
      <c r="B69" s="12" t="n">
        <v>213.476</v>
      </c>
      <c r="C69" s="0" t="n">
        <f aca="false">WEEKDAY(A69,2)</f>
        <v>7</v>
      </c>
      <c r="D69" s="0" t="n">
        <f aca="false">DAY(A69)</f>
        <v>2</v>
      </c>
      <c r="E69" s="0" t="n">
        <f aca="false">HOUR(A69)</f>
        <v>10</v>
      </c>
      <c r="F69" s="0" t="n">
        <f aca="false">IF(C69&gt;=6,0,1)</f>
        <v>0</v>
      </c>
      <c r="G69" s="0" t="n">
        <f aca="false">VLOOKUP(E69,Sheet1!$A$2:$B$25,2,0)</f>
        <v>1</v>
      </c>
    </row>
    <row r="70" customFormat="false" ht="15" hidden="false" customHeight="false" outlineLevel="0" collapsed="false">
      <c r="A70" s="13" t="n">
        <v>44563.4375</v>
      </c>
      <c r="B70" s="12" t="n">
        <v>218.881</v>
      </c>
      <c r="C70" s="0" t="n">
        <f aca="false">WEEKDAY(A70,2)</f>
        <v>7</v>
      </c>
      <c r="D70" s="0" t="n">
        <f aca="false">DAY(A70)</f>
        <v>2</v>
      </c>
      <c r="E70" s="0" t="n">
        <f aca="false">HOUR(A70)</f>
        <v>10</v>
      </c>
      <c r="F70" s="0" t="n">
        <f aca="false">IF(C70&gt;=6,0,1)</f>
        <v>0</v>
      </c>
      <c r="G70" s="0" t="n">
        <f aca="false">VLOOKUP(E70,Sheet1!$A$2:$B$25,2,0)</f>
        <v>1</v>
      </c>
    </row>
    <row r="71" customFormat="false" ht="15" hidden="false" customHeight="false" outlineLevel="0" collapsed="false">
      <c r="A71" s="13" t="n">
        <v>44563.4583333333</v>
      </c>
      <c r="B71" s="12" t="n">
        <v>214.94</v>
      </c>
      <c r="C71" s="0" t="n">
        <f aca="false">WEEKDAY(A71,2)</f>
        <v>7</v>
      </c>
      <c r="D71" s="0" t="n">
        <f aca="false">DAY(A71)</f>
        <v>2</v>
      </c>
      <c r="E71" s="0" t="n">
        <f aca="false">HOUR(A71)</f>
        <v>11</v>
      </c>
      <c r="F71" s="0" t="n">
        <f aca="false">IF(C71&gt;=6,0,1)</f>
        <v>0</v>
      </c>
      <c r="G71" s="0" t="n">
        <f aca="false">VLOOKUP(E71,Sheet1!$A$2:$B$25,2,0)</f>
        <v>1</v>
      </c>
    </row>
    <row r="72" customFormat="false" ht="15" hidden="false" customHeight="false" outlineLevel="0" collapsed="false">
      <c r="A72" s="13" t="n">
        <v>44563.4791666667</v>
      </c>
      <c r="B72" s="12" t="n">
        <v>227.18</v>
      </c>
      <c r="C72" s="0" t="n">
        <f aca="false">WEEKDAY(A72,2)</f>
        <v>7</v>
      </c>
      <c r="D72" s="0" t="n">
        <f aca="false">DAY(A72)</f>
        <v>2</v>
      </c>
      <c r="E72" s="0" t="n">
        <f aca="false">HOUR(A72)</f>
        <v>11</v>
      </c>
      <c r="F72" s="0" t="n">
        <f aca="false">IF(C72&gt;=6,0,1)</f>
        <v>0</v>
      </c>
      <c r="G72" s="0" t="n">
        <f aca="false">VLOOKUP(E72,Sheet1!$A$2:$B$25,2,0)</f>
        <v>1</v>
      </c>
    </row>
    <row r="73" customFormat="false" ht="15" hidden="false" customHeight="false" outlineLevel="0" collapsed="false">
      <c r="A73" s="13" t="n">
        <v>44563.5</v>
      </c>
      <c r="B73" s="12" t="n">
        <v>215.281</v>
      </c>
      <c r="C73" s="0" t="n">
        <f aca="false">WEEKDAY(A73,2)</f>
        <v>7</v>
      </c>
      <c r="D73" s="0" t="n">
        <f aca="false">DAY(A73)</f>
        <v>2</v>
      </c>
      <c r="E73" s="0" t="n">
        <f aca="false">HOUR(A73)</f>
        <v>12</v>
      </c>
      <c r="F73" s="0" t="n">
        <f aca="false">IF(C73&gt;=6,0,1)</f>
        <v>0</v>
      </c>
      <c r="G73" s="0" t="n">
        <f aca="false">VLOOKUP(E73,Sheet1!$A$2:$B$25,2,0)</f>
        <v>1</v>
      </c>
    </row>
    <row r="74" customFormat="false" ht="15" hidden="false" customHeight="false" outlineLevel="0" collapsed="false">
      <c r="A74" s="13" t="n">
        <v>44563.5208333333</v>
      </c>
      <c r="B74" s="12" t="n">
        <v>216.5</v>
      </c>
      <c r="C74" s="0" t="n">
        <f aca="false">WEEKDAY(A74,2)</f>
        <v>7</v>
      </c>
      <c r="D74" s="0" t="n">
        <f aca="false">DAY(A74)</f>
        <v>2</v>
      </c>
      <c r="E74" s="0" t="n">
        <f aca="false">HOUR(A74)</f>
        <v>12</v>
      </c>
      <c r="F74" s="0" t="n">
        <f aca="false">IF(C74&gt;=6,0,1)</f>
        <v>0</v>
      </c>
      <c r="G74" s="0" t="n">
        <f aca="false">VLOOKUP(E74,Sheet1!$A$2:$B$25,2,0)</f>
        <v>1</v>
      </c>
    </row>
    <row r="75" customFormat="false" ht="15" hidden="false" customHeight="false" outlineLevel="0" collapsed="false">
      <c r="A75" s="13" t="n">
        <v>44563.5416666667</v>
      </c>
      <c r="B75" s="12" t="n">
        <v>221.396</v>
      </c>
      <c r="C75" s="0" t="n">
        <f aca="false">WEEKDAY(A75,2)</f>
        <v>7</v>
      </c>
      <c r="D75" s="0" t="n">
        <f aca="false">DAY(A75)</f>
        <v>2</v>
      </c>
      <c r="E75" s="0" t="n">
        <f aca="false">HOUR(A75)</f>
        <v>13</v>
      </c>
      <c r="F75" s="0" t="n">
        <f aca="false">IF(C75&gt;=6,0,1)</f>
        <v>0</v>
      </c>
      <c r="G75" s="0" t="n">
        <f aca="false">VLOOKUP(E75,Sheet1!$A$2:$B$25,2,0)</f>
        <v>1</v>
      </c>
    </row>
    <row r="76" customFormat="false" ht="15" hidden="false" customHeight="false" outlineLevel="0" collapsed="false">
      <c r="A76" s="13" t="n">
        <v>44563.5625</v>
      </c>
      <c r="B76" s="12" t="n">
        <v>214.196</v>
      </c>
      <c r="C76" s="0" t="n">
        <f aca="false">WEEKDAY(A76,2)</f>
        <v>7</v>
      </c>
      <c r="D76" s="0" t="n">
        <f aca="false">DAY(A76)</f>
        <v>2</v>
      </c>
      <c r="E76" s="0" t="n">
        <f aca="false">HOUR(A76)</f>
        <v>13</v>
      </c>
      <c r="F76" s="0" t="n">
        <f aca="false">IF(C76&gt;=6,0,1)</f>
        <v>0</v>
      </c>
      <c r="G76" s="0" t="n">
        <f aca="false">VLOOKUP(E76,Sheet1!$A$2:$B$25,2,0)</f>
        <v>1</v>
      </c>
    </row>
    <row r="77" customFormat="false" ht="15" hidden="false" customHeight="false" outlineLevel="0" collapsed="false">
      <c r="A77" s="13" t="n">
        <v>44563.5833333333</v>
      </c>
      <c r="B77" s="12" t="n">
        <v>215.425</v>
      </c>
      <c r="C77" s="0" t="n">
        <f aca="false">WEEKDAY(A77,2)</f>
        <v>7</v>
      </c>
      <c r="D77" s="0" t="n">
        <f aca="false">DAY(A77)</f>
        <v>2</v>
      </c>
      <c r="E77" s="0" t="n">
        <f aca="false">HOUR(A77)</f>
        <v>14</v>
      </c>
      <c r="F77" s="0" t="n">
        <f aca="false">IF(C77&gt;=6,0,1)</f>
        <v>0</v>
      </c>
      <c r="G77" s="0" t="n">
        <f aca="false">VLOOKUP(E77,Sheet1!$A$2:$B$25,2,0)</f>
        <v>1</v>
      </c>
    </row>
    <row r="78" customFormat="false" ht="15" hidden="false" customHeight="false" outlineLevel="0" collapsed="false">
      <c r="A78" s="13" t="n">
        <v>44563.6041666667</v>
      </c>
      <c r="B78" s="12" t="n">
        <v>215.06</v>
      </c>
      <c r="C78" s="0" t="n">
        <f aca="false">WEEKDAY(A78,2)</f>
        <v>7</v>
      </c>
      <c r="D78" s="0" t="n">
        <f aca="false">DAY(A78)</f>
        <v>2</v>
      </c>
      <c r="E78" s="0" t="n">
        <f aca="false">HOUR(A78)</f>
        <v>14</v>
      </c>
      <c r="F78" s="0" t="n">
        <f aca="false">IF(C78&gt;=6,0,1)</f>
        <v>0</v>
      </c>
      <c r="G78" s="0" t="n">
        <f aca="false">VLOOKUP(E78,Sheet1!$A$2:$B$25,2,0)</f>
        <v>1</v>
      </c>
    </row>
    <row r="79" customFormat="false" ht="15" hidden="false" customHeight="false" outlineLevel="0" collapsed="false">
      <c r="A79" s="13" t="n">
        <v>44563.625</v>
      </c>
      <c r="B79" s="12" t="n">
        <v>231.74</v>
      </c>
      <c r="C79" s="0" t="n">
        <f aca="false">WEEKDAY(A79,2)</f>
        <v>7</v>
      </c>
      <c r="D79" s="0" t="n">
        <f aca="false">DAY(A79)</f>
        <v>2</v>
      </c>
      <c r="E79" s="0" t="n">
        <f aca="false">HOUR(A79)</f>
        <v>15</v>
      </c>
      <c r="F79" s="0" t="n">
        <f aca="false">IF(C79&gt;=6,0,1)</f>
        <v>0</v>
      </c>
      <c r="G79" s="0" t="n">
        <f aca="false">VLOOKUP(E79,Sheet1!$A$2:$B$25,2,0)</f>
        <v>1</v>
      </c>
    </row>
    <row r="80" customFormat="false" ht="15" hidden="false" customHeight="false" outlineLevel="0" collapsed="false">
      <c r="A80" s="13" t="n">
        <v>44563.6458333333</v>
      </c>
      <c r="B80" s="12" t="n">
        <v>225.236</v>
      </c>
      <c r="C80" s="0" t="n">
        <f aca="false">WEEKDAY(A80,2)</f>
        <v>7</v>
      </c>
      <c r="D80" s="0" t="n">
        <f aca="false">DAY(A80)</f>
        <v>2</v>
      </c>
      <c r="E80" s="0" t="n">
        <f aca="false">HOUR(A80)</f>
        <v>15</v>
      </c>
      <c r="F80" s="0" t="n">
        <f aca="false">IF(C80&gt;=6,0,1)</f>
        <v>0</v>
      </c>
      <c r="G80" s="0" t="n">
        <f aca="false">VLOOKUP(E80,Sheet1!$A$2:$B$25,2,0)</f>
        <v>1</v>
      </c>
    </row>
    <row r="81" customFormat="false" ht="15" hidden="false" customHeight="false" outlineLevel="0" collapsed="false">
      <c r="A81" s="13" t="n">
        <v>44563.6666666667</v>
      </c>
      <c r="B81" s="12" t="n">
        <v>215.545</v>
      </c>
      <c r="C81" s="0" t="n">
        <f aca="false">WEEKDAY(A81,2)</f>
        <v>7</v>
      </c>
      <c r="D81" s="0" t="n">
        <f aca="false">DAY(A81)</f>
        <v>2</v>
      </c>
      <c r="E81" s="0" t="n">
        <f aca="false">HOUR(A81)</f>
        <v>16</v>
      </c>
      <c r="F81" s="0" t="n">
        <f aca="false">IF(C81&gt;=6,0,1)</f>
        <v>0</v>
      </c>
      <c r="G81" s="0" t="n">
        <f aca="false">VLOOKUP(E81,Sheet1!$A$2:$B$25,2,0)</f>
        <v>0</v>
      </c>
    </row>
    <row r="82" customFormat="false" ht="15" hidden="false" customHeight="false" outlineLevel="0" collapsed="false">
      <c r="A82" s="13" t="n">
        <v>44563.6875</v>
      </c>
      <c r="B82" s="12" t="n">
        <v>213.356</v>
      </c>
      <c r="C82" s="0" t="n">
        <f aca="false">WEEKDAY(A82,2)</f>
        <v>7</v>
      </c>
      <c r="D82" s="0" t="n">
        <f aca="false">DAY(A82)</f>
        <v>2</v>
      </c>
      <c r="E82" s="0" t="n">
        <f aca="false">HOUR(A82)</f>
        <v>16</v>
      </c>
      <c r="F82" s="0" t="n">
        <f aca="false">IF(C82&gt;=6,0,1)</f>
        <v>0</v>
      </c>
      <c r="G82" s="0" t="n">
        <f aca="false">VLOOKUP(E82,Sheet1!$A$2:$B$25,2,0)</f>
        <v>0</v>
      </c>
    </row>
    <row r="83" customFormat="false" ht="15" hidden="false" customHeight="false" outlineLevel="0" collapsed="false">
      <c r="A83" s="13" t="n">
        <v>44563.7083333333</v>
      </c>
      <c r="B83" s="12" t="n">
        <v>218.036</v>
      </c>
      <c r="C83" s="0" t="n">
        <f aca="false">WEEKDAY(A83,2)</f>
        <v>7</v>
      </c>
      <c r="D83" s="0" t="n">
        <f aca="false">DAY(A83)</f>
        <v>2</v>
      </c>
      <c r="E83" s="0" t="n">
        <f aca="false">HOUR(A83)</f>
        <v>17</v>
      </c>
      <c r="F83" s="0" t="n">
        <f aca="false">IF(C83&gt;=6,0,1)</f>
        <v>0</v>
      </c>
      <c r="G83" s="0" t="n">
        <f aca="false">VLOOKUP(E83,Sheet1!$A$2:$B$25,2,0)</f>
        <v>0</v>
      </c>
    </row>
    <row r="84" customFormat="false" ht="15" hidden="false" customHeight="false" outlineLevel="0" collapsed="false">
      <c r="A84" s="13" t="n">
        <v>44563.7291666667</v>
      </c>
      <c r="B84" s="12" t="n">
        <v>233.396</v>
      </c>
      <c r="C84" s="0" t="n">
        <f aca="false">WEEKDAY(A84,2)</f>
        <v>7</v>
      </c>
      <c r="D84" s="0" t="n">
        <f aca="false">DAY(A84)</f>
        <v>2</v>
      </c>
      <c r="E84" s="0" t="n">
        <f aca="false">HOUR(A84)</f>
        <v>17</v>
      </c>
      <c r="F84" s="0" t="n">
        <f aca="false">IF(C84&gt;=6,0,1)</f>
        <v>0</v>
      </c>
      <c r="G84" s="0" t="n">
        <f aca="false">VLOOKUP(E84,Sheet1!$A$2:$B$25,2,0)</f>
        <v>0</v>
      </c>
    </row>
    <row r="85" customFormat="false" ht="15" hidden="false" customHeight="false" outlineLevel="0" collapsed="false">
      <c r="A85" s="13" t="n">
        <v>44563.75</v>
      </c>
      <c r="B85" s="12" t="n">
        <v>227.881</v>
      </c>
      <c r="C85" s="0" t="n">
        <f aca="false">WEEKDAY(A85,2)</f>
        <v>7</v>
      </c>
      <c r="D85" s="0" t="n">
        <f aca="false">DAY(A85)</f>
        <v>2</v>
      </c>
      <c r="E85" s="0" t="n">
        <f aca="false">HOUR(A85)</f>
        <v>18</v>
      </c>
      <c r="F85" s="0" t="n">
        <f aca="false">IF(C85&gt;=6,0,1)</f>
        <v>0</v>
      </c>
      <c r="G85" s="0" t="n">
        <f aca="false">VLOOKUP(E85,Sheet1!$A$2:$B$25,2,0)</f>
        <v>0</v>
      </c>
    </row>
    <row r="86" customFormat="false" ht="15" hidden="false" customHeight="false" outlineLevel="0" collapsed="false">
      <c r="A86" s="13" t="n">
        <v>44563.7708333333</v>
      </c>
      <c r="B86" s="12" t="n">
        <v>226.82</v>
      </c>
      <c r="C86" s="0" t="n">
        <f aca="false">WEEKDAY(A86,2)</f>
        <v>7</v>
      </c>
      <c r="D86" s="0" t="n">
        <f aca="false">DAY(A86)</f>
        <v>2</v>
      </c>
      <c r="E86" s="0" t="n">
        <f aca="false">HOUR(A86)</f>
        <v>18</v>
      </c>
      <c r="F86" s="0" t="n">
        <f aca="false">IF(C86&gt;=6,0,1)</f>
        <v>0</v>
      </c>
      <c r="G86" s="0" t="n">
        <f aca="false">VLOOKUP(E86,Sheet1!$A$2:$B$25,2,0)</f>
        <v>0</v>
      </c>
    </row>
    <row r="87" customFormat="false" ht="15" hidden="false" customHeight="false" outlineLevel="0" collapsed="false">
      <c r="A87" s="13" t="n">
        <v>44563.7916666667</v>
      </c>
      <c r="B87" s="12" t="n">
        <v>228.14</v>
      </c>
      <c r="C87" s="0" t="n">
        <f aca="false">WEEKDAY(A87,2)</f>
        <v>7</v>
      </c>
      <c r="D87" s="0" t="n">
        <f aca="false">DAY(A87)</f>
        <v>2</v>
      </c>
      <c r="E87" s="0" t="n">
        <f aca="false">HOUR(A87)</f>
        <v>19</v>
      </c>
      <c r="F87" s="0" t="n">
        <f aca="false">IF(C87&gt;=6,0,1)</f>
        <v>0</v>
      </c>
      <c r="G87" s="0" t="n">
        <f aca="false">VLOOKUP(E87,Sheet1!$A$2:$B$25,2,0)</f>
        <v>0</v>
      </c>
    </row>
    <row r="88" customFormat="false" ht="15" hidden="false" customHeight="false" outlineLevel="0" collapsed="false">
      <c r="A88" s="13" t="n">
        <v>44563.8125</v>
      </c>
      <c r="B88" s="12" t="n">
        <v>232.225</v>
      </c>
      <c r="C88" s="0" t="n">
        <f aca="false">WEEKDAY(A88,2)</f>
        <v>7</v>
      </c>
      <c r="D88" s="0" t="n">
        <f aca="false">DAY(A88)</f>
        <v>2</v>
      </c>
      <c r="E88" s="0" t="n">
        <f aca="false">HOUR(A88)</f>
        <v>19</v>
      </c>
      <c r="F88" s="0" t="n">
        <f aca="false">IF(C88&gt;=6,0,1)</f>
        <v>0</v>
      </c>
      <c r="G88" s="0" t="n">
        <f aca="false">VLOOKUP(E88,Sheet1!$A$2:$B$25,2,0)</f>
        <v>0</v>
      </c>
    </row>
    <row r="89" customFormat="false" ht="15" hidden="false" customHeight="false" outlineLevel="0" collapsed="false">
      <c r="A89" s="13" t="n">
        <v>44563.8333333333</v>
      </c>
      <c r="B89" s="12" t="n">
        <v>228.476</v>
      </c>
      <c r="C89" s="0" t="n">
        <f aca="false">WEEKDAY(A89,2)</f>
        <v>7</v>
      </c>
      <c r="D89" s="0" t="n">
        <f aca="false">DAY(A89)</f>
        <v>2</v>
      </c>
      <c r="E89" s="0" t="n">
        <f aca="false">HOUR(A89)</f>
        <v>20</v>
      </c>
      <c r="F89" s="0" t="n">
        <f aca="false">IF(C89&gt;=6,0,1)</f>
        <v>0</v>
      </c>
      <c r="G89" s="0" t="n">
        <f aca="false">VLOOKUP(E89,Sheet1!$A$2:$B$25,2,0)</f>
        <v>0</v>
      </c>
    </row>
    <row r="90" customFormat="false" ht="15" hidden="false" customHeight="false" outlineLevel="0" collapsed="false">
      <c r="A90" s="13" t="n">
        <v>44563.8541666667</v>
      </c>
      <c r="B90" s="12" t="n">
        <v>226.46</v>
      </c>
      <c r="C90" s="0" t="n">
        <f aca="false">WEEKDAY(A90,2)</f>
        <v>7</v>
      </c>
      <c r="D90" s="0" t="n">
        <f aca="false">DAY(A90)</f>
        <v>2</v>
      </c>
      <c r="E90" s="0" t="n">
        <f aca="false">HOUR(A90)</f>
        <v>20</v>
      </c>
      <c r="F90" s="0" t="n">
        <f aca="false">IF(C90&gt;=6,0,1)</f>
        <v>0</v>
      </c>
      <c r="G90" s="0" t="n">
        <f aca="false">VLOOKUP(E90,Sheet1!$A$2:$B$25,2,0)</f>
        <v>0</v>
      </c>
    </row>
    <row r="91" customFormat="false" ht="15" hidden="false" customHeight="false" outlineLevel="0" collapsed="false">
      <c r="A91" s="13" t="n">
        <v>44563.875</v>
      </c>
      <c r="B91" s="12" t="n">
        <v>226.82</v>
      </c>
      <c r="C91" s="0" t="n">
        <f aca="false">WEEKDAY(A91,2)</f>
        <v>7</v>
      </c>
      <c r="D91" s="0" t="n">
        <f aca="false">DAY(A91)</f>
        <v>2</v>
      </c>
      <c r="E91" s="0" t="n">
        <f aca="false">HOUR(A91)</f>
        <v>21</v>
      </c>
      <c r="F91" s="0" t="n">
        <f aca="false">IF(C91&gt;=6,0,1)</f>
        <v>0</v>
      </c>
      <c r="G91" s="0" t="n">
        <f aca="false">VLOOKUP(E91,Sheet1!$A$2:$B$25,2,0)</f>
        <v>0</v>
      </c>
    </row>
    <row r="92" customFormat="false" ht="15" hidden="false" customHeight="false" outlineLevel="0" collapsed="false">
      <c r="A92" s="13" t="n">
        <v>44563.8958333333</v>
      </c>
      <c r="B92" s="12" t="n">
        <v>236.78</v>
      </c>
      <c r="C92" s="0" t="n">
        <f aca="false">WEEKDAY(A92,2)</f>
        <v>7</v>
      </c>
      <c r="D92" s="0" t="n">
        <f aca="false">DAY(A92)</f>
        <v>2</v>
      </c>
      <c r="E92" s="0" t="n">
        <f aca="false">HOUR(A92)</f>
        <v>21</v>
      </c>
      <c r="F92" s="0" t="n">
        <f aca="false">IF(C92&gt;=6,0,1)</f>
        <v>0</v>
      </c>
      <c r="G92" s="0" t="n">
        <f aca="false">VLOOKUP(E92,Sheet1!$A$2:$B$25,2,0)</f>
        <v>0</v>
      </c>
    </row>
    <row r="93" customFormat="false" ht="15" hidden="false" customHeight="false" outlineLevel="0" collapsed="false">
      <c r="A93" s="13" t="n">
        <v>44563.9166666667</v>
      </c>
      <c r="B93" s="12" t="n">
        <v>222.74</v>
      </c>
      <c r="C93" s="0" t="n">
        <f aca="false">WEEKDAY(A93,2)</f>
        <v>7</v>
      </c>
      <c r="D93" s="0" t="n">
        <f aca="false">DAY(A93)</f>
        <v>2</v>
      </c>
      <c r="E93" s="0" t="n">
        <f aca="false">HOUR(A93)</f>
        <v>22</v>
      </c>
      <c r="F93" s="0" t="n">
        <f aca="false">IF(C93&gt;=6,0,1)</f>
        <v>0</v>
      </c>
      <c r="G93" s="0" t="n">
        <f aca="false">VLOOKUP(E93,Sheet1!$A$2:$B$25,2,0)</f>
        <v>0</v>
      </c>
    </row>
    <row r="94" customFormat="false" ht="15" hidden="false" customHeight="false" outlineLevel="0" collapsed="false">
      <c r="A94" s="13" t="n">
        <v>44563.9375</v>
      </c>
      <c r="B94" s="12" t="n">
        <v>231.956</v>
      </c>
      <c r="C94" s="0" t="n">
        <f aca="false">WEEKDAY(A94,2)</f>
        <v>7</v>
      </c>
      <c r="D94" s="0" t="n">
        <f aca="false">DAY(A94)</f>
        <v>2</v>
      </c>
      <c r="E94" s="0" t="n">
        <f aca="false">HOUR(A94)</f>
        <v>22</v>
      </c>
      <c r="F94" s="0" t="n">
        <f aca="false">IF(C94&gt;=6,0,1)</f>
        <v>0</v>
      </c>
      <c r="G94" s="0" t="n">
        <f aca="false">VLOOKUP(E94,Sheet1!$A$2:$B$25,2,0)</f>
        <v>0</v>
      </c>
    </row>
    <row r="95" customFormat="false" ht="15" hidden="false" customHeight="false" outlineLevel="0" collapsed="false">
      <c r="A95" s="13" t="n">
        <v>44563.9583333333</v>
      </c>
      <c r="B95" s="12" t="n">
        <v>226.34</v>
      </c>
      <c r="C95" s="0" t="n">
        <f aca="false">WEEKDAY(A95,2)</f>
        <v>7</v>
      </c>
      <c r="D95" s="0" t="n">
        <f aca="false">DAY(A95)</f>
        <v>2</v>
      </c>
      <c r="E95" s="0" t="n">
        <f aca="false">HOUR(A95)</f>
        <v>23</v>
      </c>
      <c r="F95" s="0" t="n">
        <f aca="false">IF(C95&gt;=6,0,1)</f>
        <v>0</v>
      </c>
      <c r="G95" s="0" t="n">
        <f aca="false">VLOOKUP(E95,Sheet1!$A$2:$B$25,2,0)</f>
        <v>0</v>
      </c>
    </row>
    <row r="96" customFormat="false" ht="15" hidden="false" customHeight="false" outlineLevel="0" collapsed="false">
      <c r="A96" s="13" t="n">
        <v>44563.9791666667</v>
      </c>
      <c r="B96" s="12" t="n">
        <v>234.38</v>
      </c>
      <c r="C96" s="0" t="n">
        <f aca="false">WEEKDAY(A96,2)</f>
        <v>7</v>
      </c>
      <c r="D96" s="0" t="n">
        <f aca="false">DAY(A96)</f>
        <v>2</v>
      </c>
      <c r="E96" s="0" t="n">
        <f aca="false">HOUR(A96)</f>
        <v>23</v>
      </c>
      <c r="F96" s="0" t="n">
        <f aca="false">IF(C96&gt;=6,0,1)</f>
        <v>0</v>
      </c>
      <c r="G96" s="0" t="n">
        <f aca="false">VLOOKUP(E96,Sheet1!$A$2:$B$25,2,0)</f>
        <v>0</v>
      </c>
    </row>
    <row r="97" customFormat="false" ht="15" hidden="false" customHeight="false" outlineLevel="0" collapsed="false">
      <c r="A97" s="13" t="n">
        <v>44564</v>
      </c>
      <c r="B97" s="12" t="n">
        <v>230.041</v>
      </c>
      <c r="C97" s="0" t="n">
        <f aca="false">WEEKDAY(A97,2)</f>
        <v>1</v>
      </c>
      <c r="D97" s="0" t="n">
        <f aca="false">DAY(A97)</f>
        <v>3</v>
      </c>
      <c r="E97" s="0" t="n">
        <f aca="false">HOUR(A97)</f>
        <v>0</v>
      </c>
      <c r="F97" s="0" t="n">
        <f aca="false">IF(C97&gt;=6,0,1)</f>
        <v>1</v>
      </c>
      <c r="G97" s="0" t="n">
        <f aca="false">VLOOKUP(E97,Sheet1!$A$2:$B$25,2,0)</f>
        <v>0</v>
      </c>
    </row>
    <row r="98" customFormat="false" ht="15" hidden="false" customHeight="false" outlineLevel="0" collapsed="false">
      <c r="A98" s="13" t="n">
        <v>44564.0208333333</v>
      </c>
      <c r="B98" s="12" t="n">
        <v>230.42</v>
      </c>
      <c r="C98" s="0" t="n">
        <f aca="false">WEEKDAY(A98,2)</f>
        <v>1</v>
      </c>
      <c r="D98" s="0" t="n">
        <f aca="false">DAY(A98)</f>
        <v>3</v>
      </c>
      <c r="E98" s="0" t="n">
        <f aca="false">HOUR(A98)</f>
        <v>0</v>
      </c>
      <c r="F98" s="0" t="n">
        <f aca="false">IF(C98&gt;=6,0,1)</f>
        <v>1</v>
      </c>
      <c r="G98" s="0" t="n">
        <f aca="false">VLOOKUP(E98,Sheet1!$A$2:$B$25,2,0)</f>
        <v>0</v>
      </c>
    </row>
    <row r="99" customFormat="false" ht="15" hidden="false" customHeight="false" outlineLevel="0" collapsed="false">
      <c r="A99" s="13" t="n">
        <v>44564.0416666667</v>
      </c>
      <c r="B99" s="12" t="n">
        <v>229.34</v>
      </c>
      <c r="C99" s="0" t="n">
        <f aca="false">WEEKDAY(A99,2)</f>
        <v>1</v>
      </c>
      <c r="D99" s="0" t="n">
        <f aca="false">DAY(A99)</f>
        <v>3</v>
      </c>
      <c r="E99" s="0" t="n">
        <f aca="false">HOUR(A99)</f>
        <v>1</v>
      </c>
      <c r="F99" s="0" t="n">
        <f aca="false">IF(C99&gt;=6,0,1)</f>
        <v>1</v>
      </c>
      <c r="G99" s="0" t="n">
        <f aca="false">VLOOKUP(E99,Sheet1!$A$2:$B$25,2,0)</f>
        <v>0</v>
      </c>
    </row>
    <row r="100" customFormat="false" ht="15" hidden="false" customHeight="false" outlineLevel="0" collapsed="false">
      <c r="A100" s="13" t="n">
        <v>44564.0625</v>
      </c>
      <c r="B100" s="12" t="n">
        <v>232.345</v>
      </c>
      <c r="C100" s="0" t="n">
        <f aca="false">WEEKDAY(A100,2)</f>
        <v>1</v>
      </c>
      <c r="D100" s="0" t="n">
        <f aca="false">DAY(A100)</f>
        <v>3</v>
      </c>
      <c r="E100" s="0" t="n">
        <f aca="false">HOUR(A100)</f>
        <v>1</v>
      </c>
      <c r="F100" s="0" t="n">
        <f aca="false">IF(C100&gt;=6,0,1)</f>
        <v>1</v>
      </c>
      <c r="G100" s="0" t="n">
        <f aca="false">VLOOKUP(E100,Sheet1!$A$2:$B$25,2,0)</f>
        <v>0</v>
      </c>
    </row>
    <row r="101" customFormat="false" ht="15" hidden="false" customHeight="false" outlineLevel="0" collapsed="false">
      <c r="A101" s="13" t="n">
        <v>44564.0833333333</v>
      </c>
      <c r="B101" s="12" t="n">
        <v>224.18</v>
      </c>
      <c r="C101" s="0" t="n">
        <f aca="false">WEEKDAY(A101,2)</f>
        <v>1</v>
      </c>
      <c r="D101" s="0" t="n">
        <f aca="false">DAY(A101)</f>
        <v>3</v>
      </c>
      <c r="E101" s="0" t="n">
        <f aca="false">HOUR(A101)</f>
        <v>2</v>
      </c>
      <c r="F101" s="0" t="n">
        <f aca="false">IF(C101&gt;=6,0,1)</f>
        <v>1</v>
      </c>
      <c r="G101" s="0" t="n">
        <f aca="false">VLOOKUP(E101,Sheet1!$A$2:$B$25,2,0)</f>
        <v>0</v>
      </c>
    </row>
    <row r="102" customFormat="false" ht="15" hidden="false" customHeight="false" outlineLevel="0" collapsed="false">
      <c r="A102" s="13" t="n">
        <v>44564.1041666667</v>
      </c>
      <c r="B102" s="12" t="n">
        <v>222.625</v>
      </c>
      <c r="C102" s="0" t="n">
        <f aca="false">WEEKDAY(A102,2)</f>
        <v>1</v>
      </c>
      <c r="D102" s="0" t="n">
        <f aca="false">DAY(A102)</f>
        <v>3</v>
      </c>
      <c r="E102" s="0" t="n">
        <f aca="false">HOUR(A102)</f>
        <v>2</v>
      </c>
      <c r="F102" s="0" t="n">
        <f aca="false">IF(C102&gt;=6,0,1)</f>
        <v>1</v>
      </c>
      <c r="G102" s="0" t="n">
        <f aca="false">VLOOKUP(E102,Sheet1!$A$2:$B$25,2,0)</f>
        <v>0</v>
      </c>
    </row>
    <row r="103" customFormat="false" ht="15" hidden="false" customHeight="false" outlineLevel="0" collapsed="false">
      <c r="A103" s="13" t="n">
        <v>44564.125</v>
      </c>
      <c r="B103" s="12" t="n">
        <v>223.676</v>
      </c>
      <c r="C103" s="0" t="n">
        <f aca="false">WEEKDAY(A103,2)</f>
        <v>1</v>
      </c>
      <c r="D103" s="0" t="n">
        <f aca="false">DAY(A103)</f>
        <v>3</v>
      </c>
      <c r="E103" s="0" t="n">
        <f aca="false">HOUR(A103)</f>
        <v>3</v>
      </c>
      <c r="F103" s="0" t="n">
        <f aca="false">IF(C103&gt;=6,0,1)</f>
        <v>1</v>
      </c>
      <c r="G103" s="0" t="n">
        <f aca="false">VLOOKUP(E103,Sheet1!$A$2:$B$25,2,0)</f>
        <v>0</v>
      </c>
    </row>
    <row r="104" customFormat="false" ht="15" hidden="false" customHeight="false" outlineLevel="0" collapsed="false">
      <c r="A104" s="13" t="n">
        <v>44564.1458333333</v>
      </c>
      <c r="B104" s="12" t="n">
        <v>236.425</v>
      </c>
      <c r="C104" s="0" t="n">
        <f aca="false">WEEKDAY(A104,2)</f>
        <v>1</v>
      </c>
      <c r="D104" s="0" t="n">
        <f aca="false">DAY(A104)</f>
        <v>3</v>
      </c>
      <c r="E104" s="0" t="n">
        <f aca="false">HOUR(A104)</f>
        <v>3</v>
      </c>
      <c r="F104" s="0" t="n">
        <f aca="false">IF(C104&gt;=6,0,1)</f>
        <v>1</v>
      </c>
      <c r="G104" s="0" t="n">
        <f aca="false">VLOOKUP(E104,Sheet1!$A$2:$B$25,2,0)</f>
        <v>0</v>
      </c>
    </row>
    <row r="105" customFormat="false" ht="15" hidden="false" customHeight="false" outlineLevel="0" collapsed="false">
      <c r="A105" s="13" t="n">
        <v>44564.1666666667</v>
      </c>
      <c r="B105" s="12" t="n">
        <v>229.82</v>
      </c>
      <c r="C105" s="0" t="n">
        <f aca="false">WEEKDAY(A105,2)</f>
        <v>1</v>
      </c>
      <c r="D105" s="0" t="n">
        <f aca="false">DAY(A105)</f>
        <v>3</v>
      </c>
      <c r="E105" s="0" t="n">
        <f aca="false">HOUR(A105)</f>
        <v>4</v>
      </c>
      <c r="F105" s="0" t="n">
        <f aca="false">IF(C105&gt;=6,0,1)</f>
        <v>1</v>
      </c>
      <c r="G105" s="0" t="n">
        <f aca="false">VLOOKUP(E105,Sheet1!$A$2:$B$25,2,0)</f>
        <v>1</v>
      </c>
    </row>
    <row r="106" customFormat="false" ht="15" hidden="false" customHeight="false" outlineLevel="0" collapsed="false">
      <c r="A106" s="13" t="n">
        <v>44564.1875</v>
      </c>
      <c r="B106" s="12" t="n">
        <v>233.54</v>
      </c>
      <c r="C106" s="0" t="n">
        <f aca="false">WEEKDAY(A106,2)</f>
        <v>1</v>
      </c>
      <c r="D106" s="0" t="n">
        <f aca="false">DAY(A106)</f>
        <v>3</v>
      </c>
      <c r="E106" s="0" t="n">
        <f aca="false">HOUR(A106)</f>
        <v>4</v>
      </c>
      <c r="F106" s="0" t="n">
        <f aca="false">IF(C106&gt;=6,0,1)</f>
        <v>1</v>
      </c>
      <c r="G106" s="0" t="n">
        <f aca="false">VLOOKUP(E106,Sheet1!$A$2:$B$25,2,0)</f>
        <v>1</v>
      </c>
    </row>
    <row r="107" customFormat="false" ht="15" hidden="false" customHeight="false" outlineLevel="0" collapsed="false">
      <c r="A107" s="13" t="n">
        <v>44564.2083333333</v>
      </c>
      <c r="B107" s="12" t="n">
        <v>234.001</v>
      </c>
      <c r="C107" s="0" t="n">
        <f aca="false">WEEKDAY(A107,2)</f>
        <v>1</v>
      </c>
      <c r="D107" s="0" t="n">
        <f aca="false">DAY(A107)</f>
        <v>3</v>
      </c>
      <c r="E107" s="0" t="n">
        <f aca="false">HOUR(A107)</f>
        <v>5</v>
      </c>
      <c r="F107" s="0" t="n">
        <f aca="false">IF(C107&gt;=6,0,1)</f>
        <v>1</v>
      </c>
      <c r="G107" s="0" t="n">
        <f aca="false">VLOOKUP(E107,Sheet1!$A$2:$B$25,2,0)</f>
        <v>1</v>
      </c>
    </row>
    <row r="108" customFormat="false" ht="15" hidden="false" customHeight="false" outlineLevel="0" collapsed="false">
      <c r="A108" s="13" t="n">
        <v>44564.2291666667</v>
      </c>
      <c r="B108" s="12" t="n">
        <v>273.86</v>
      </c>
      <c r="C108" s="0" t="n">
        <f aca="false">WEEKDAY(A108,2)</f>
        <v>1</v>
      </c>
      <c r="D108" s="0" t="n">
        <f aca="false">DAY(A108)</f>
        <v>3</v>
      </c>
      <c r="E108" s="0" t="n">
        <f aca="false">HOUR(A108)</f>
        <v>5</v>
      </c>
      <c r="F108" s="0" t="n">
        <f aca="false">IF(C108&gt;=6,0,1)</f>
        <v>1</v>
      </c>
      <c r="G108" s="0" t="n">
        <f aca="false">VLOOKUP(E108,Sheet1!$A$2:$B$25,2,0)</f>
        <v>1</v>
      </c>
    </row>
    <row r="109" customFormat="false" ht="15" hidden="false" customHeight="false" outlineLevel="0" collapsed="false">
      <c r="A109" s="13" t="n">
        <v>44564.25</v>
      </c>
      <c r="B109" s="12" t="n">
        <v>280.58</v>
      </c>
      <c r="C109" s="0" t="n">
        <f aca="false">WEEKDAY(A109,2)</f>
        <v>1</v>
      </c>
      <c r="D109" s="0" t="n">
        <f aca="false">DAY(A109)</f>
        <v>3</v>
      </c>
      <c r="E109" s="0" t="n">
        <f aca="false">HOUR(A109)</f>
        <v>6</v>
      </c>
      <c r="F109" s="0" t="n">
        <f aca="false">IF(C109&gt;=6,0,1)</f>
        <v>1</v>
      </c>
      <c r="G109" s="0" t="n">
        <f aca="false">VLOOKUP(E109,Sheet1!$A$2:$B$25,2,0)</f>
        <v>1</v>
      </c>
    </row>
    <row r="110" customFormat="false" ht="15" hidden="false" customHeight="false" outlineLevel="0" collapsed="false">
      <c r="A110" s="13" t="n">
        <v>44564.2708333333</v>
      </c>
      <c r="B110" s="12" t="n">
        <v>283.945</v>
      </c>
      <c r="C110" s="0" t="n">
        <f aca="false">WEEKDAY(A110,2)</f>
        <v>1</v>
      </c>
      <c r="D110" s="0" t="n">
        <f aca="false">DAY(A110)</f>
        <v>3</v>
      </c>
      <c r="E110" s="0" t="n">
        <f aca="false">HOUR(A110)</f>
        <v>6</v>
      </c>
      <c r="F110" s="0" t="n">
        <f aca="false">IF(C110&gt;=6,0,1)</f>
        <v>1</v>
      </c>
      <c r="G110" s="0" t="n">
        <f aca="false">VLOOKUP(E110,Sheet1!$A$2:$B$25,2,0)</f>
        <v>1</v>
      </c>
    </row>
    <row r="111" customFormat="false" ht="15" hidden="false" customHeight="false" outlineLevel="0" collapsed="false">
      <c r="A111" s="13" t="n">
        <v>44564.2916666667</v>
      </c>
      <c r="B111" s="12" t="n">
        <v>289.58</v>
      </c>
      <c r="C111" s="0" t="n">
        <f aca="false">WEEKDAY(A111,2)</f>
        <v>1</v>
      </c>
      <c r="D111" s="0" t="n">
        <f aca="false">DAY(A111)</f>
        <v>3</v>
      </c>
      <c r="E111" s="0" t="n">
        <f aca="false">HOUR(A111)</f>
        <v>7</v>
      </c>
      <c r="F111" s="0" t="n">
        <f aca="false">IF(C111&gt;=6,0,1)</f>
        <v>1</v>
      </c>
      <c r="G111" s="0" t="n">
        <f aca="false">VLOOKUP(E111,Sheet1!$A$2:$B$25,2,0)</f>
        <v>1</v>
      </c>
    </row>
    <row r="112" customFormat="false" ht="15" hidden="false" customHeight="false" outlineLevel="0" collapsed="false">
      <c r="A112" s="13" t="n">
        <v>44564.3125</v>
      </c>
      <c r="B112" s="12" t="n">
        <v>319.676</v>
      </c>
      <c r="C112" s="0" t="n">
        <f aca="false">WEEKDAY(A112,2)</f>
        <v>1</v>
      </c>
      <c r="D112" s="0" t="n">
        <f aca="false">DAY(A112)</f>
        <v>3</v>
      </c>
      <c r="E112" s="0" t="n">
        <f aca="false">HOUR(A112)</f>
        <v>7</v>
      </c>
      <c r="F112" s="0" t="n">
        <f aca="false">IF(C112&gt;=6,0,1)</f>
        <v>1</v>
      </c>
      <c r="G112" s="0" t="n">
        <f aca="false">VLOOKUP(E112,Sheet1!$A$2:$B$25,2,0)</f>
        <v>1</v>
      </c>
    </row>
    <row r="113" customFormat="false" ht="15" hidden="false" customHeight="false" outlineLevel="0" collapsed="false">
      <c r="A113" s="13" t="n">
        <v>44564.3333333333</v>
      </c>
      <c r="B113" s="12" t="n">
        <v>321.385</v>
      </c>
      <c r="C113" s="0" t="n">
        <f aca="false">WEEKDAY(A113,2)</f>
        <v>1</v>
      </c>
      <c r="D113" s="0" t="n">
        <f aca="false">DAY(A113)</f>
        <v>3</v>
      </c>
      <c r="E113" s="0" t="n">
        <f aca="false">HOUR(A113)</f>
        <v>8</v>
      </c>
      <c r="F113" s="0" t="n">
        <f aca="false">IF(C113&gt;=6,0,1)</f>
        <v>1</v>
      </c>
      <c r="G113" s="0" t="n">
        <f aca="false">VLOOKUP(E113,Sheet1!$A$2:$B$25,2,0)</f>
        <v>1</v>
      </c>
    </row>
    <row r="114" customFormat="false" ht="15" hidden="false" customHeight="false" outlineLevel="0" collapsed="false">
      <c r="A114" s="13" t="n">
        <v>44564.3541666667</v>
      </c>
      <c r="B114" s="12" t="n">
        <v>317.78</v>
      </c>
      <c r="C114" s="0" t="n">
        <f aca="false">WEEKDAY(A114,2)</f>
        <v>1</v>
      </c>
      <c r="D114" s="0" t="n">
        <f aca="false">DAY(A114)</f>
        <v>3</v>
      </c>
      <c r="E114" s="0" t="n">
        <f aca="false">HOUR(A114)</f>
        <v>8</v>
      </c>
      <c r="F114" s="0" t="n">
        <f aca="false">IF(C114&gt;=6,0,1)</f>
        <v>1</v>
      </c>
      <c r="G114" s="0" t="n">
        <f aca="false">VLOOKUP(E114,Sheet1!$A$2:$B$25,2,0)</f>
        <v>1</v>
      </c>
    </row>
    <row r="115" customFormat="false" ht="15" hidden="false" customHeight="false" outlineLevel="0" collapsed="false">
      <c r="A115" s="13" t="n">
        <v>44564.375</v>
      </c>
      <c r="B115" s="12" t="n">
        <v>330.121</v>
      </c>
      <c r="C115" s="0" t="n">
        <f aca="false">WEEKDAY(A115,2)</f>
        <v>1</v>
      </c>
      <c r="D115" s="0" t="n">
        <f aca="false">DAY(A115)</f>
        <v>3</v>
      </c>
      <c r="E115" s="0" t="n">
        <f aca="false">HOUR(A115)</f>
        <v>9</v>
      </c>
      <c r="F115" s="0" t="n">
        <f aca="false">IF(C115&gt;=6,0,1)</f>
        <v>1</v>
      </c>
      <c r="G115" s="0" t="n">
        <f aca="false">VLOOKUP(E115,Sheet1!$A$2:$B$25,2,0)</f>
        <v>1</v>
      </c>
    </row>
    <row r="116" customFormat="false" ht="15" hidden="false" customHeight="false" outlineLevel="0" collapsed="false">
      <c r="A116" s="13" t="n">
        <v>44564.3958333333</v>
      </c>
      <c r="B116" s="12" t="n">
        <v>351.86</v>
      </c>
      <c r="C116" s="0" t="n">
        <f aca="false">WEEKDAY(A116,2)</f>
        <v>1</v>
      </c>
      <c r="D116" s="0" t="n">
        <f aca="false">DAY(A116)</f>
        <v>3</v>
      </c>
      <c r="E116" s="0" t="n">
        <f aca="false">HOUR(A116)</f>
        <v>9</v>
      </c>
      <c r="F116" s="0" t="n">
        <f aca="false">IF(C116&gt;=6,0,1)</f>
        <v>1</v>
      </c>
      <c r="G116" s="0" t="n">
        <f aca="false">VLOOKUP(E116,Sheet1!$A$2:$B$25,2,0)</f>
        <v>1</v>
      </c>
    </row>
    <row r="117" customFormat="false" ht="15" hidden="false" customHeight="false" outlineLevel="0" collapsed="false">
      <c r="A117" s="13" t="n">
        <v>44564.4166666667</v>
      </c>
      <c r="B117" s="12" t="n">
        <v>374.905</v>
      </c>
      <c r="C117" s="0" t="n">
        <f aca="false">WEEKDAY(A117,2)</f>
        <v>1</v>
      </c>
      <c r="D117" s="0" t="n">
        <f aca="false">DAY(A117)</f>
        <v>3</v>
      </c>
      <c r="E117" s="0" t="n">
        <f aca="false">HOUR(A117)</f>
        <v>10</v>
      </c>
      <c r="F117" s="0" t="n">
        <f aca="false">IF(C117&gt;=6,0,1)</f>
        <v>1</v>
      </c>
      <c r="G117" s="0" t="n">
        <f aca="false">VLOOKUP(E117,Sheet1!$A$2:$B$25,2,0)</f>
        <v>1</v>
      </c>
    </row>
    <row r="118" customFormat="false" ht="15" hidden="false" customHeight="false" outlineLevel="0" collapsed="false">
      <c r="A118" s="13" t="n">
        <v>44564.4375</v>
      </c>
      <c r="B118" s="12" t="n">
        <v>389.996</v>
      </c>
      <c r="C118" s="0" t="n">
        <f aca="false">WEEKDAY(A118,2)</f>
        <v>1</v>
      </c>
      <c r="D118" s="0" t="n">
        <f aca="false">DAY(A118)</f>
        <v>3</v>
      </c>
      <c r="E118" s="0" t="n">
        <f aca="false">HOUR(A118)</f>
        <v>10</v>
      </c>
      <c r="F118" s="0" t="n">
        <f aca="false">IF(C118&gt;=6,0,1)</f>
        <v>1</v>
      </c>
      <c r="G118" s="0" t="n">
        <f aca="false">VLOOKUP(E118,Sheet1!$A$2:$B$25,2,0)</f>
        <v>1</v>
      </c>
    </row>
    <row r="119" customFormat="false" ht="15" hidden="false" customHeight="false" outlineLevel="0" collapsed="false">
      <c r="A119" s="13" t="n">
        <v>44564.4583333333</v>
      </c>
      <c r="B119" s="12" t="n">
        <v>390.14</v>
      </c>
      <c r="C119" s="0" t="n">
        <f aca="false">WEEKDAY(A119,2)</f>
        <v>1</v>
      </c>
      <c r="D119" s="0" t="n">
        <f aca="false">DAY(A119)</f>
        <v>3</v>
      </c>
      <c r="E119" s="0" t="n">
        <f aca="false">HOUR(A119)</f>
        <v>11</v>
      </c>
      <c r="F119" s="0" t="n">
        <f aca="false">IF(C119&gt;=6,0,1)</f>
        <v>1</v>
      </c>
      <c r="G119" s="0" t="n">
        <f aca="false">VLOOKUP(E119,Sheet1!$A$2:$B$25,2,0)</f>
        <v>1</v>
      </c>
    </row>
    <row r="120" customFormat="false" ht="15" hidden="false" customHeight="false" outlineLevel="0" collapsed="false">
      <c r="A120" s="13" t="n">
        <v>44564.4791666667</v>
      </c>
      <c r="B120" s="12" t="n">
        <v>395.636</v>
      </c>
      <c r="C120" s="0" t="n">
        <f aca="false">WEEKDAY(A120,2)</f>
        <v>1</v>
      </c>
      <c r="D120" s="0" t="n">
        <f aca="false">DAY(A120)</f>
        <v>3</v>
      </c>
      <c r="E120" s="0" t="n">
        <f aca="false">HOUR(A120)</f>
        <v>11</v>
      </c>
      <c r="F120" s="0" t="n">
        <f aca="false">IF(C120&gt;=6,0,1)</f>
        <v>1</v>
      </c>
      <c r="G120" s="0" t="n">
        <f aca="false">VLOOKUP(E120,Sheet1!$A$2:$B$25,2,0)</f>
        <v>1</v>
      </c>
    </row>
    <row r="121" customFormat="false" ht="15" hidden="false" customHeight="false" outlineLevel="0" collapsed="false">
      <c r="A121" s="13" t="n">
        <v>44564.5</v>
      </c>
      <c r="B121" s="12" t="n">
        <v>388.436</v>
      </c>
      <c r="C121" s="0" t="n">
        <f aca="false">WEEKDAY(A121,2)</f>
        <v>1</v>
      </c>
      <c r="D121" s="0" t="n">
        <f aca="false">DAY(A121)</f>
        <v>3</v>
      </c>
      <c r="E121" s="0" t="n">
        <f aca="false">HOUR(A121)</f>
        <v>12</v>
      </c>
      <c r="F121" s="0" t="n">
        <f aca="false">IF(C121&gt;=6,0,1)</f>
        <v>1</v>
      </c>
      <c r="G121" s="0" t="n">
        <f aca="false">VLOOKUP(E121,Sheet1!$A$2:$B$25,2,0)</f>
        <v>1</v>
      </c>
    </row>
    <row r="122" customFormat="false" ht="15" hidden="false" customHeight="false" outlineLevel="0" collapsed="false">
      <c r="A122" s="13" t="n">
        <v>44564.5208333333</v>
      </c>
      <c r="B122" s="12" t="n">
        <v>397.825</v>
      </c>
      <c r="C122" s="0" t="n">
        <f aca="false">WEEKDAY(A122,2)</f>
        <v>1</v>
      </c>
      <c r="D122" s="0" t="n">
        <f aca="false">DAY(A122)</f>
        <v>3</v>
      </c>
      <c r="E122" s="0" t="n">
        <f aca="false">HOUR(A122)</f>
        <v>12</v>
      </c>
      <c r="F122" s="0" t="n">
        <f aca="false">IF(C122&gt;=6,0,1)</f>
        <v>1</v>
      </c>
      <c r="G122" s="0" t="n">
        <f aca="false">VLOOKUP(E122,Sheet1!$A$2:$B$25,2,0)</f>
        <v>1</v>
      </c>
    </row>
    <row r="123" customFormat="false" ht="15" hidden="false" customHeight="false" outlineLevel="0" collapsed="false">
      <c r="A123" s="13" t="n">
        <v>44564.5416666667</v>
      </c>
      <c r="B123" s="12" t="n">
        <v>397.94</v>
      </c>
      <c r="C123" s="0" t="n">
        <f aca="false">WEEKDAY(A123,2)</f>
        <v>1</v>
      </c>
      <c r="D123" s="0" t="n">
        <f aca="false">DAY(A123)</f>
        <v>3</v>
      </c>
      <c r="E123" s="0" t="n">
        <f aca="false">HOUR(A123)</f>
        <v>13</v>
      </c>
      <c r="F123" s="0" t="n">
        <f aca="false">IF(C123&gt;=6,0,1)</f>
        <v>1</v>
      </c>
      <c r="G123" s="0" t="n">
        <f aca="false">VLOOKUP(E123,Sheet1!$A$2:$B$25,2,0)</f>
        <v>1</v>
      </c>
    </row>
    <row r="124" customFormat="false" ht="15" hidden="false" customHeight="false" outlineLevel="0" collapsed="false">
      <c r="A124" s="13" t="n">
        <v>44564.5625</v>
      </c>
      <c r="B124" s="12" t="n">
        <v>397.94</v>
      </c>
      <c r="C124" s="0" t="n">
        <f aca="false">WEEKDAY(A124,2)</f>
        <v>1</v>
      </c>
      <c r="D124" s="0" t="n">
        <f aca="false">DAY(A124)</f>
        <v>3</v>
      </c>
      <c r="E124" s="0" t="n">
        <f aca="false">HOUR(A124)</f>
        <v>13</v>
      </c>
      <c r="F124" s="0" t="n">
        <f aca="false">IF(C124&gt;=6,0,1)</f>
        <v>1</v>
      </c>
      <c r="G124" s="0" t="n">
        <f aca="false">VLOOKUP(E124,Sheet1!$A$2:$B$25,2,0)</f>
        <v>1</v>
      </c>
    </row>
    <row r="125" customFormat="false" ht="15" hidden="false" customHeight="false" outlineLevel="0" collapsed="false">
      <c r="A125" s="13" t="n">
        <v>44564.5833333333</v>
      </c>
      <c r="B125" s="12" t="n">
        <v>365.521</v>
      </c>
      <c r="C125" s="0" t="n">
        <f aca="false">WEEKDAY(A125,2)</f>
        <v>1</v>
      </c>
      <c r="D125" s="0" t="n">
        <f aca="false">DAY(A125)</f>
        <v>3</v>
      </c>
      <c r="E125" s="0" t="n">
        <f aca="false">HOUR(A125)</f>
        <v>14</v>
      </c>
      <c r="F125" s="0" t="n">
        <f aca="false">IF(C125&gt;=6,0,1)</f>
        <v>1</v>
      </c>
      <c r="G125" s="0" t="n">
        <f aca="false">VLOOKUP(E125,Sheet1!$A$2:$B$25,2,0)</f>
        <v>1</v>
      </c>
    </row>
    <row r="126" customFormat="false" ht="15" hidden="false" customHeight="false" outlineLevel="0" collapsed="false">
      <c r="A126" s="13" t="n">
        <v>44564.6041666667</v>
      </c>
      <c r="B126" s="12" t="n">
        <v>373.436</v>
      </c>
      <c r="C126" s="0" t="n">
        <f aca="false">WEEKDAY(A126,2)</f>
        <v>1</v>
      </c>
      <c r="D126" s="0" t="n">
        <f aca="false">DAY(A126)</f>
        <v>3</v>
      </c>
      <c r="E126" s="0" t="n">
        <f aca="false">HOUR(A126)</f>
        <v>14</v>
      </c>
      <c r="F126" s="0" t="n">
        <f aca="false">IF(C126&gt;=6,0,1)</f>
        <v>1</v>
      </c>
      <c r="G126" s="0" t="n">
        <f aca="false">VLOOKUP(E126,Sheet1!$A$2:$B$25,2,0)</f>
        <v>1</v>
      </c>
    </row>
    <row r="127" customFormat="false" ht="15" hidden="false" customHeight="false" outlineLevel="0" collapsed="false">
      <c r="A127" s="13" t="n">
        <v>44564.625</v>
      </c>
      <c r="B127" s="12" t="n">
        <v>374.66</v>
      </c>
      <c r="C127" s="0" t="n">
        <f aca="false">WEEKDAY(A127,2)</f>
        <v>1</v>
      </c>
      <c r="D127" s="0" t="n">
        <f aca="false">DAY(A127)</f>
        <v>3</v>
      </c>
      <c r="E127" s="0" t="n">
        <f aca="false">HOUR(A127)</f>
        <v>15</v>
      </c>
      <c r="F127" s="0" t="n">
        <f aca="false">IF(C127&gt;=6,0,1)</f>
        <v>1</v>
      </c>
      <c r="G127" s="0" t="n">
        <f aca="false">VLOOKUP(E127,Sheet1!$A$2:$B$25,2,0)</f>
        <v>1</v>
      </c>
    </row>
    <row r="128" customFormat="false" ht="15" hidden="false" customHeight="false" outlineLevel="0" collapsed="false">
      <c r="A128" s="13" t="n">
        <v>44564.6458333333</v>
      </c>
      <c r="B128" s="12" t="n">
        <v>353.66</v>
      </c>
      <c r="C128" s="0" t="n">
        <f aca="false">WEEKDAY(A128,2)</f>
        <v>1</v>
      </c>
      <c r="D128" s="0" t="n">
        <f aca="false">DAY(A128)</f>
        <v>3</v>
      </c>
      <c r="E128" s="0" t="n">
        <f aca="false">HOUR(A128)</f>
        <v>15</v>
      </c>
      <c r="F128" s="0" t="n">
        <f aca="false">IF(C128&gt;=6,0,1)</f>
        <v>1</v>
      </c>
      <c r="G128" s="0" t="n">
        <f aca="false">VLOOKUP(E128,Sheet1!$A$2:$B$25,2,0)</f>
        <v>1</v>
      </c>
    </row>
    <row r="129" customFormat="false" ht="15" hidden="false" customHeight="false" outlineLevel="0" collapsed="false">
      <c r="A129" s="13" t="n">
        <v>44564.6666666667</v>
      </c>
      <c r="B129" s="12" t="n">
        <v>351.121</v>
      </c>
      <c r="C129" s="0" t="n">
        <f aca="false">WEEKDAY(A129,2)</f>
        <v>1</v>
      </c>
      <c r="D129" s="0" t="n">
        <f aca="false">DAY(A129)</f>
        <v>3</v>
      </c>
      <c r="E129" s="0" t="n">
        <f aca="false">HOUR(A129)</f>
        <v>16</v>
      </c>
      <c r="F129" s="0" t="n">
        <f aca="false">IF(C129&gt;=6,0,1)</f>
        <v>1</v>
      </c>
      <c r="G129" s="0" t="n">
        <f aca="false">VLOOKUP(E129,Sheet1!$A$2:$B$25,2,0)</f>
        <v>0</v>
      </c>
    </row>
    <row r="130" customFormat="false" ht="15" hidden="false" customHeight="false" outlineLevel="0" collapsed="false">
      <c r="A130" s="13" t="n">
        <v>44564.6875</v>
      </c>
      <c r="B130" s="12" t="n">
        <v>361.34</v>
      </c>
      <c r="C130" s="0" t="n">
        <f aca="false">WEEKDAY(A130,2)</f>
        <v>1</v>
      </c>
      <c r="D130" s="0" t="n">
        <f aca="false">DAY(A130)</f>
        <v>3</v>
      </c>
      <c r="E130" s="0" t="n">
        <f aca="false">HOUR(A130)</f>
        <v>16</v>
      </c>
      <c r="F130" s="0" t="n">
        <f aca="false">IF(C130&gt;=6,0,1)</f>
        <v>1</v>
      </c>
      <c r="G130" s="0" t="n">
        <f aca="false">VLOOKUP(E130,Sheet1!$A$2:$B$25,2,0)</f>
        <v>0</v>
      </c>
    </row>
    <row r="131" customFormat="false" ht="15" hidden="false" customHeight="false" outlineLevel="0" collapsed="false">
      <c r="A131" s="13" t="n">
        <v>44564.7083333333</v>
      </c>
      <c r="B131" s="12" t="n">
        <v>358.556</v>
      </c>
      <c r="C131" s="0" t="n">
        <f aca="false">WEEKDAY(A131,2)</f>
        <v>1</v>
      </c>
      <c r="D131" s="0" t="n">
        <f aca="false">DAY(A131)</f>
        <v>3</v>
      </c>
      <c r="E131" s="0" t="n">
        <f aca="false">HOUR(A131)</f>
        <v>17</v>
      </c>
      <c r="F131" s="0" t="n">
        <f aca="false">IF(C131&gt;=6,0,1)</f>
        <v>1</v>
      </c>
      <c r="G131" s="0" t="n">
        <f aca="false">VLOOKUP(E131,Sheet1!$A$2:$B$25,2,0)</f>
        <v>0</v>
      </c>
    </row>
    <row r="132" customFormat="false" ht="15" hidden="false" customHeight="false" outlineLevel="0" collapsed="false">
      <c r="A132" s="13" t="n">
        <v>44564.7291666667</v>
      </c>
      <c r="B132" s="12" t="n">
        <v>289.46</v>
      </c>
      <c r="C132" s="0" t="n">
        <f aca="false">WEEKDAY(A132,2)</f>
        <v>1</v>
      </c>
      <c r="D132" s="0" t="n">
        <f aca="false">DAY(A132)</f>
        <v>3</v>
      </c>
      <c r="E132" s="0" t="n">
        <f aca="false">HOUR(A132)</f>
        <v>17</v>
      </c>
      <c r="F132" s="0" t="n">
        <f aca="false">IF(C132&gt;=6,0,1)</f>
        <v>1</v>
      </c>
      <c r="G132" s="0" t="n">
        <f aca="false">VLOOKUP(E132,Sheet1!$A$2:$B$25,2,0)</f>
        <v>0</v>
      </c>
    </row>
    <row r="133" customFormat="false" ht="15" hidden="false" customHeight="false" outlineLevel="0" collapsed="false">
      <c r="A133" s="13" t="n">
        <v>44564.75</v>
      </c>
      <c r="B133" s="12" t="n">
        <v>271.105</v>
      </c>
      <c r="C133" s="0" t="n">
        <f aca="false">WEEKDAY(A133,2)</f>
        <v>1</v>
      </c>
      <c r="D133" s="0" t="n">
        <f aca="false">DAY(A133)</f>
        <v>3</v>
      </c>
      <c r="E133" s="0" t="n">
        <f aca="false">HOUR(A133)</f>
        <v>18</v>
      </c>
      <c r="F133" s="0" t="n">
        <f aca="false">IF(C133&gt;=6,0,1)</f>
        <v>1</v>
      </c>
      <c r="G133" s="0" t="n">
        <f aca="false">VLOOKUP(E133,Sheet1!$A$2:$B$25,2,0)</f>
        <v>0</v>
      </c>
    </row>
    <row r="134" customFormat="false" ht="15" hidden="false" customHeight="false" outlineLevel="0" collapsed="false">
      <c r="A134" s="13" t="n">
        <v>44564.7708333333</v>
      </c>
      <c r="B134" s="12" t="n">
        <v>262.916</v>
      </c>
      <c r="C134" s="0" t="n">
        <f aca="false">WEEKDAY(A134,2)</f>
        <v>1</v>
      </c>
      <c r="D134" s="0" t="n">
        <f aca="false">DAY(A134)</f>
        <v>3</v>
      </c>
      <c r="E134" s="0" t="n">
        <f aca="false">HOUR(A134)</f>
        <v>18</v>
      </c>
      <c r="F134" s="0" t="n">
        <f aca="false">IF(C134&gt;=6,0,1)</f>
        <v>1</v>
      </c>
      <c r="G134" s="0" t="n">
        <f aca="false">VLOOKUP(E134,Sheet1!$A$2:$B$25,2,0)</f>
        <v>0</v>
      </c>
    </row>
    <row r="135" customFormat="false" ht="15" hidden="false" customHeight="false" outlineLevel="0" collapsed="false">
      <c r="A135" s="13" t="n">
        <v>44564.7916666667</v>
      </c>
      <c r="B135" s="12" t="n">
        <v>262.22</v>
      </c>
      <c r="C135" s="0" t="n">
        <f aca="false">WEEKDAY(A135,2)</f>
        <v>1</v>
      </c>
      <c r="D135" s="0" t="n">
        <f aca="false">DAY(A135)</f>
        <v>3</v>
      </c>
      <c r="E135" s="0" t="n">
        <f aca="false">HOUR(A135)</f>
        <v>19</v>
      </c>
      <c r="F135" s="0" t="n">
        <f aca="false">IF(C135&gt;=6,0,1)</f>
        <v>1</v>
      </c>
      <c r="G135" s="0" t="n">
        <f aca="false">VLOOKUP(E135,Sheet1!$A$2:$B$25,2,0)</f>
        <v>0</v>
      </c>
    </row>
    <row r="136" customFormat="false" ht="15" hidden="false" customHeight="false" outlineLevel="0" collapsed="false">
      <c r="A136" s="13" t="n">
        <v>44564.8125</v>
      </c>
      <c r="B136" s="12" t="n">
        <v>257.78</v>
      </c>
      <c r="C136" s="0" t="n">
        <f aca="false">WEEKDAY(A136,2)</f>
        <v>1</v>
      </c>
      <c r="D136" s="0" t="n">
        <f aca="false">DAY(A136)</f>
        <v>3</v>
      </c>
      <c r="E136" s="0" t="n">
        <f aca="false">HOUR(A136)</f>
        <v>19</v>
      </c>
      <c r="F136" s="0" t="n">
        <f aca="false">IF(C136&gt;=6,0,1)</f>
        <v>1</v>
      </c>
      <c r="G136" s="0" t="n">
        <f aca="false">VLOOKUP(E136,Sheet1!$A$2:$B$25,2,0)</f>
        <v>0</v>
      </c>
    </row>
    <row r="137" customFormat="false" ht="15" hidden="false" customHeight="false" outlineLevel="0" collapsed="false">
      <c r="A137" s="13" t="n">
        <v>44564.8333333333</v>
      </c>
      <c r="B137" s="12" t="n">
        <v>257.665</v>
      </c>
      <c r="C137" s="0" t="n">
        <f aca="false">WEEKDAY(A137,2)</f>
        <v>1</v>
      </c>
      <c r="D137" s="0" t="n">
        <f aca="false">DAY(A137)</f>
        <v>3</v>
      </c>
      <c r="E137" s="0" t="n">
        <f aca="false">HOUR(A137)</f>
        <v>20</v>
      </c>
      <c r="F137" s="0" t="n">
        <f aca="false">IF(C137&gt;=6,0,1)</f>
        <v>1</v>
      </c>
      <c r="G137" s="0" t="n">
        <f aca="false">VLOOKUP(E137,Sheet1!$A$2:$B$25,2,0)</f>
        <v>0</v>
      </c>
    </row>
    <row r="138" customFormat="false" ht="15" hidden="false" customHeight="false" outlineLevel="0" collapsed="false">
      <c r="A138" s="13" t="n">
        <v>44564.8541666667</v>
      </c>
      <c r="B138" s="12" t="n">
        <v>261.74</v>
      </c>
      <c r="C138" s="0" t="n">
        <f aca="false">WEEKDAY(A138,2)</f>
        <v>1</v>
      </c>
      <c r="D138" s="0" t="n">
        <f aca="false">DAY(A138)</f>
        <v>3</v>
      </c>
      <c r="E138" s="0" t="n">
        <f aca="false">HOUR(A138)</f>
        <v>20</v>
      </c>
      <c r="F138" s="0" t="n">
        <f aca="false">IF(C138&gt;=6,0,1)</f>
        <v>1</v>
      </c>
      <c r="G138" s="0" t="n">
        <f aca="false">VLOOKUP(E138,Sheet1!$A$2:$B$25,2,0)</f>
        <v>0</v>
      </c>
    </row>
    <row r="139" customFormat="false" ht="15" hidden="false" customHeight="false" outlineLevel="0" collapsed="false">
      <c r="A139" s="13" t="n">
        <v>44564.875</v>
      </c>
      <c r="B139" s="12" t="n">
        <v>259.436</v>
      </c>
      <c r="C139" s="0" t="n">
        <f aca="false">WEEKDAY(A139,2)</f>
        <v>1</v>
      </c>
      <c r="D139" s="0" t="n">
        <f aca="false">DAY(A139)</f>
        <v>3</v>
      </c>
      <c r="E139" s="0" t="n">
        <f aca="false">HOUR(A139)</f>
        <v>21</v>
      </c>
      <c r="F139" s="0" t="n">
        <f aca="false">IF(C139&gt;=6,0,1)</f>
        <v>1</v>
      </c>
      <c r="G139" s="0" t="n">
        <f aca="false">VLOOKUP(E139,Sheet1!$A$2:$B$25,2,0)</f>
        <v>0</v>
      </c>
    </row>
    <row r="140" customFormat="false" ht="15" hidden="false" customHeight="false" outlineLevel="0" collapsed="false">
      <c r="A140" s="13" t="n">
        <v>44564.8958333333</v>
      </c>
      <c r="B140" s="12" t="n">
        <v>243.5</v>
      </c>
      <c r="C140" s="0" t="n">
        <f aca="false">WEEKDAY(A140,2)</f>
        <v>1</v>
      </c>
      <c r="D140" s="0" t="n">
        <f aca="false">DAY(A140)</f>
        <v>3</v>
      </c>
      <c r="E140" s="0" t="n">
        <f aca="false">HOUR(A140)</f>
        <v>21</v>
      </c>
      <c r="F140" s="0" t="n">
        <f aca="false">IF(C140&gt;=6,0,1)</f>
        <v>1</v>
      </c>
      <c r="G140" s="0" t="n">
        <f aca="false">VLOOKUP(E140,Sheet1!$A$2:$B$25,2,0)</f>
        <v>0</v>
      </c>
    </row>
    <row r="141" customFormat="false" ht="15" hidden="false" customHeight="false" outlineLevel="0" collapsed="false">
      <c r="A141" s="13" t="n">
        <v>44564.9166666667</v>
      </c>
      <c r="B141" s="12" t="n">
        <v>242.305</v>
      </c>
      <c r="C141" s="0" t="n">
        <f aca="false">WEEKDAY(A141,2)</f>
        <v>1</v>
      </c>
      <c r="D141" s="0" t="n">
        <f aca="false">DAY(A141)</f>
        <v>3</v>
      </c>
      <c r="E141" s="0" t="n">
        <f aca="false">HOUR(A141)</f>
        <v>22</v>
      </c>
      <c r="F141" s="0" t="n">
        <f aca="false">IF(C141&gt;=6,0,1)</f>
        <v>1</v>
      </c>
      <c r="G141" s="0" t="n">
        <f aca="false">VLOOKUP(E141,Sheet1!$A$2:$B$25,2,0)</f>
        <v>0</v>
      </c>
    </row>
    <row r="142" customFormat="false" ht="15" hidden="false" customHeight="false" outlineLevel="0" collapsed="false">
      <c r="A142" s="13" t="n">
        <v>44564.9375</v>
      </c>
      <c r="B142" s="12" t="n">
        <v>239.9</v>
      </c>
      <c r="C142" s="0" t="n">
        <f aca="false">WEEKDAY(A142,2)</f>
        <v>1</v>
      </c>
      <c r="D142" s="0" t="n">
        <f aca="false">DAY(A142)</f>
        <v>3</v>
      </c>
      <c r="E142" s="0" t="n">
        <f aca="false">HOUR(A142)</f>
        <v>22</v>
      </c>
      <c r="F142" s="0" t="n">
        <f aca="false">IF(C142&gt;=6,0,1)</f>
        <v>1</v>
      </c>
      <c r="G142" s="0" t="n">
        <f aca="false">VLOOKUP(E142,Sheet1!$A$2:$B$25,2,0)</f>
        <v>0</v>
      </c>
    </row>
    <row r="143" customFormat="false" ht="15" hidden="false" customHeight="false" outlineLevel="0" collapsed="false">
      <c r="A143" s="13" t="n">
        <v>44564.9583333333</v>
      </c>
      <c r="B143" s="12" t="n">
        <v>248.06</v>
      </c>
      <c r="C143" s="0" t="n">
        <f aca="false">WEEKDAY(A143,2)</f>
        <v>1</v>
      </c>
      <c r="D143" s="0" t="n">
        <f aca="false">DAY(A143)</f>
        <v>3</v>
      </c>
      <c r="E143" s="0" t="n">
        <f aca="false">HOUR(A143)</f>
        <v>23</v>
      </c>
      <c r="F143" s="0" t="n">
        <f aca="false">IF(C143&gt;=6,0,1)</f>
        <v>1</v>
      </c>
      <c r="G143" s="0" t="n">
        <f aca="false">VLOOKUP(E143,Sheet1!$A$2:$B$25,2,0)</f>
        <v>0</v>
      </c>
    </row>
    <row r="144" customFormat="false" ht="15" hidden="false" customHeight="false" outlineLevel="0" collapsed="false">
      <c r="A144" s="13" t="n">
        <v>44564.9791666667</v>
      </c>
      <c r="B144" s="12" t="n">
        <v>241.436</v>
      </c>
      <c r="C144" s="0" t="n">
        <f aca="false">WEEKDAY(A144,2)</f>
        <v>1</v>
      </c>
      <c r="D144" s="0" t="n">
        <f aca="false">DAY(A144)</f>
        <v>3</v>
      </c>
      <c r="E144" s="0" t="n">
        <f aca="false">HOUR(A144)</f>
        <v>23</v>
      </c>
      <c r="F144" s="0" t="n">
        <f aca="false">IF(C144&gt;=6,0,1)</f>
        <v>1</v>
      </c>
      <c r="G144" s="0" t="n">
        <f aca="false">VLOOKUP(E144,Sheet1!$A$2:$B$25,2,0)</f>
        <v>0</v>
      </c>
    </row>
    <row r="145" customFormat="false" ht="15" hidden="false" customHeight="false" outlineLevel="0" collapsed="false">
      <c r="A145" s="13" t="n">
        <v>44565</v>
      </c>
      <c r="B145" s="12" t="n">
        <v>242.276</v>
      </c>
      <c r="C145" s="0" t="n">
        <f aca="false">WEEKDAY(A145,2)</f>
        <v>2</v>
      </c>
      <c r="D145" s="0" t="n">
        <f aca="false">DAY(A145)</f>
        <v>4</v>
      </c>
      <c r="E145" s="0" t="n">
        <f aca="false">HOUR(A145)</f>
        <v>0</v>
      </c>
      <c r="F145" s="0" t="n">
        <f aca="false">IF(C145&gt;=6,0,1)</f>
        <v>1</v>
      </c>
      <c r="G145" s="0" t="n">
        <f aca="false">VLOOKUP(E145,Sheet1!$A$2:$B$25,2,0)</f>
        <v>0</v>
      </c>
    </row>
    <row r="146" customFormat="false" ht="15" hidden="false" customHeight="false" outlineLevel="0" collapsed="false">
      <c r="A146" s="13" t="n">
        <v>44565.0208333333</v>
      </c>
      <c r="B146" s="12" t="n">
        <v>241.82</v>
      </c>
      <c r="C146" s="0" t="n">
        <f aca="false">WEEKDAY(A146,2)</f>
        <v>2</v>
      </c>
      <c r="D146" s="0" t="n">
        <f aca="false">DAY(A146)</f>
        <v>4</v>
      </c>
      <c r="E146" s="0" t="n">
        <f aca="false">HOUR(A146)</f>
        <v>0</v>
      </c>
      <c r="F146" s="0" t="n">
        <f aca="false">IF(C146&gt;=6,0,1)</f>
        <v>1</v>
      </c>
      <c r="G146" s="0" t="n">
        <f aca="false">VLOOKUP(E146,Sheet1!$A$2:$B$25,2,0)</f>
        <v>0</v>
      </c>
    </row>
    <row r="147" customFormat="false" ht="15" hidden="false" customHeight="false" outlineLevel="0" collapsed="false">
      <c r="A147" s="13" t="n">
        <v>44565.0416666667</v>
      </c>
      <c r="B147" s="12" t="n">
        <v>240.26</v>
      </c>
      <c r="C147" s="0" t="n">
        <f aca="false">WEEKDAY(A147,2)</f>
        <v>2</v>
      </c>
      <c r="D147" s="0" t="n">
        <f aca="false">DAY(A147)</f>
        <v>4</v>
      </c>
      <c r="E147" s="0" t="n">
        <f aca="false">HOUR(A147)</f>
        <v>1</v>
      </c>
      <c r="F147" s="0" t="n">
        <f aca="false">IF(C147&gt;=6,0,1)</f>
        <v>1</v>
      </c>
      <c r="G147" s="0" t="n">
        <f aca="false">VLOOKUP(E147,Sheet1!$A$2:$B$25,2,0)</f>
        <v>0</v>
      </c>
    </row>
    <row r="148" customFormat="false" ht="15" hidden="false" customHeight="false" outlineLevel="0" collapsed="false">
      <c r="A148" s="13" t="n">
        <v>44565.0625</v>
      </c>
      <c r="B148" s="12" t="n">
        <v>242.636</v>
      </c>
      <c r="C148" s="0" t="n">
        <f aca="false">WEEKDAY(A148,2)</f>
        <v>2</v>
      </c>
      <c r="D148" s="0" t="n">
        <f aca="false">DAY(A148)</f>
        <v>4</v>
      </c>
      <c r="E148" s="0" t="n">
        <f aca="false">HOUR(A148)</f>
        <v>1</v>
      </c>
      <c r="F148" s="0" t="n">
        <f aca="false">IF(C148&gt;=6,0,1)</f>
        <v>1</v>
      </c>
      <c r="G148" s="0" t="n">
        <f aca="false">VLOOKUP(E148,Sheet1!$A$2:$B$25,2,0)</f>
        <v>0</v>
      </c>
    </row>
    <row r="149" customFormat="false" ht="15" hidden="false" customHeight="false" outlineLevel="0" collapsed="false">
      <c r="A149" s="13" t="n">
        <v>44565.0833333333</v>
      </c>
      <c r="B149" s="12" t="n">
        <v>242.185</v>
      </c>
      <c r="C149" s="0" t="n">
        <f aca="false">WEEKDAY(A149,2)</f>
        <v>2</v>
      </c>
      <c r="D149" s="0" t="n">
        <f aca="false">DAY(A149)</f>
        <v>4</v>
      </c>
      <c r="E149" s="0" t="n">
        <f aca="false">HOUR(A149)</f>
        <v>2</v>
      </c>
      <c r="F149" s="0" t="n">
        <f aca="false">IF(C149&gt;=6,0,1)</f>
        <v>1</v>
      </c>
      <c r="G149" s="0" t="n">
        <f aca="false">VLOOKUP(E149,Sheet1!$A$2:$B$25,2,0)</f>
        <v>0</v>
      </c>
    </row>
    <row r="150" customFormat="false" ht="15" hidden="false" customHeight="false" outlineLevel="0" collapsed="false">
      <c r="A150" s="13" t="n">
        <v>44565.1041666667</v>
      </c>
      <c r="B150" s="12" t="n">
        <v>240.476</v>
      </c>
      <c r="C150" s="0" t="n">
        <f aca="false">WEEKDAY(A150,2)</f>
        <v>2</v>
      </c>
      <c r="D150" s="0" t="n">
        <f aca="false">DAY(A150)</f>
        <v>4</v>
      </c>
      <c r="E150" s="0" t="n">
        <f aca="false">HOUR(A150)</f>
        <v>2</v>
      </c>
      <c r="F150" s="0" t="n">
        <f aca="false">IF(C150&gt;=6,0,1)</f>
        <v>1</v>
      </c>
      <c r="G150" s="0" t="n">
        <f aca="false">VLOOKUP(E150,Sheet1!$A$2:$B$25,2,0)</f>
        <v>0</v>
      </c>
    </row>
    <row r="151" customFormat="false" ht="15" hidden="false" customHeight="false" outlineLevel="0" collapsed="false">
      <c r="A151" s="13" t="n">
        <v>44565.125</v>
      </c>
      <c r="B151" s="12" t="n">
        <v>238.22</v>
      </c>
      <c r="C151" s="0" t="n">
        <f aca="false">WEEKDAY(A151,2)</f>
        <v>2</v>
      </c>
      <c r="D151" s="0" t="n">
        <f aca="false">DAY(A151)</f>
        <v>4</v>
      </c>
      <c r="E151" s="0" t="n">
        <f aca="false">HOUR(A151)</f>
        <v>3</v>
      </c>
      <c r="F151" s="0" t="n">
        <f aca="false">IF(C151&gt;=6,0,1)</f>
        <v>1</v>
      </c>
      <c r="G151" s="0" t="n">
        <f aca="false">VLOOKUP(E151,Sheet1!$A$2:$B$25,2,0)</f>
        <v>0</v>
      </c>
    </row>
    <row r="152" customFormat="false" ht="15" hidden="false" customHeight="false" outlineLevel="0" collapsed="false">
      <c r="A152" s="13" t="n">
        <v>44565.1458333333</v>
      </c>
      <c r="B152" s="12" t="n">
        <v>249.356</v>
      </c>
      <c r="C152" s="0" t="n">
        <f aca="false">WEEKDAY(A152,2)</f>
        <v>2</v>
      </c>
      <c r="D152" s="0" t="n">
        <f aca="false">DAY(A152)</f>
        <v>4</v>
      </c>
      <c r="E152" s="0" t="n">
        <f aca="false">HOUR(A152)</f>
        <v>3</v>
      </c>
      <c r="F152" s="0" t="n">
        <f aca="false">IF(C152&gt;=6,0,1)</f>
        <v>1</v>
      </c>
      <c r="G152" s="0" t="n">
        <f aca="false">VLOOKUP(E152,Sheet1!$A$2:$B$25,2,0)</f>
        <v>0</v>
      </c>
    </row>
    <row r="153" customFormat="false" ht="15" hidden="false" customHeight="false" outlineLevel="0" collapsed="false">
      <c r="A153" s="13" t="n">
        <v>44565.1666666667</v>
      </c>
      <c r="B153" s="12" t="n">
        <v>248.396</v>
      </c>
      <c r="C153" s="0" t="n">
        <f aca="false">WEEKDAY(A153,2)</f>
        <v>2</v>
      </c>
      <c r="D153" s="0" t="n">
        <f aca="false">DAY(A153)</f>
        <v>4</v>
      </c>
      <c r="E153" s="0" t="n">
        <f aca="false">HOUR(A153)</f>
        <v>4</v>
      </c>
      <c r="F153" s="0" t="n">
        <f aca="false">IF(C153&gt;=6,0,1)</f>
        <v>1</v>
      </c>
      <c r="G153" s="0" t="n">
        <f aca="false">VLOOKUP(E153,Sheet1!$A$2:$B$25,2,0)</f>
        <v>1</v>
      </c>
    </row>
    <row r="154" customFormat="false" ht="15" hidden="false" customHeight="false" outlineLevel="0" collapsed="false">
      <c r="A154" s="13" t="n">
        <v>44565.1875</v>
      </c>
      <c r="B154" s="12" t="n">
        <v>250.676</v>
      </c>
      <c r="C154" s="0" t="n">
        <f aca="false">WEEKDAY(A154,2)</f>
        <v>2</v>
      </c>
      <c r="D154" s="0" t="n">
        <f aca="false">DAY(A154)</f>
        <v>4</v>
      </c>
      <c r="E154" s="0" t="n">
        <f aca="false">HOUR(A154)</f>
        <v>4</v>
      </c>
      <c r="F154" s="0" t="n">
        <f aca="false">IF(C154&gt;=6,0,1)</f>
        <v>1</v>
      </c>
      <c r="G154" s="0" t="n">
        <f aca="false">VLOOKUP(E154,Sheet1!$A$2:$B$25,2,0)</f>
        <v>1</v>
      </c>
    </row>
    <row r="155" customFormat="false" ht="15" hidden="false" customHeight="false" outlineLevel="0" collapsed="false">
      <c r="A155" s="13" t="n">
        <v>44565.2083333333</v>
      </c>
      <c r="B155" s="12" t="n">
        <v>258.74</v>
      </c>
      <c r="C155" s="0" t="n">
        <f aca="false">WEEKDAY(A155,2)</f>
        <v>2</v>
      </c>
      <c r="D155" s="0" t="n">
        <f aca="false">DAY(A155)</f>
        <v>4</v>
      </c>
      <c r="E155" s="0" t="n">
        <f aca="false">HOUR(A155)</f>
        <v>5</v>
      </c>
      <c r="F155" s="0" t="n">
        <f aca="false">IF(C155&gt;=6,0,1)</f>
        <v>1</v>
      </c>
      <c r="G155" s="0" t="n">
        <f aca="false">VLOOKUP(E155,Sheet1!$A$2:$B$25,2,0)</f>
        <v>1</v>
      </c>
    </row>
    <row r="156" customFormat="false" ht="15" hidden="false" customHeight="false" outlineLevel="0" collapsed="false">
      <c r="A156" s="13" t="n">
        <v>44565.2291666667</v>
      </c>
      <c r="B156" s="12" t="n">
        <v>294.745</v>
      </c>
      <c r="C156" s="0" t="n">
        <f aca="false">WEEKDAY(A156,2)</f>
        <v>2</v>
      </c>
      <c r="D156" s="0" t="n">
        <f aca="false">DAY(A156)</f>
        <v>4</v>
      </c>
      <c r="E156" s="0" t="n">
        <f aca="false">HOUR(A156)</f>
        <v>5</v>
      </c>
      <c r="F156" s="0" t="n">
        <f aca="false">IF(C156&gt;=6,0,1)</f>
        <v>1</v>
      </c>
      <c r="G156" s="0" t="n">
        <f aca="false">VLOOKUP(E156,Sheet1!$A$2:$B$25,2,0)</f>
        <v>1</v>
      </c>
    </row>
    <row r="157" customFormat="false" ht="15" hidden="false" customHeight="false" outlineLevel="0" collapsed="false">
      <c r="A157" s="13" t="n">
        <v>44565.25</v>
      </c>
      <c r="B157" s="12" t="n">
        <v>653.276</v>
      </c>
      <c r="C157" s="0" t="n">
        <f aca="false">WEEKDAY(A157,2)</f>
        <v>2</v>
      </c>
      <c r="D157" s="0" t="n">
        <f aca="false">DAY(A157)</f>
        <v>4</v>
      </c>
      <c r="E157" s="0" t="n">
        <f aca="false">HOUR(A157)</f>
        <v>6</v>
      </c>
      <c r="F157" s="0" t="n">
        <f aca="false">IF(C157&gt;=6,0,1)</f>
        <v>1</v>
      </c>
      <c r="G157" s="0" t="n">
        <f aca="false">VLOOKUP(E157,Sheet1!$A$2:$B$25,2,0)</f>
        <v>1</v>
      </c>
    </row>
    <row r="158" customFormat="false" ht="15" hidden="false" customHeight="false" outlineLevel="0" collapsed="false">
      <c r="A158" s="13" t="n">
        <v>44565.2708333333</v>
      </c>
      <c r="B158" s="12" t="n">
        <v>604.1</v>
      </c>
      <c r="C158" s="0" t="n">
        <f aca="false">WEEKDAY(A158,2)</f>
        <v>2</v>
      </c>
      <c r="D158" s="0" t="n">
        <f aca="false">DAY(A158)</f>
        <v>4</v>
      </c>
      <c r="E158" s="0" t="n">
        <f aca="false">HOUR(A158)</f>
        <v>6</v>
      </c>
      <c r="F158" s="0" t="n">
        <f aca="false">IF(C158&gt;=6,0,1)</f>
        <v>1</v>
      </c>
      <c r="G158" s="0" t="n">
        <f aca="false">VLOOKUP(E158,Sheet1!$A$2:$B$25,2,0)</f>
        <v>1</v>
      </c>
    </row>
    <row r="159" customFormat="false" ht="15" hidden="false" customHeight="false" outlineLevel="0" collapsed="false">
      <c r="A159" s="13" t="n">
        <v>44565.2916666667</v>
      </c>
      <c r="B159" s="12" t="n">
        <v>527.756</v>
      </c>
      <c r="C159" s="0" t="n">
        <f aca="false">WEEKDAY(A159,2)</f>
        <v>2</v>
      </c>
      <c r="D159" s="0" t="n">
        <f aca="false">DAY(A159)</f>
        <v>4</v>
      </c>
      <c r="E159" s="0" t="n">
        <f aca="false">HOUR(A159)</f>
        <v>7</v>
      </c>
      <c r="F159" s="0" t="n">
        <f aca="false">IF(C159&gt;=6,0,1)</f>
        <v>1</v>
      </c>
      <c r="G159" s="0" t="n">
        <f aca="false">VLOOKUP(E159,Sheet1!$A$2:$B$25,2,0)</f>
        <v>1</v>
      </c>
    </row>
    <row r="160" customFormat="false" ht="15" hidden="false" customHeight="false" outlineLevel="0" collapsed="false">
      <c r="A160" s="13" t="n">
        <v>44565.3125</v>
      </c>
      <c r="B160" s="12" t="n">
        <v>576.356</v>
      </c>
      <c r="C160" s="0" t="n">
        <f aca="false">WEEKDAY(A160,2)</f>
        <v>2</v>
      </c>
      <c r="D160" s="0" t="n">
        <f aca="false">DAY(A160)</f>
        <v>4</v>
      </c>
      <c r="E160" s="0" t="n">
        <f aca="false">HOUR(A160)</f>
        <v>7</v>
      </c>
      <c r="F160" s="0" t="n">
        <f aca="false">IF(C160&gt;=6,0,1)</f>
        <v>1</v>
      </c>
      <c r="G160" s="0" t="n">
        <f aca="false">VLOOKUP(E160,Sheet1!$A$2:$B$25,2,0)</f>
        <v>1</v>
      </c>
    </row>
    <row r="161" customFormat="false" ht="15" hidden="false" customHeight="false" outlineLevel="0" collapsed="false">
      <c r="A161" s="13" t="n">
        <v>44565.3333333333</v>
      </c>
      <c r="B161" s="12" t="n">
        <v>549.14</v>
      </c>
      <c r="C161" s="0" t="n">
        <f aca="false">WEEKDAY(A161,2)</f>
        <v>2</v>
      </c>
      <c r="D161" s="0" t="n">
        <f aca="false">DAY(A161)</f>
        <v>4</v>
      </c>
      <c r="E161" s="0" t="n">
        <f aca="false">HOUR(A161)</f>
        <v>8</v>
      </c>
      <c r="F161" s="0" t="n">
        <f aca="false">IF(C161&gt;=6,0,1)</f>
        <v>1</v>
      </c>
      <c r="G161" s="0" t="n">
        <f aca="false">VLOOKUP(E161,Sheet1!$A$2:$B$25,2,0)</f>
        <v>1</v>
      </c>
    </row>
    <row r="162" customFormat="false" ht="15" hidden="false" customHeight="false" outlineLevel="0" collapsed="false">
      <c r="A162" s="13" t="n">
        <v>44565.3541666667</v>
      </c>
      <c r="B162" s="12" t="n">
        <v>523.225</v>
      </c>
      <c r="C162" s="0" t="n">
        <f aca="false">WEEKDAY(A162,2)</f>
        <v>2</v>
      </c>
      <c r="D162" s="0" t="n">
        <f aca="false">DAY(A162)</f>
        <v>4</v>
      </c>
      <c r="E162" s="0" t="n">
        <f aca="false">HOUR(A162)</f>
        <v>8</v>
      </c>
      <c r="F162" s="0" t="n">
        <f aca="false">IF(C162&gt;=6,0,1)</f>
        <v>1</v>
      </c>
      <c r="G162" s="0" t="n">
        <f aca="false">VLOOKUP(E162,Sheet1!$A$2:$B$25,2,0)</f>
        <v>1</v>
      </c>
    </row>
    <row r="163" customFormat="false" ht="15" hidden="false" customHeight="false" outlineLevel="0" collapsed="false">
      <c r="A163" s="13" t="n">
        <v>44565.375</v>
      </c>
      <c r="B163" s="12" t="n">
        <v>529.916</v>
      </c>
      <c r="C163" s="0" t="n">
        <f aca="false">WEEKDAY(A163,2)</f>
        <v>2</v>
      </c>
      <c r="D163" s="0" t="n">
        <f aca="false">DAY(A163)</f>
        <v>4</v>
      </c>
      <c r="E163" s="0" t="n">
        <f aca="false">HOUR(A163)</f>
        <v>9</v>
      </c>
      <c r="F163" s="0" t="n">
        <f aca="false">IF(C163&gt;=6,0,1)</f>
        <v>1</v>
      </c>
      <c r="G163" s="0" t="n">
        <f aca="false">VLOOKUP(E163,Sheet1!$A$2:$B$25,2,0)</f>
        <v>1</v>
      </c>
    </row>
    <row r="164" customFormat="false" ht="15" hidden="false" customHeight="false" outlineLevel="0" collapsed="false">
      <c r="A164" s="13" t="n">
        <v>44565.3958333333</v>
      </c>
      <c r="B164" s="12" t="n">
        <v>534.716</v>
      </c>
      <c r="C164" s="0" t="n">
        <f aca="false">WEEKDAY(A164,2)</f>
        <v>2</v>
      </c>
      <c r="D164" s="0" t="n">
        <f aca="false">DAY(A164)</f>
        <v>4</v>
      </c>
      <c r="E164" s="0" t="n">
        <f aca="false">HOUR(A164)</f>
        <v>9</v>
      </c>
      <c r="F164" s="0" t="n">
        <f aca="false">IF(C164&gt;=6,0,1)</f>
        <v>1</v>
      </c>
      <c r="G164" s="0" t="n">
        <f aca="false">VLOOKUP(E164,Sheet1!$A$2:$B$25,2,0)</f>
        <v>1</v>
      </c>
    </row>
    <row r="165" customFormat="false" ht="15" hidden="false" customHeight="false" outlineLevel="0" collapsed="false">
      <c r="A165" s="13" t="n">
        <v>44565.4166666667</v>
      </c>
      <c r="B165" s="12" t="n">
        <v>520.945</v>
      </c>
      <c r="C165" s="0" t="n">
        <f aca="false">WEEKDAY(A165,2)</f>
        <v>2</v>
      </c>
      <c r="D165" s="0" t="n">
        <f aca="false">DAY(A165)</f>
        <v>4</v>
      </c>
      <c r="E165" s="0" t="n">
        <f aca="false">HOUR(A165)</f>
        <v>10</v>
      </c>
      <c r="F165" s="0" t="n">
        <f aca="false">IF(C165&gt;=6,0,1)</f>
        <v>1</v>
      </c>
      <c r="G165" s="0" t="n">
        <f aca="false">VLOOKUP(E165,Sheet1!$A$2:$B$25,2,0)</f>
        <v>1</v>
      </c>
    </row>
    <row r="166" customFormat="false" ht="15" hidden="false" customHeight="false" outlineLevel="0" collapsed="false">
      <c r="A166" s="13" t="n">
        <v>44565.4375</v>
      </c>
      <c r="B166" s="12" t="n">
        <v>538.58</v>
      </c>
      <c r="C166" s="0" t="n">
        <f aca="false">WEEKDAY(A166,2)</f>
        <v>2</v>
      </c>
      <c r="D166" s="0" t="n">
        <f aca="false">DAY(A166)</f>
        <v>4</v>
      </c>
      <c r="E166" s="0" t="n">
        <f aca="false">HOUR(A166)</f>
        <v>10</v>
      </c>
      <c r="F166" s="0" t="n">
        <f aca="false">IF(C166&gt;=6,0,1)</f>
        <v>1</v>
      </c>
      <c r="G166" s="0" t="n">
        <f aca="false">VLOOKUP(E166,Sheet1!$A$2:$B$25,2,0)</f>
        <v>1</v>
      </c>
    </row>
    <row r="167" customFormat="false" ht="15" hidden="false" customHeight="false" outlineLevel="0" collapsed="false">
      <c r="A167" s="13" t="n">
        <v>44565.4583333333</v>
      </c>
      <c r="B167" s="12" t="n">
        <v>574.22</v>
      </c>
      <c r="C167" s="0" t="n">
        <f aca="false">WEEKDAY(A167,2)</f>
        <v>2</v>
      </c>
      <c r="D167" s="0" t="n">
        <f aca="false">DAY(A167)</f>
        <v>4</v>
      </c>
      <c r="E167" s="0" t="n">
        <f aca="false">HOUR(A167)</f>
        <v>11</v>
      </c>
      <c r="F167" s="0" t="n">
        <f aca="false">IF(C167&gt;=6,0,1)</f>
        <v>1</v>
      </c>
      <c r="G167" s="0" t="n">
        <f aca="false">VLOOKUP(E167,Sheet1!$A$2:$B$25,2,0)</f>
        <v>1</v>
      </c>
    </row>
    <row r="168" customFormat="false" ht="15" hidden="false" customHeight="false" outlineLevel="0" collapsed="false">
      <c r="A168" s="13" t="n">
        <v>44565.4791666667</v>
      </c>
      <c r="B168" s="12" t="n">
        <v>572.396</v>
      </c>
      <c r="C168" s="0" t="n">
        <f aca="false">WEEKDAY(A168,2)</f>
        <v>2</v>
      </c>
      <c r="D168" s="0" t="n">
        <f aca="false">DAY(A168)</f>
        <v>4</v>
      </c>
      <c r="E168" s="0" t="n">
        <f aca="false">HOUR(A168)</f>
        <v>11</v>
      </c>
      <c r="F168" s="0" t="n">
        <f aca="false">IF(C168&gt;=6,0,1)</f>
        <v>1</v>
      </c>
      <c r="G168" s="0" t="n">
        <f aca="false">VLOOKUP(E168,Sheet1!$A$2:$B$25,2,0)</f>
        <v>1</v>
      </c>
    </row>
    <row r="169" customFormat="false" ht="15" hidden="false" customHeight="false" outlineLevel="0" collapsed="false">
      <c r="A169" s="13" t="n">
        <v>44565.5</v>
      </c>
      <c r="B169" s="12" t="n">
        <v>366.145</v>
      </c>
      <c r="C169" s="0" t="n">
        <f aca="false">WEEKDAY(A169,2)</f>
        <v>2</v>
      </c>
      <c r="D169" s="0" t="n">
        <f aca="false">DAY(A169)</f>
        <v>4</v>
      </c>
      <c r="E169" s="0" t="n">
        <f aca="false">HOUR(A169)</f>
        <v>12</v>
      </c>
      <c r="F169" s="0" t="n">
        <f aca="false">IF(C169&gt;=6,0,1)</f>
        <v>1</v>
      </c>
      <c r="G169" s="0" t="n">
        <f aca="false">VLOOKUP(E169,Sheet1!$A$2:$B$25,2,0)</f>
        <v>1</v>
      </c>
    </row>
    <row r="170" customFormat="false" ht="15" hidden="false" customHeight="false" outlineLevel="0" collapsed="false">
      <c r="A170" s="13" t="n">
        <v>44565.5208333333</v>
      </c>
      <c r="B170" s="12" t="n">
        <v>367.916</v>
      </c>
      <c r="C170" s="0" t="n">
        <f aca="false">WEEKDAY(A170,2)</f>
        <v>2</v>
      </c>
      <c r="D170" s="0" t="n">
        <f aca="false">DAY(A170)</f>
        <v>4</v>
      </c>
      <c r="E170" s="0" t="n">
        <f aca="false">HOUR(A170)</f>
        <v>12</v>
      </c>
      <c r="F170" s="0" t="n">
        <f aca="false">IF(C170&gt;=6,0,1)</f>
        <v>1</v>
      </c>
      <c r="G170" s="0" t="n">
        <f aca="false">VLOOKUP(E170,Sheet1!$A$2:$B$25,2,0)</f>
        <v>1</v>
      </c>
    </row>
    <row r="171" customFormat="false" ht="15" hidden="false" customHeight="false" outlineLevel="0" collapsed="false">
      <c r="A171" s="13" t="n">
        <v>44565.5416666667</v>
      </c>
      <c r="B171" s="12" t="n">
        <v>369.5</v>
      </c>
      <c r="C171" s="0" t="n">
        <f aca="false">WEEKDAY(A171,2)</f>
        <v>2</v>
      </c>
      <c r="D171" s="0" t="n">
        <f aca="false">DAY(A171)</f>
        <v>4</v>
      </c>
      <c r="E171" s="0" t="n">
        <f aca="false">HOUR(A171)</f>
        <v>13</v>
      </c>
      <c r="F171" s="0" t="n">
        <f aca="false">IF(C171&gt;=6,0,1)</f>
        <v>1</v>
      </c>
      <c r="G171" s="0" t="n">
        <f aca="false">VLOOKUP(E171,Sheet1!$A$2:$B$25,2,0)</f>
        <v>1</v>
      </c>
    </row>
    <row r="172" customFormat="false" ht="15" hidden="false" customHeight="false" outlineLevel="0" collapsed="false">
      <c r="A172" s="13" t="n">
        <v>44565.5625</v>
      </c>
      <c r="B172" s="12" t="n">
        <v>369.481</v>
      </c>
      <c r="C172" s="0" t="n">
        <f aca="false">WEEKDAY(A172,2)</f>
        <v>2</v>
      </c>
      <c r="D172" s="0" t="n">
        <f aca="false">DAY(A172)</f>
        <v>4</v>
      </c>
      <c r="E172" s="0" t="n">
        <f aca="false">HOUR(A172)</f>
        <v>13</v>
      </c>
      <c r="F172" s="0" t="n">
        <f aca="false">IF(C172&gt;=6,0,1)</f>
        <v>1</v>
      </c>
      <c r="G172" s="0" t="n">
        <f aca="false">VLOOKUP(E172,Sheet1!$A$2:$B$25,2,0)</f>
        <v>1</v>
      </c>
    </row>
    <row r="173" customFormat="false" ht="15" hidden="false" customHeight="false" outlineLevel="0" collapsed="false">
      <c r="A173" s="13" t="n">
        <v>44565.5833333333</v>
      </c>
      <c r="B173" s="12" t="n">
        <v>364.196</v>
      </c>
      <c r="C173" s="0" t="n">
        <f aca="false">WEEKDAY(A173,2)</f>
        <v>2</v>
      </c>
      <c r="D173" s="0" t="n">
        <f aca="false">DAY(A173)</f>
        <v>4</v>
      </c>
      <c r="E173" s="0" t="n">
        <f aca="false">HOUR(A173)</f>
        <v>14</v>
      </c>
      <c r="F173" s="0" t="n">
        <f aca="false">IF(C173&gt;=6,0,1)</f>
        <v>1</v>
      </c>
      <c r="G173" s="0" t="n">
        <f aca="false">VLOOKUP(E173,Sheet1!$A$2:$B$25,2,0)</f>
        <v>1</v>
      </c>
    </row>
    <row r="174" customFormat="false" ht="15" hidden="false" customHeight="false" outlineLevel="0" collapsed="false">
      <c r="A174" s="13" t="n">
        <v>44565.6041666667</v>
      </c>
      <c r="B174" s="12" t="n">
        <v>368.516</v>
      </c>
      <c r="C174" s="0" t="n">
        <f aca="false">WEEKDAY(A174,2)</f>
        <v>2</v>
      </c>
      <c r="D174" s="0" t="n">
        <f aca="false">DAY(A174)</f>
        <v>4</v>
      </c>
      <c r="E174" s="0" t="n">
        <f aca="false">HOUR(A174)</f>
        <v>14</v>
      </c>
      <c r="F174" s="0" t="n">
        <f aca="false">IF(C174&gt;=6,0,1)</f>
        <v>1</v>
      </c>
      <c r="G174" s="0" t="n">
        <f aca="false">VLOOKUP(E174,Sheet1!$A$2:$B$25,2,0)</f>
        <v>1</v>
      </c>
    </row>
    <row r="175" customFormat="false" ht="15" hidden="false" customHeight="false" outlineLevel="0" collapsed="false">
      <c r="A175" s="13" t="n">
        <v>44565.625</v>
      </c>
      <c r="B175" s="12" t="n">
        <v>363.145</v>
      </c>
      <c r="C175" s="0" t="n">
        <f aca="false">WEEKDAY(A175,2)</f>
        <v>2</v>
      </c>
      <c r="D175" s="0" t="n">
        <f aca="false">DAY(A175)</f>
        <v>4</v>
      </c>
      <c r="E175" s="0" t="n">
        <f aca="false">HOUR(A175)</f>
        <v>15</v>
      </c>
      <c r="F175" s="0" t="n">
        <f aca="false">IF(C175&gt;=6,0,1)</f>
        <v>1</v>
      </c>
      <c r="G175" s="0" t="n">
        <f aca="false">VLOOKUP(E175,Sheet1!$A$2:$B$25,2,0)</f>
        <v>1</v>
      </c>
    </row>
    <row r="176" customFormat="false" ht="15" hidden="false" customHeight="false" outlineLevel="0" collapsed="false">
      <c r="A176" s="13" t="n">
        <v>44565.6458333333</v>
      </c>
      <c r="B176" s="12" t="n">
        <v>347.78</v>
      </c>
      <c r="C176" s="0" t="n">
        <f aca="false">WEEKDAY(A176,2)</f>
        <v>2</v>
      </c>
      <c r="D176" s="0" t="n">
        <f aca="false">DAY(A176)</f>
        <v>4</v>
      </c>
      <c r="E176" s="0" t="n">
        <f aca="false">HOUR(A176)</f>
        <v>15</v>
      </c>
      <c r="F176" s="0" t="n">
        <f aca="false">IF(C176&gt;=6,0,1)</f>
        <v>1</v>
      </c>
      <c r="G176" s="0" t="n">
        <f aca="false">VLOOKUP(E176,Sheet1!$A$2:$B$25,2,0)</f>
        <v>1</v>
      </c>
    </row>
    <row r="177" customFormat="false" ht="15" hidden="false" customHeight="false" outlineLevel="0" collapsed="false">
      <c r="A177" s="13" t="n">
        <v>44565.6666666667</v>
      </c>
      <c r="B177" s="12" t="n">
        <v>340.58</v>
      </c>
      <c r="C177" s="0" t="n">
        <f aca="false">WEEKDAY(A177,2)</f>
        <v>2</v>
      </c>
      <c r="D177" s="0" t="n">
        <f aca="false">DAY(A177)</f>
        <v>4</v>
      </c>
      <c r="E177" s="0" t="n">
        <f aca="false">HOUR(A177)</f>
        <v>16</v>
      </c>
      <c r="F177" s="0" t="n">
        <f aca="false">IF(C177&gt;=6,0,1)</f>
        <v>1</v>
      </c>
      <c r="G177" s="0" t="n">
        <f aca="false">VLOOKUP(E177,Sheet1!$A$2:$B$25,2,0)</f>
        <v>0</v>
      </c>
    </row>
    <row r="178" customFormat="false" ht="15" hidden="false" customHeight="false" outlineLevel="0" collapsed="false">
      <c r="A178" s="13" t="n">
        <v>44565.6875</v>
      </c>
      <c r="B178" s="12" t="n">
        <v>342.865</v>
      </c>
      <c r="C178" s="0" t="n">
        <f aca="false">WEEKDAY(A178,2)</f>
        <v>2</v>
      </c>
      <c r="D178" s="0" t="n">
        <f aca="false">DAY(A178)</f>
        <v>4</v>
      </c>
      <c r="E178" s="0" t="n">
        <f aca="false">HOUR(A178)</f>
        <v>16</v>
      </c>
      <c r="F178" s="0" t="n">
        <f aca="false">IF(C178&gt;=6,0,1)</f>
        <v>1</v>
      </c>
      <c r="G178" s="0" t="n">
        <f aca="false">VLOOKUP(E178,Sheet1!$A$2:$B$25,2,0)</f>
        <v>0</v>
      </c>
    </row>
    <row r="179" customFormat="false" ht="15" hidden="false" customHeight="false" outlineLevel="0" collapsed="false">
      <c r="A179" s="13" t="n">
        <v>44565.7083333333</v>
      </c>
      <c r="B179" s="12" t="n">
        <v>343.22</v>
      </c>
      <c r="C179" s="0" t="n">
        <f aca="false">WEEKDAY(A179,2)</f>
        <v>2</v>
      </c>
      <c r="D179" s="0" t="n">
        <f aca="false">DAY(A179)</f>
        <v>4</v>
      </c>
      <c r="E179" s="0" t="n">
        <f aca="false">HOUR(A179)</f>
        <v>17</v>
      </c>
      <c r="F179" s="0" t="n">
        <f aca="false">IF(C179&gt;=6,0,1)</f>
        <v>1</v>
      </c>
      <c r="G179" s="0" t="n">
        <f aca="false">VLOOKUP(E179,Sheet1!$A$2:$B$25,2,0)</f>
        <v>0</v>
      </c>
    </row>
    <row r="180" customFormat="false" ht="15" hidden="false" customHeight="false" outlineLevel="0" collapsed="false">
      <c r="A180" s="13" t="n">
        <v>44565.7291666667</v>
      </c>
      <c r="B180" s="12" t="n">
        <v>280.196</v>
      </c>
      <c r="C180" s="0" t="n">
        <f aca="false">WEEKDAY(A180,2)</f>
        <v>2</v>
      </c>
      <c r="D180" s="0" t="n">
        <f aca="false">DAY(A180)</f>
        <v>4</v>
      </c>
      <c r="E180" s="0" t="n">
        <f aca="false">HOUR(A180)</f>
        <v>17</v>
      </c>
      <c r="F180" s="0" t="n">
        <f aca="false">IF(C180&gt;=6,0,1)</f>
        <v>1</v>
      </c>
      <c r="G180" s="0" t="n">
        <f aca="false">VLOOKUP(E180,Sheet1!$A$2:$B$25,2,0)</f>
        <v>0</v>
      </c>
    </row>
    <row r="181" customFormat="false" ht="15" hidden="false" customHeight="false" outlineLevel="0" collapsed="false">
      <c r="A181" s="13" t="n">
        <v>44565.75</v>
      </c>
      <c r="B181" s="12" t="n">
        <v>287.756</v>
      </c>
      <c r="C181" s="0" t="n">
        <f aca="false">WEEKDAY(A181,2)</f>
        <v>2</v>
      </c>
      <c r="D181" s="0" t="n">
        <f aca="false">DAY(A181)</f>
        <v>4</v>
      </c>
      <c r="E181" s="0" t="n">
        <f aca="false">HOUR(A181)</f>
        <v>18</v>
      </c>
      <c r="F181" s="0" t="n">
        <f aca="false">IF(C181&gt;=6,0,1)</f>
        <v>1</v>
      </c>
      <c r="G181" s="0" t="n">
        <f aca="false">VLOOKUP(E181,Sheet1!$A$2:$B$25,2,0)</f>
        <v>0</v>
      </c>
    </row>
    <row r="182" customFormat="false" ht="15" hidden="false" customHeight="false" outlineLevel="0" collapsed="false">
      <c r="A182" s="13" t="n">
        <v>44565.7708333333</v>
      </c>
      <c r="B182" s="12" t="n">
        <v>269.036</v>
      </c>
      <c r="C182" s="0" t="n">
        <f aca="false">WEEKDAY(A182,2)</f>
        <v>2</v>
      </c>
      <c r="D182" s="0" t="n">
        <f aca="false">DAY(A182)</f>
        <v>4</v>
      </c>
      <c r="E182" s="0" t="n">
        <f aca="false">HOUR(A182)</f>
        <v>18</v>
      </c>
      <c r="F182" s="0" t="n">
        <f aca="false">IF(C182&gt;=6,0,1)</f>
        <v>1</v>
      </c>
      <c r="G182" s="0" t="n">
        <f aca="false">VLOOKUP(E182,Sheet1!$A$2:$B$25,2,0)</f>
        <v>0</v>
      </c>
    </row>
    <row r="183" customFormat="false" ht="15" hidden="false" customHeight="false" outlineLevel="0" collapsed="false">
      <c r="A183" s="13" t="n">
        <v>44565.7916666667</v>
      </c>
      <c r="B183" s="12" t="n">
        <v>261.001</v>
      </c>
      <c r="C183" s="0" t="n">
        <f aca="false">WEEKDAY(A183,2)</f>
        <v>2</v>
      </c>
      <c r="D183" s="0" t="n">
        <f aca="false">DAY(A183)</f>
        <v>4</v>
      </c>
      <c r="E183" s="0" t="n">
        <f aca="false">HOUR(A183)</f>
        <v>19</v>
      </c>
      <c r="F183" s="0" t="n">
        <f aca="false">IF(C183&gt;=6,0,1)</f>
        <v>1</v>
      </c>
      <c r="G183" s="0" t="n">
        <f aca="false">VLOOKUP(E183,Sheet1!$A$2:$B$25,2,0)</f>
        <v>0</v>
      </c>
    </row>
    <row r="184" customFormat="false" ht="15" hidden="false" customHeight="false" outlineLevel="0" collapsed="false">
      <c r="A184" s="13" t="n">
        <v>44565.8125</v>
      </c>
      <c r="B184" s="12" t="n">
        <v>253.916</v>
      </c>
      <c r="C184" s="0" t="n">
        <f aca="false">WEEKDAY(A184,2)</f>
        <v>2</v>
      </c>
      <c r="D184" s="0" t="n">
        <f aca="false">DAY(A184)</f>
        <v>4</v>
      </c>
      <c r="E184" s="0" t="n">
        <f aca="false">HOUR(A184)</f>
        <v>19</v>
      </c>
      <c r="F184" s="0" t="n">
        <f aca="false">IF(C184&gt;=6,0,1)</f>
        <v>1</v>
      </c>
      <c r="G184" s="0" t="n">
        <f aca="false">VLOOKUP(E184,Sheet1!$A$2:$B$25,2,0)</f>
        <v>0</v>
      </c>
    </row>
    <row r="185" customFormat="false" ht="15" hidden="false" customHeight="false" outlineLevel="0" collapsed="false">
      <c r="A185" s="13" t="n">
        <v>44565.8333333333</v>
      </c>
      <c r="B185" s="12" t="n">
        <v>254.036</v>
      </c>
      <c r="C185" s="0" t="n">
        <f aca="false">WEEKDAY(A185,2)</f>
        <v>2</v>
      </c>
      <c r="D185" s="0" t="n">
        <f aca="false">DAY(A185)</f>
        <v>4</v>
      </c>
      <c r="E185" s="0" t="n">
        <f aca="false">HOUR(A185)</f>
        <v>20</v>
      </c>
      <c r="F185" s="0" t="n">
        <f aca="false">IF(C185&gt;=6,0,1)</f>
        <v>1</v>
      </c>
      <c r="G185" s="0" t="n">
        <f aca="false">VLOOKUP(E185,Sheet1!$A$2:$B$25,2,0)</f>
        <v>0</v>
      </c>
    </row>
    <row r="186" customFormat="false" ht="15" hidden="false" customHeight="false" outlineLevel="0" collapsed="false">
      <c r="A186" s="13" t="n">
        <v>44565.8541666667</v>
      </c>
      <c r="B186" s="12" t="n">
        <v>250.585</v>
      </c>
      <c r="C186" s="0" t="n">
        <f aca="false">WEEKDAY(A186,2)</f>
        <v>2</v>
      </c>
      <c r="D186" s="0" t="n">
        <f aca="false">DAY(A186)</f>
        <v>4</v>
      </c>
      <c r="E186" s="0" t="n">
        <f aca="false">HOUR(A186)</f>
        <v>20</v>
      </c>
      <c r="F186" s="0" t="n">
        <f aca="false">IF(C186&gt;=6,0,1)</f>
        <v>1</v>
      </c>
      <c r="G186" s="0" t="n">
        <f aca="false">VLOOKUP(E186,Sheet1!$A$2:$B$25,2,0)</f>
        <v>0</v>
      </c>
    </row>
    <row r="187" customFormat="false" ht="15" hidden="false" customHeight="false" outlineLevel="0" collapsed="false">
      <c r="A187" s="13" t="n">
        <v>44565.875</v>
      </c>
      <c r="B187" s="12" t="n">
        <v>250.316</v>
      </c>
      <c r="C187" s="0" t="n">
        <f aca="false">WEEKDAY(A187,2)</f>
        <v>2</v>
      </c>
      <c r="D187" s="0" t="n">
        <f aca="false">DAY(A187)</f>
        <v>4</v>
      </c>
      <c r="E187" s="0" t="n">
        <f aca="false">HOUR(A187)</f>
        <v>21</v>
      </c>
      <c r="F187" s="0" t="n">
        <f aca="false">IF(C187&gt;=6,0,1)</f>
        <v>1</v>
      </c>
      <c r="G187" s="0" t="n">
        <f aca="false">VLOOKUP(E187,Sheet1!$A$2:$B$25,2,0)</f>
        <v>0</v>
      </c>
    </row>
    <row r="188" customFormat="false" ht="15" hidden="false" customHeight="false" outlineLevel="0" collapsed="false">
      <c r="A188" s="13" t="n">
        <v>44565.8958333333</v>
      </c>
      <c r="B188" s="12" t="n">
        <v>231.5</v>
      </c>
      <c r="C188" s="0" t="n">
        <f aca="false">WEEKDAY(A188,2)</f>
        <v>2</v>
      </c>
      <c r="D188" s="0" t="n">
        <f aca="false">DAY(A188)</f>
        <v>4</v>
      </c>
      <c r="E188" s="0" t="n">
        <f aca="false">HOUR(A188)</f>
        <v>21</v>
      </c>
      <c r="F188" s="0" t="n">
        <f aca="false">IF(C188&gt;=6,0,1)</f>
        <v>1</v>
      </c>
      <c r="G188" s="0" t="n">
        <f aca="false">VLOOKUP(E188,Sheet1!$A$2:$B$25,2,0)</f>
        <v>0</v>
      </c>
    </row>
    <row r="189" customFormat="false" ht="15" hidden="false" customHeight="false" outlineLevel="0" collapsed="false">
      <c r="A189" s="13" t="n">
        <v>44565.9166666667</v>
      </c>
      <c r="B189" s="12" t="n">
        <v>229.345</v>
      </c>
      <c r="C189" s="0" t="n">
        <f aca="false">WEEKDAY(A189,2)</f>
        <v>2</v>
      </c>
      <c r="D189" s="0" t="n">
        <f aca="false">DAY(A189)</f>
        <v>4</v>
      </c>
      <c r="E189" s="0" t="n">
        <f aca="false">HOUR(A189)</f>
        <v>22</v>
      </c>
      <c r="F189" s="0" t="n">
        <f aca="false">IF(C189&gt;=6,0,1)</f>
        <v>1</v>
      </c>
      <c r="G189" s="0" t="n">
        <f aca="false">VLOOKUP(E189,Sheet1!$A$2:$B$25,2,0)</f>
        <v>0</v>
      </c>
    </row>
    <row r="190" customFormat="false" ht="15" hidden="false" customHeight="false" outlineLevel="0" collapsed="false">
      <c r="A190" s="13" t="n">
        <v>44565.9375</v>
      </c>
      <c r="B190" s="12" t="n">
        <v>233.06</v>
      </c>
      <c r="C190" s="0" t="n">
        <f aca="false">WEEKDAY(A190,2)</f>
        <v>2</v>
      </c>
      <c r="D190" s="0" t="n">
        <f aca="false">DAY(A190)</f>
        <v>4</v>
      </c>
      <c r="E190" s="0" t="n">
        <f aca="false">HOUR(A190)</f>
        <v>22</v>
      </c>
      <c r="F190" s="0" t="n">
        <f aca="false">IF(C190&gt;=6,0,1)</f>
        <v>1</v>
      </c>
      <c r="G190" s="0" t="n">
        <f aca="false">VLOOKUP(E190,Sheet1!$A$2:$B$25,2,0)</f>
        <v>0</v>
      </c>
    </row>
    <row r="191" customFormat="false" ht="15" hidden="false" customHeight="false" outlineLevel="0" collapsed="false">
      <c r="A191" s="13" t="n">
        <v>44565.9583333333</v>
      </c>
      <c r="B191" s="12" t="n">
        <v>234.62</v>
      </c>
      <c r="C191" s="0" t="n">
        <f aca="false">WEEKDAY(A191,2)</f>
        <v>2</v>
      </c>
      <c r="D191" s="0" t="n">
        <f aca="false">DAY(A191)</f>
        <v>4</v>
      </c>
      <c r="E191" s="0" t="n">
        <f aca="false">HOUR(A191)</f>
        <v>23</v>
      </c>
      <c r="F191" s="0" t="n">
        <f aca="false">IF(C191&gt;=6,0,1)</f>
        <v>1</v>
      </c>
      <c r="G191" s="0" t="n">
        <f aca="false">VLOOKUP(E191,Sheet1!$A$2:$B$25,2,0)</f>
        <v>0</v>
      </c>
    </row>
    <row r="192" customFormat="false" ht="15" hidden="false" customHeight="false" outlineLevel="0" collapsed="false">
      <c r="A192" s="13" t="n">
        <v>44565.9791666667</v>
      </c>
      <c r="B192" s="12" t="n">
        <v>228.721</v>
      </c>
      <c r="C192" s="0" t="n">
        <f aca="false">WEEKDAY(A192,2)</f>
        <v>2</v>
      </c>
      <c r="D192" s="0" t="n">
        <f aca="false">DAY(A192)</f>
        <v>4</v>
      </c>
      <c r="E192" s="0" t="n">
        <f aca="false">HOUR(A192)</f>
        <v>23</v>
      </c>
      <c r="F192" s="0" t="n">
        <f aca="false">IF(C192&gt;=6,0,1)</f>
        <v>1</v>
      </c>
      <c r="G192" s="0" t="n">
        <f aca="false">VLOOKUP(E192,Sheet1!$A$2:$B$25,2,0)</f>
        <v>0</v>
      </c>
    </row>
    <row r="193" customFormat="false" ht="15" hidden="false" customHeight="false" outlineLevel="0" collapsed="false">
      <c r="A193" s="13" t="n">
        <v>44566</v>
      </c>
      <c r="B193" s="12" t="n">
        <v>229.34</v>
      </c>
      <c r="C193" s="0" t="n">
        <f aca="false">WEEKDAY(A193,2)</f>
        <v>3</v>
      </c>
      <c r="D193" s="0" t="n">
        <f aca="false">DAY(A193)</f>
        <v>5</v>
      </c>
      <c r="E193" s="0" t="n">
        <f aca="false">HOUR(A193)</f>
        <v>0</v>
      </c>
      <c r="F193" s="0" t="n">
        <f aca="false">IF(C193&gt;=6,0,1)</f>
        <v>1</v>
      </c>
      <c r="G193" s="0" t="n">
        <f aca="false">VLOOKUP(E193,Sheet1!$A$2:$B$25,2,0)</f>
        <v>0</v>
      </c>
    </row>
    <row r="194" customFormat="false" ht="15" hidden="false" customHeight="false" outlineLevel="0" collapsed="false">
      <c r="A194" s="13" t="n">
        <v>44566.0208333333</v>
      </c>
      <c r="B194" s="12" t="n">
        <v>235.58</v>
      </c>
      <c r="C194" s="0" t="n">
        <f aca="false">WEEKDAY(A194,2)</f>
        <v>3</v>
      </c>
      <c r="D194" s="0" t="n">
        <f aca="false">DAY(A194)</f>
        <v>5</v>
      </c>
      <c r="E194" s="0" t="n">
        <f aca="false">HOUR(A194)</f>
        <v>0</v>
      </c>
      <c r="F194" s="0" t="n">
        <f aca="false">IF(C194&gt;=6,0,1)</f>
        <v>1</v>
      </c>
      <c r="G194" s="0" t="n">
        <f aca="false">VLOOKUP(E194,Sheet1!$A$2:$B$25,2,0)</f>
        <v>0</v>
      </c>
    </row>
    <row r="195" customFormat="false" ht="15" hidden="false" customHeight="false" outlineLevel="0" collapsed="false">
      <c r="A195" s="13" t="n">
        <v>44566.0416666667</v>
      </c>
      <c r="B195" s="12" t="n">
        <v>240.721</v>
      </c>
      <c r="C195" s="0" t="n">
        <f aca="false">WEEKDAY(A195,2)</f>
        <v>3</v>
      </c>
      <c r="D195" s="0" t="n">
        <f aca="false">DAY(A195)</f>
        <v>5</v>
      </c>
      <c r="E195" s="0" t="n">
        <f aca="false">HOUR(A195)</f>
        <v>1</v>
      </c>
      <c r="F195" s="0" t="n">
        <f aca="false">IF(C195&gt;=6,0,1)</f>
        <v>1</v>
      </c>
      <c r="G195" s="0" t="n">
        <f aca="false">VLOOKUP(E195,Sheet1!$A$2:$B$25,2,0)</f>
        <v>0</v>
      </c>
    </row>
    <row r="196" customFormat="false" ht="15" hidden="false" customHeight="false" outlineLevel="0" collapsed="false">
      <c r="A196" s="13" t="n">
        <v>44566.0625</v>
      </c>
      <c r="B196" s="12" t="n">
        <v>231.26</v>
      </c>
      <c r="C196" s="0" t="n">
        <f aca="false">WEEKDAY(A196,2)</f>
        <v>3</v>
      </c>
      <c r="D196" s="0" t="n">
        <f aca="false">DAY(A196)</f>
        <v>5</v>
      </c>
      <c r="E196" s="0" t="n">
        <f aca="false">HOUR(A196)</f>
        <v>1</v>
      </c>
      <c r="F196" s="0" t="n">
        <f aca="false">IF(C196&gt;=6,0,1)</f>
        <v>1</v>
      </c>
      <c r="G196" s="0" t="n">
        <f aca="false">VLOOKUP(E196,Sheet1!$A$2:$B$25,2,0)</f>
        <v>0</v>
      </c>
    </row>
    <row r="197" customFormat="false" ht="15" hidden="false" customHeight="false" outlineLevel="0" collapsed="false">
      <c r="A197" s="13" t="n">
        <v>44566.0833333333</v>
      </c>
      <c r="B197" s="12" t="n">
        <v>225.836</v>
      </c>
      <c r="C197" s="0" t="n">
        <f aca="false">WEEKDAY(A197,2)</f>
        <v>3</v>
      </c>
      <c r="D197" s="0" t="n">
        <f aca="false">DAY(A197)</f>
        <v>5</v>
      </c>
      <c r="E197" s="0" t="n">
        <f aca="false">HOUR(A197)</f>
        <v>2</v>
      </c>
      <c r="F197" s="0" t="n">
        <f aca="false">IF(C197&gt;=6,0,1)</f>
        <v>1</v>
      </c>
      <c r="G197" s="0" t="n">
        <f aca="false">VLOOKUP(E197,Sheet1!$A$2:$B$25,2,0)</f>
        <v>0</v>
      </c>
    </row>
    <row r="198" customFormat="false" ht="15" hidden="false" customHeight="false" outlineLevel="0" collapsed="false">
      <c r="A198" s="13" t="n">
        <v>44566.1041666667</v>
      </c>
      <c r="B198" s="12" t="n">
        <v>233.9</v>
      </c>
      <c r="C198" s="0" t="n">
        <f aca="false">WEEKDAY(A198,2)</f>
        <v>3</v>
      </c>
      <c r="D198" s="0" t="n">
        <f aca="false">DAY(A198)</f>
        <v>5</v>
      </c>
      <c r="E198" s="0" t="n">
        <f aca="false">HOUR(A198)</f>
        <v>2</v>
      </c>
      <c r="F198" s="0" t="n">
        <f aca="false">IF(C198&gt;=6,0,1)</f>
        <v>1</v>
      </c>
      <c r="G198" s="0" t="n">
        <f aca="false">VLOOKUP(E198,Sheet1!$A$2:$B$25,2,0)</f>
        <v>0</v>
      </c>
    </row>
    <row r="199" customFormat="false" ht="15" hidden="false" customHeight="false" outlineLevel="0" collapsed="false">
      <c r="A199" s="13" t="n">
        <v>44566.125</v>
      </c>
      <c r="B199" s="12" t="n">
        <v>236.521</v>
      </c>
      <c r="C199" s="0" t="n">
        <f aca="false">WEEKDAY(A199,2)</f>
        <v>3</v>
      </c>
      <c r="D199" s="0" t="n">
        <f aca="false">DAY(A199)</f>
        <v>5</v>
      </c>
      <c r="E199" s="0" t="n">
        <f aca="false">HOUR(A199)</f>
        <v>3</v>
      </c>
      <c r="F199" s="0" t="n">
        <f aca="false">IF(C199&gt;=6,0,1)</f>
        <v>1</v>
      </c>
      <c r="G199" s="0" t="n">
        <f aca="false">VLOOKUP(E199,Sheet1!$A$2:$B$25,2,0)</f>
        <v>0</v>
      </c>
    </row>
    <row r="200" customFormat="false" ht="15" hidden="false" customHeight="false" outlineLevel="0" collapsed="false">
      <c r="A200" s="13" t="n">
        <v>44566.1458333333</v>
      </c>
      <c r="B200" s="12" t="n">
        <v>321.5</v>
      </c>
      <c r="C200" s="0" t="n">
        <f aca="false">WEEKDAY(A200,2)</f>
        <v>3</v>
      </c>
      <c r="D200" s="0" t="n">
        <f aca="false">DAY(A200)</f>
        <v>5</v>
      </c>
      <c r="E200" s="0" t="n">
        <f aca="false">HOUR(A200)</f>
        <v>3</v>
      </c>
      <c r="F200" s="0" t="n">
        <f aca="false">IF(C200&gt;=6,0,1)</f>
        <v>1</v>
      </c>
      <c r="G200" s="0" t="n">
        <f aca="false">VLOOKUP(E200,Sheet1!$A$2:$B$25,2,0)</f>
        <v>0</v>
      </c>
    </row>
    <row r="201" customFormat="false" ht="15" hidden="false" customHeight="false" outlineLevel="0" collapsed="false">
      <c r="A201" s="13" t="n">
        <v>44566.1666666667</v>
      </c>
      <c r="B201" s="12" t="n">
        <v>252.236</v>
      </c>
      <c r="C201" s="0" t="n">
        <f aca="false">WEEKDAY(A201,2)</f>
        <v>3</v>
      </c>
      <c r="D201" s="0" t="n">
        <f aca="false">DAY(A201)</f>
        <v>5</v>
      </c>
      <c r="E201" s="0" t="n">
        <f aca="false">HOUR(A201)</f>
        <v>4</v>
      </c>
      <c r="F201" s="0" t="n">
        <f aca="false">IF(C201&gt;=6,0,1)</f>
        <v>1</v>
      </c>
      <c r="G201" s="0" t="n">
        <f aca="false">VLOOKUP(E201,Sheet1!$A$2:$B$25,2,0)</f>
        <v>1</v>
      </c>
    </row>
    <row r="202" customFormat="false" ht="15" hidden="false" customHeight="false" outlineLevel="0" collapsed="false">
      <c r="A202" s="13" t="n">
        <v>44566.1875</v>
      </c>
      <c r="B202" s="12" t="n">
        <v>252.481</v>
      </c>
      <c r="C202" s="0" t="n">
        <f aca="false">WEEKDAY(A202,2)</f>
        <v>3</v>
      </c>
      <c r="D202" s="0" t="n">
        <f aca="false">DAY(A202)</f>
        <v>5</v>
      </c>
      <c r="E202" s="0" t="n">
        <f aca="false">HOUR(A202)</f>
        <v>4</v>
      </c>
      <c r="F202" s="0" t="n">
        <f aca="false">IF(C202&gt;=6,0,1)</f>
        <v>1</v>
      </c>
      <c r="G202" s="0" t="n">
        <f aca="false">VLOOKUP(E202,Sheet1!$A$2:$B$25,2,0)</f>
        <v>1</v>
      </c>
    </row>
    <row r="203" customFormat="false" ht="15" hidden="false" customHeight="false" outlineLevel="0" collapsed="false">
      <c r="A203" s="13" t="n">
        <v>44566.2083333333</v>
      </c>
      <c r="B203" s="12" t="n">
        <v>258.74</v>
      </c>
      <c r="C203" s="0" t="n">
        <f aca="false">WEEKDAY(A203,2)</f>
        <v>3</v>
      </c>
      <c r="D203" s="0" t="n">
        <f aca="false">DAY(A203)</f>
        <v>5</v>
      </c>
      <c r="E203" s="0" t="n">
        <f aca="false">HOUR(A203)</f>
        <v>5</v>
      </c>
      <c r="F203" s="0" t="n">
        <f aca="false">IF(C203&gt;=6,0,1)</f>
        <v>1</v>
      </c>
      <c r="G203" s="0" t="n">
        <f aca="false">VLOOKUP(E203,Sheet1!$A$2:$B$25,2,0)</f>
        <v>1</v>
      </c>
    </row>
    <row r="204" customFormat="false" ht="15" hidden="false" customHeight="false" outlineLevel="0" collapsed="false">
      <c r="A204" s="13" t="n">
        <v>44566.2291666667</v>
      </c>
      <c r="B204" s="12" t="n">
        <v>282.74</v>
      </c>
      <c r="C204" s="0" t="n">
        <f aca="false">WEEKDAY(A204,2)</f>
        <v>3</v>
      </c>
      <c r="D204" s="0" t="n">
        <f aca="false">DAY(A204)</f>
        <v>5</v>
      </c>
      <c r="E204" s="0" t="n">
        <f aca="false">HOUR(A204)</f>
        <v>5</v>
      </c>
      <c r="F204" s="0" t="n">
        <f aca="false">IF(C204&gt;=6,0,1)</f>
        <v>1</v>
      </c>
      <c r="G204" s="0" t="n">
        <f aca="false">VLOOKUP(E204,Sheet1!$A$2:$B$25,2,0)</f>
        <v>1</v>
      </c>
    </row>
    <row r="205" customFormat="false" ht="15" hidden="false" customHeight="false" outlineLevel="0" collapsed="false">
      <c r="A205" s="13" t="n">
        <v>44566.25</v>
      </c>
      <c r="B205" s="12" t="n">
        <v>601.46</v>
      </c>
      <c r="C205" s="0" t="n">
        <f aca="false">WEEKDAY(A205,2)</f>
        <v>3</v>
      </c>
      <c r="D205" s="0" t="n">
        <f aca="false">DAY(A205)</f>
        <v>5</v>
      </c>
      <c r="E205" s="0" t="n">
        <f aca="false">HOUR(A205)</f>
        <v>6</v>
      </c>
      <c r="F205" s="0" t="n">
        <f aca="false">IF(C205&gt;=6,0,1)</f>
        <v>1</v>
      </c>
      <c r="G205" s="0" t="n">
        <f aca="false">VLOOKUP(E205,Sheet1!$A$2:$B$25,2,0)</f>
        <v>1</v>
      </c>
    </row>
    <row r="206" customFormat="false" ht="15" hidden="false" customHeight="false" outlineLevel="0" collapsed="false">
      <c r="A206" s="13" t="n">
        <v>44566.2708333333</v>
      </c>
      <c r="B206" s="12" t="n">
        <v>714.74</v>
      </c>
      <c r="C206" s="0" t="n">
        <f aca="false">WEEKDAY(A206,2)</f>
        <v>3</v>
      </c>
      <c r="D206" s="0" t="n">
        <f aca="false">DAY(A206)</f>
        <v>5</v>
      </c>
      <c r="E206" s="0" t="n">
        <f aca="false">HOUR(A206)</f>
        <v>6</v>
      </c>
      <c r="F206" s="0" t="n">
        <f aca="false">IF(C206&gt;=6,0,1)</f>
        <v>1</v>
      </c>
      <c r="G206" s="0" t="n">
        <f aca="false">VLOOKUP(E206,Sheet1!$A$2:$B$25,2,0)</f>
        <v>1</v>
      </c>
    </row>
    <row r="207" customFormat="false" ht="15" hidden="false" customHeight="false" outlineLevel="0" collapsed="false">
      <c r="A207" s="13" t="n">
        <v>44566.2916666667</v>
      </c>
      <c r="B207" s="12" t="n">
        <v>696.145</v>
      </c>
      <c r="C207" s="0" t="n">
        <f aca="false">WEEKDAY(A207,2)</f>
        <v>3</v>
      </c>
      <c r="D207" s="0" t="n">
        <f aca="false">DAY(A207)</f>
        <v>5</v>
      </c>
      <c r="E207" s="0" t="n">
        <f aca="false">HOUR(A207)</f>
        <v>7</v>
      </c>
      <c r="F207" s="0" t="n">
        <f aca="false">IF(C207&gt;=6,0,1)</f>
        <v>1</v>
      </c>
      <c r="G207" s="0" t="n">
        <f aca="false">VLOOKUP(E207,Sheet1!$A$2:$B$25,2,0)</f>
        <v>1</v>
      </c>
    </row>
    <row r="208" customFormat="false" ht="15" hidden="false" customHeight="false" outlineLevel="0" collapsed="false">
      <c r="A208" s="13" t="n">
        <v>44566.3125</v>
      </c>
      <c r="B208" s="12" t="n">
        <v>721.916</v>
      </c>
      <c r="C208" s="0" t="n">
        <f aca="false">WEEKDAY(A208,2)</f>
        <v>3</v>
      </c>
      <c r="D208" s="0" t="n">
        <f aca="false">DAY(A208)</f>
        <v>5</v>
      </c>
      <c r="E208" s="0" t="n">
        <f aca="false">HOUR(A208)</f>
        <v>7</v>
      </c>
      <c r="F208" s="0" t="n">
        <f aca="false">IF(C208&gt;=6,0,1)</f>
        <v>1</v>
      </c>
      <c r="G208" s="0" t="n">
        <f aca="false">VLOOKUP(E208,Sheet1!$A$2:$B$25,2,0)</f>
        <v>1</v>
      </c>
    </row>
    <row r="209" customFormat="false" ht="15" hidden="false" customHeight="false" outlineLevel="0" collapsed="false">
      <c r="A209" s="13" t="n">
        <v>44566.3333333333</v>
      </c>
      <c r="B209" s="12" t="n">
        <v>680.78</v>
      </c>
      <c r="C209" s="0" t="n">
        <f aca="false">WEEKDAY(A209,2)</f>
        <v>3</v>
      </c>
      <c r="D209" s="0" t="n">
        <f aca="false">DAY(A209)</f>
        <v>5</v>
      </c>
      <c r="E209" s="0" t="n">
        <f aca="false">HOUR(A209)</f>
        <v>8</v>
      </c>
      <c r="F209" s="0" t="n">
        <f aca="false">IF(C209&gt;=6,0,1)</f>
        <v>1</v>
      </c>
      <c r="G209" s="0" t="n">
        <f aca="false">VLOOKUP(E209,Sheet1!$A$2:$B$25,2,0)</f>
        <v>1</v>
      </c>
    </row>
    <row r="210" customFormat="false" ht="15" hidden="false" customHeight="false" outlineLevel="0" collapsed="false">
      <c r="A210" s="13" t="n">
        <v>44566.3541666667</v>
      </c>
      <c r="B210" s="12" t="n">
        <v>651.841</v>
      </c>
      <c r="C210" s="0" t="n">
        <f aca="false">WEEKDAY(A210,2)</f>
        <v>3</v>
      </c>
      <c r="D210" s="0" t="n">
        <f aca="false">DAY(A210)</f>
        <v>5</v>
      </c>
      <c r="E210" s="0" t="n">
        <f aca="false">HOUR(A210)</f>
        <v>8</v>
      </c>
      <c r="F210" s="0" t="n">
        <f aca="false">IF(C210&gt;=6,0,1)</f>
        <v>1</v>
      </c>
      <c r="G210" s="0" t="n">
        <f aca="false">VLOOKUP(E210,Sheet1!$A$2:$B$25,2,0)</f>
        <v>1</v>
      </c>
    </row>
    <row r="211" customFormat="false" ht="15" hidden="false" customHeight="false" outlineLevel="0" collapsed="false">
      <c r="A211" s="13" t="n">
        <v>44566.375</v>
      </c>
      <c r="B211" s="12" t="n">
        <v>650.156</v>
      </c>
      <c r="C211" s="0" t="n">
        <f aca="false">WEEKDAY(A211,2)</f>
        <v>3</v>
      </c>
      <c r="D211" s="0" t="n">
        <f aca="false">DAY(A211)</f>
        <v>5</v>
      </c>
      <c r="E211" s="0" t="n">
        <f aca="false">HOUR(A211)</f>
        <v>9</v>
      </c>
      <c r="F211" s="0" t="n">
        <f aca="false">IF(C211&gt;=6,0,1)</f>
        <v>1</v>
      </c>
      <c r="G211" s="0" t="n">
        <f aca="false">VLOOKUP(E211,Sheet1!$A$2:$B$25,2,0)</f>
        <v>1</v>
      </c>
    </row>
    <row r="212" customFormat="false" ht="15" hidden="false" customHeight="false" outlineLevel="0" collapsed="false">
      <c r="A212" s="13" t="n">
        <v>44566.3958333333</v>
      </c>
      <c r="B212" s="12" t="n">
        <v>666.836</v>
      </c>
      <c r="C212" s="0" t="n">
        <f aca="false">WEEKDAY(A212,2)</f>
        <v>3</v>
      </c>
      <c r="D212" s="0" t="n">
        <f aca="false">DAY(A212)</f>
        <v>5</v>
      </c>
      <c r="E212" s="0" t="n">
        <f aca="false">HOUR(A212)</f>
        <v>9</v>
      </c>
      <c r="F212" s="0" t="n">
        <f aca="false">IF(C212&gt;=6,0,1)</f>
        <v>1</v>
      </c>
      <c r="G212" s="0" t="n">
        <f aca="false">VLOOKUP(E212,Sheet1!$A$2:$B$25,2,0)</f>
        <v>1</v>
      </c>
    </row>
    <row r="213" customFormat="false" ht="15" hidden="false" customHeight="false" outlineLevel="0" collapsed="false">
      <c r="A213" s="13" t="n">
        <v>44566.4166666667</v>
      </c>
      <c r="B213" s="12" t="n">
        <v>704.281</v>
      </c>
      <c r="C213" s="0" t="n">
        <f aca="false">WEEKDAY(A213,2)</f>
        <v>3</v>
      </c>
      <c r="D213" s="0" t="n">
        <f aca="false">DAY(A213)</f>
        <v>5</v>
      </c>
      <c r="E213" s="0" t="n">
        <f aca="false">HOUR(A213)</f>
        <v>10</v>
      </c>
      <c r="F213" s="0" t="n">
        <f aca="false">IF(C213&gt;=6,0,1)</f>
        <v>1</v>
      </c>
      <c r="G213" s="0" t="n">
        <f aca="false">VLOOKUP(E213,Sheet1!$A$2:$B$25,2,0)</f>
        <v>1</v>
      </c>
    </row>
    <row r="214" customFormat="false" ht="15" hidden="false" customHeight="false" outlineLevel="0" collapsed="false">
      <c r="A214" s="13" t="n">
        <v>44566.4375</v>
      </c>
      <c r="B214" s="12" t="n">
        <v>718.796</v>
      </c>
      <c r="C214" s="0" t="n">
        <f aca="false">WEEKDAY(A214,2)</f>
        <v>3</v>
      </c>
      <c r="D214" s="0" t="n">
        <f aca="false">DAY(A214)</f>
        <v>5</v>
      </c>
      <c r="E214" s="0" t="n">
        <f aca="false">HOUR(A214)</f>
        <v>10</v>
      </c>
      <c r="F214" s="0" t="n">
        <f aca="false">IF(C214&gt;=6,0,1)</f>
        <v>1</v>
      </c>
      <c r="G214" s="0" t="n">
        <f aca="false">VLOOKUP(E214,Sheet1!$A$2:$B$25,2,0)</f>
        <v>1</v>
      </c>
    </row>
    <row r="215" customFormat="false" ht="15" hidden="false" customHeight="false" outlineLevel="0" collapsed="false">
      <c r="A215" s="13" t="n">
        <v>44566.4583333333</v>
      </c>
      <c r="B215" s="12" t="n">
        <v>691.82</v>
      </c>
      <c r="C215" s="0" t="n">
        <f aca="false">WEEKDAY(A215,2)</f>
        <v>3</v>
      </c>
      <c r="D215" s="0" t="n">
        <f aca="false">DAY(A215)</f>
        <v>5</v>
      </c>
      <c r="E215" s="0" t="n">
        <f aca="false">HOUR(A215)</f>
        <v>11</v>
      </c>
      <c r="F215" s="0" t="n">
        <f aca="false">IF(C215&gt;=6,0,1)</f>
        <v>1</v>
      </c>
      <c r="G215" s="0" t="n">
        <f aca="false">VLOOKUP(E215,Sheet1!$A$2:$B$25,2,0)</f>
        <v>1</v>
      </c>
    </row>
    <row r="216" customFormat="false" ht="15" hidden="false" customHeight="false" outlineLevel="0" collapsed="false">
      <c r="A216" s="13" t="n">
        <v>44566.4791666667</v>
      </c>
      <c r="B216" s="12" t="n">
        <v>692.54</v>
      </c>
      <c r="C216" s="0" t="n">
        <f aca="false">WEEKDAY(A216,2)</f>
        <v>3</v>
      </c>
      <c r="D216" s="0" t="n">
        <f aca="false">DAY(A216)</f>
        <v>5</v>
      </c>
      <c r="E216" s="0" t="n">
        <f aca="false">HOUR(A216)</f>
        <v>11</v>
      </c>
      <c r="F216" s="0" t="n">
        <f aca="false">IF(C216&gt;=6,0,1)</f>
        <v>1</v>
      </c>
      <c r="G216" s="0" t="n">
        <f aca="false">VLOOKUP(E216,Sheet1!$A$2:$B$25,2,0)</f>
        <v>1</v>
      </c>
    </row>
    <row r="217" customFormat="false" ht="15" hidden="false" customHeight="false" outlineLevel="0" collapsed="false">
      <c r="A217" s="13" t="n">
        <v>44566.5</v>
      </c>
      <c r="B217" s="12" t="n">
        <v>687.476</v>
      </c>
      <c r="C217" s="0" t="n">
        <f aca="false">WEEKDAY(A217,2)</f>
        <v>3</v>
      </c>
      <c r="D217" s="0" t="n">
        <f aca="false">DAY(A217)</f>
        <v>5</v>
      </c>
      <c r="E217" s="0" t="n">
        <f aca="false">HOUR(A217)</f>
        <v>12</v>
      </c>
      <c r="F217" s="0" t="n">
        <f aca="false">IF(C217&gt;=6,0,1)</f>
        <v>1</v>
      </c>
      <c r="G217" s="0" t="n">
        <f aca="false">VLOOKUP(E217,Sheet1!$A$2:$B$25,2,0)</f>
        <v>1</v>
      </c>
    </row>
    <row r="218" customFormat="false" ht="15" hidden="false" customHeight="false" outlineLevel="0" collapsed="false">
      <c r="A218" s="13" t="n">
        <v>44566.5208333333</v>
      </c>
      <c r="B218" s="12" t="n">
        <v>645.745</v>
      </c>
      <c r="C218" s="0" t="n">
        <f aca="false">WEEKDAY(A218,2)</f>
        <v>3</v>
      </c>
      <c r="D218" s="0" t="n">
        <f aca="false">DAY(A218)</f>
        <v>5</v>
      </c>
      <c r="E218" s="0" t="n">
        <f aca="false">HOUR(A218)</f>
        <v>12</v>
      </c>
      <c r="F218" s="0" t="n">
        <f aca="false">IF(C218&gt;=6,0,1)</f>
        <v>1</v>
      </c>
      <c r="G218" s="0" t="n">
        <f aca="false">VLOOKUP(E218,Sheet1!$A$2:$B$25,2,0)</f>
        <v>1</v>
      </c>
    </row>
    <row r="219" customFormat="false" ht="15" hidden="false" customHeight="false" outlineLevel="0" collapsed="false">
      <c r="A219" s="13" t="n">
        <v>44566.5416666667</v>
      </c>
      <c r="B219" s="12" t="n">
        <v>634.316</v>
      </c>
      <c r="C219" s="0" t="n">
        <f aca="false">WEEKDAY(A219,2)</f>
        <v>3</v>
      </c>
      <c r="D219" s="0" t="n">
        <f aca="false">DAY(A219)</f>
        <v>5</v>
      </c>
      <c r="E219" s="0" t="n">
        <f aca="false">HOUR(A219)</f>
        <v>13</v>
      </c>
      <c r="F219" s="0" t="n">
        <f aca="false">IF(C219&gt;=6,0,1)</f>
        <v>1</v>
      </c>
      <c r="G219" s="0" t="n">
        <f aca="false">VLOOKUP(E219,Sheet1!$A$2:$B$25,2,0)</f>
        <v>1</v>
      </c>
    </row>
    <row r="220" customFormat="false" ht="15" hidden="false" customHeight="false" outlineLevel="0" collapsed="false">
      <c r="A220" s="13" t="n">
        <v>44566.5625</v>
      </c>
      <c r="B220" s="12" t="n">
        <v>575.3</v>
      </c>
      <c r="C220" s="0" t="n">
        <f aca="false">WEEKDAY(A220,2)</f>
        <v>3</v>
      </c>
      <c r="D220" s="0" t="n">
        <f aca="false">DAY(A220)</f>
        <v>5</v>
      </c>
      <c r="E220" s="0" t="n">
        <f aca="false">HOUR(A220)</f>
        <v>13</v>
      </c>
      <c r="F220" s="0" t="n">
        <f aca="false">IF(C220&gt;=6,0,1)</f>
        <v>1</v>
      </c>
      <c r="G220" s="0" t="n">
        <f aca="false">VLOOKUP(E220,Sheet1!$A$2:$B$25,2,0)</f>
        <v>1</v>
      </c>
    </row>
    <row r="221" customFormat="false" ht="15" hidden="false" customHeight="false" outlineLevel="0" collapsed="false">
      <c r="A221" s="13" t="n">
        <v>44566.5833333333</v>
      </c>
      <c r="B221" s="12" t="n">
        <v>401.185</v>
      </c>
      <c r="C221" s="0" t="n">
        <f aca="false">WEEKDAY(A221,2)</f>
        <v>3</v>
      </c>
      <c r="D221" s="0" t="n">
        <f aca="false">DAY(A221)</f>
        <v>5</v>
      </c>
      <c r="E221" s="0" t="n">
        <f aca="false">HOUR(A221)</f>
        <v>14</v>
      </c>
      <c r="F221" s="0" t="n">
        <f aca="false">IF(C221&gt;=6,0,1)</f>
        <v>1</v>
      </c>
      <c r="G221" s="0" t="n">
        <f aca="false">VLOOKUP(E221,Sheet1!$A$2:$B$25,2,0)</f>
        <v>1</v>
      </c>
    </row>
    <row r="222" customFormat="false" ht="15" hidden="false" customHeight="false" outlineLevel="0" collapsed="false">
      <c r="A222" s="13" t="n">
        <v>44566.6041666667</v>
      </c>
      <c r="B222" s="12" t="n">
        <v>371.756</v>
      </c>
      <c r="C222" s="0" t="n">
        <f aca="false">WEEKDAY(A222,2)</f>
        <v>3</v>
      </c>
      <c r="D222" s="0" t="n">
        <f aca="false">DAY(A222)</f>
        <v>5</v>
      </c>
      <c r="E222" s="0" t="n">
        <f aca="false">HOUR(A222)</f>
        <v>14</v>
      </c>
      <c r="F222" s="0" t="n">
        <f aca="false">IF(C222&gt;=6,0,1)</f>
        <v>1</v>
      </c>
      <c r="G222" s="0" t="n">
        <f aca="false">VLOOKUP(E222,Sheet1!$A$2:$B$25,2,0)</f>
        <v>1</v>
      </c>
    </row>
    <row r="223" customFormat="false" ht="15" hidden="false" customHeight="false" outlineLevel="0" collapsed="false">
      <c r="A223" s="13" t="n">
        <v>44566.625</v>
      </c>
      <c r="B223" s="12" t="n">
        <v>351.02</v>
      </c>
      <c r="C223" s="0" t="n">
        <f aca="false">WEEKDAY(A223,2)</f>
        <v>3</v>
      </c>
      <c r="D223" s="0" t="n">
        <f aca="false">DAY(A223)</f>
        <v>5</v>
      </c>
      <c r="E223" s="0" t="n">
        <f aca="false">HOUR(A223)</f>
        <v>15</v>
      </c>
      <c r="F223" s="0" t="n">
        <f aca="false">IF(C223&gt;=6,0,1)</f>
        <v>1</v>
      </c>
      <c r="G223" s="0" t="n">
        <f aca="false">VLOOKUP(E223,Sheet1!$A$2:$B$25,2,0)</f>
        <v>1</v>
      </c>
    </row>
    <row r="224" customFormat="false" ht="15" hidden="false" customHeight="false" outlineLevel="0" collapsed="false">
      <c r="A224" s="13" t="n">
        <v>44566.6458333333</v>
      </c>
      <c r="B224" s="12" t="n">
        <v>346.945</v>
      </c>
      <c r="C224" s="0" t="n">
        <f aca="false">WEEKDAY(A224,2)</f>
        <v>3</v>
      </c>
      <c r="D224" s="0" t="n">
        <f aca="false">DAY(A224)</f>
        <v>5</v>
      </c>
      <c r="E224" s="0" t="n">
        <f aca="false">HOUR(A224)</f>
        <v>15</v>
      </c>
      <c r="F224" s="0" t="n">
        <f aca="false">IF(C224&gt;=6,0,1)</f>
        <v>1</v>
      </c>
      <c r="G224" s="0" t="n">
        <f aca="false">VLOOKUP(E224,Sheet1!$A$2:$B$25,2,0)</f>
        <v>1</v>
      </c>
    </row>
    <row r="225" customFormat="false" ht="15" hidden="false" customHeight="false" outlineLevel="0" collapsed="false">
      <c r="A225" s="13" t="n">
        <v>44566.6666666667</v>
      </c>
      <c r="B225" s="12" t="n">
        <v>338.756</v>
      </c>
      <c r="C225" s="0" t="n">
        <f aca="false">WEEKDAY(A225,2)</f>
        <v>3</v>
      </c>
      <c r="D225" s="0" t="n">
        <f aca="false">DAY(A225)</f>
        <v>5</v>
      </c>
      <c r="E225" s="0" t="n">
        <f aca="false">HOUR(A225)</f>
        <v>16</v>
      </c>
      <c r="F225" s="0" t="n">
        <f aca="false">IF(C225&gt;=6,0,1)</f>
        <v>1</v>
      </c>
      <c r="G225" s="0" t="n">
        <f aca="false">VLOOKUP(E225,Sheet1!$A$2:$B$25,2,0)</f>
        <v>0</v>
      </c>
    </row>
    <row r="226" customFormat="false" ht="15" hidden="false" customHeight="false" outlineLevel="0" collapsed="false">
      <c r="A226" s="13" t="n">
        <v>44566.6875</v>
      </c>
      <c r="B226" s="12" t="n">
        <v>337.076</v>
      </c>
      <c r="C226" s="0" t="n">
        <f aca="false">WEEKDAY(A226,2)</f>
        <v>3</v>
      </c>
      <c r="D226" s="0" t="n">
        <f aca="false">DAY(A226)</f>
        <v>5</v>
      </c>
      <c r="E226" s="0" t="n">
        <f aca="false">HOUR(A226)</f>
        <v>16</v>
      </c>
      <c r="F226" s="0" t="n">
        <f aca="false">IF(C226&gt;=6,0,1)</f>
        <v>1</v>
      </c>
      <c r="G226" s="0" t="n">
        <f aca="false">VLOOKUP(E226,Sheet1!$A$2:$B$25,2,0)</f>
        <v>0</v>
      </c>
    </row>
    <row r="227" customFormat="false" ht="15" hidden="false" customHeight="false" outlineLevel="0" collapsed="false">
      <c r="A227" s="13" t="n">
        <v>44566.7083333333</v>
      </c>
      <c r="B227" s="12" t="n">
        <v>333.505</v>
      </c>
      <c r="C227" s="0" t="n">
        <f aca="false">WEEKDAY(A227,2)</f>
        <v>3</v>
      </c>
      <c r="D227" s="0" t="n">
        <f aca="false">DAY(A227)</f>
        <v>5</v>
      </c>
      <c r="E227" s="0" t="n">
        <f aca="false">HOUR(A227)</f>
        <v>17</v>
      </c>
      <c r="F227" s="0" t="n">
        <f aca="false">IF(C227&gt;=6,0,1)</f>
        <v>1</v>
      </c>
      <c r="G227" s="0" t="n">
        <f aca="false">VLOOKUP(E227,Sheet1!$A$2:$B$25,2,0)</f>
        <v>0</v>
      </c>
    </row>
    <row r="228" customFormat="false" ht="15" hidden="false" customHeight="false" outlineLevel="0" collapsed="false">
      <c r="A228" s="13" t="n">
        <v>44566.7291666667</v>
      </c>
      <c r="B228" s="12" t="n">
        <v>289.58</v>
      </c>
      <c r="C228" s="0" t="n">
        <f aca="false">WEEKDAY(A228,2)</f>
        <v>3</v>
      </c>
      <c r="D228" s="0" t="n">
        <f aca="false">DAY(A228)</f>
        <v>5</v>
      </c>
      <c r="E228" s="0" t="n">
        <f aca="false">HOUR(A228)</f>
        <v>17</v>
      </c>
      <c r="F228" s="0" t="n">
        <f aca="false">IF(C228&gt;=6,0,1)</f>
        <v>1</v>
      </c>
      <c r="G228" s="0" t="n">
        <f aca="false">VLOOKUP(E228,Sheet1!$A$2:$B$25,2,0)</f>
        <v>0</v>
      </c>
    </row>
    <row r="229" customFormat="false" ht="15" hidden="false" customHeight="false" outlineLevel="0" collapsed="false">
      <c r="A229" s="13" t="n">
        <v>44566.75</v>
      </c>
      <c r="B229" s="12" t="n">
        <v>290.9</v>
      </c>
      <c r="C229" s="0" t="n">
        <f aca="false">WEEKDAY(A229,2)</f>
        <v>3</v>
      </c>
      <c r="D229" s="0" t="n">
        <f aca="false">DAY(A229)</f>
        <v>5</v>
      </c>
      <c r="E229" s="0" t="n">
        <f aca="false">HOUR(A229)</f>
        <v>18</v>
      </c>
      <c r="F229" s="0" t="n">
        <f aca="false">IF(C229&gt;=6,0,1)</f>
        <v>1</v>
      </c>
      <c r="G229" s="0" t="n">
        <f aca="false">VLOOKUP(E229,Sheet1!$A$2:$B$25,2,0)</f>
        <v>0</v>
      </c>
    </row>
    <row r="230" customFormat="false" ht="15" hidden="false" customHeight="false" outlineLevel="0" collapsed="false">
      <c r="A230" s="13" t="n">
        <v>44566.7708333333</v>
      </c>
      <c r="B230" s="12" t="n">
        <v>285.596</v>
      </c>
      <c r="C230" s="0" t="n">
        <f aca="false">WEEKDAY(A230,2)</f>
        <v>3</v>
      </c>
      <c r="D230" s="0" t="n">
        <f aca="false">DAY(A230)</f>
        <v>5</v>
      </c>
      <c r="E230" s="0" t="n">
        <f aca="false">HOUR(A230)</f>
        <v>18</v>
      </c>
      <c r="F230" s="0" t="n">
        <f aca="false">IF(C230&gt;=6,0,1)</f>
        <v>1</v>
      </c>
      <c r="G230" s="0" t="n">
        <f aca="false">VLOOKUP(E230,Sheet1!$A$2:$B$25,2,0)</f>
        <v>0</v>
      </c>
    </row>
    <row r="231" customFormat="false" ht="15" hidden="false" customHeight="false" outlineLevel="0" collapsed="false">
      <c r="A231" s="13" t="n">
        <v>44566.7916666667</v>
      </c>
      <c r="B231" s="12" t="n">
        <v>283.796</v>
      </c>
      <c r="C231" s="0" t="n">
        <f aca="false">WEEKDAY(A231,2)</f>
        <v>3</v>
      </c>
      <c r="D231" s="0" t="n">
        <f aca="false">DAY(A231)</f>
        <v>5</v>
      </c>
      <c r="E231" s="0" t="n">
        <f aca="false">HOUR(A231)</f>
        <v>19</v>
      </c>
      <c r="F231" s="0" t="n">
        <f aca="false">IF(C231&gt;=6,0,1)</f>
        <v>1</v>
      </c>
      <c r="G231" s="0" t="n">
        <f aca="false">VLOOKUP(E231,Sheet1!$A$2:$B$25,2,0)</f>
        <v>0</v>
      </c>
    </row>
    <row r="232" customFormat="false" ht="15" hidden="false" customHeight="false" outlineLevel="0" collapsed="false">
      <c r="A232" s="13" t="n">
        <v>44566.8125</v>
      </c>
      <c r="B232" s="12" t="n">
        <v>267.961</v>
      </c>
      <c r="C232" s="0" t="n">
        <f aca="false">WEEKDAY(A232,2)</f>
        <v>3</v>
      </c>
      <c r="D232" s="0" t="n">
        <f aca="false">DAY(A232)</f>
        <v>5</v>
      </c>
      <c r="E232" s="0" t="n">
        <f aca="false">HOUR(A232)</f>
        <v>19</v>
      </c>
      <c r="F232" s="0" t="n">
        <f aca="false">IF(C232&gt;=6,0,1)</f>
        <v>1</v>
      </c>
      <c r="G232" s="0" t="n">
        <f aca="false">VLOOKUP(E232,Sheet1!$A$2:$B$25,2,0)</f>
        <v>0</v>
      </c>
    </row>
    <row r="233" customFormat="false" ht="15" hidden="false" customHeight="false" outlineLevel="0" collapsed="false">
      <c r="A233" s="13" t="n">
        <v>44566.8333333333</v>
      </c>
      <c r="B233" s="12" t="n">
        <v>261.98</v>
      </c>
      <c r="C233" s="0" t="n">
        <f aca="false">WEEKDAY(A233,2)</f>
        <v>3</v>
      </c>
      <c r="D233" s="0" t="n">
        <f aca="false">DAY(A233)</f>
        <v>5</v>
      </c>
      <c r="E233" s="0" t="n">
        <f aca="false">HOUR(A233)</f>
        <v>20</v>
      </c>
      <c r="F233" s="0" t="n">
        <f aca="false">IF(C233&gt;=6,0,1)</f>
        <v>1</v>
      </c>
      <c r="G233" s="0" t="n">
        <f aca="false">VLOOKUP(E233,Sheet1!$A$2:$B$25,2,0)</f>
        <v>0</v>
      </c>
    </row>
    <row r="234" customFormat="false" ht="15" hidden="false" customHeight="false" outlineLevel="0" collapsed="false">
      <c r="A234" s="13" t="n">
        <v>44566.8541666667</v>
      </c>
      <c r="B234" s="12" t="n">
        <v>259.316</v>
      </c>
      <c r="C234" s="0" t="n">
        <f aca="false">WEEKDAY(A234,2)</f>
        <v>3</v>
      </c>
      <c r="D234" s="0" t="n">
        <f aca="false">DAY(A234)</f>
        <v>5</v>
      </c>
      <c r="E234" s="0" t="n">
        <f aca="false">HOUR(A234)</f>
        <v>20</v>
      </c>
      <c r="F234" s="0" t="n">
        <f aca="false">IF(C234&gt;=6,0,1)</f>
        <v>1</v>
      </c>
      <c r="G234" s="0" t="n">
        <f aca="false">VLOOKUP(E234,Sheet1!$A$2:$B$25,2,0)</f>
        <v>0</v>
      </c>
    </row>
    <row r="235" customFormat="false" ht="15" hidden="false" customHeight="false" outlineLevel="0" collapsed="false">
      <c r="A235" s="13" t="n">
        <v>44566.875</v>
      </c>
      <c r="B235" s="12" t="n">
        <v>254.78</v>
      </c>
      <c r="C235" s="0" t="n">
        <f aca="false">WEEKDAY(A235,2)</f>
        <v>3</v>
      </c>
      <c r="D235" s="0" t="n">
        <f aca="false">DAY(A235)</f>
        <v>5</v>
      </c>
      <c r="E235" s="0" t="n">
        <f aca="false">HOUR(A235)</f>
        <v>21</v>
      </c>
      <c r="F235" s="0" t="n">
        <f aca="false">IF(C235&gt;=6,0,1)</f>
        <v>1</v>
      </c>
      <c r="G235" s="0" t="n">
        <f aca="false">VLOOKUP(E235,Sheet1!$A$2:$B$25,2,0)</f>
        <v>0</v>
      </c>
    </row>
    <row r="236" customFormat="false" ht="15" hidden="false" customHeight="false" outlineLevel="0" collapsed="false">
      <c r="A236" s="13" t="n">
        <v>44566.8958333333</v>
      </c>
      <c r="B236" s="12" t="n">
        <v>240.62</v>
      </c>
      <c r="C236" s="0" t="n">
        <f aca="false">WEEKDAY(A236,2)</f>
        <v>3</v>
      </c>
      <c r="D236" s="0" t="n">
        <f aca="false">DAY(A236)</f>
        <v>5</v>
      </c>
      <c r="E236" s="0" t="n">
        <f aca="false">HOUR(A236)</f>
        <v>21</v>
      </c>
      <c r="F236" s="0" t="n">
        <f aca="false">IF(C236&gt;=6,0,1)</f>
        <v>1</v>
      </c>
      <c r="G236" s="0" t="n">
        <f aca="false">VLOOKUP(E236,Sheet1!$A$2:$B$25,2,0)</f>
        <v>0</v>
      </c>
    </row>
    <row r="237" customFormat="false" ht="15" hidden="false" customHeight="false" outlineLevel="0" collapsed="false">
      <c r="A237" s="13" t="n">
        <v>44566.9166666667</v>
      </c>
      <c r="B237" s="12" t="n">
        <v>235.7</v>
      </c>
      <c r="C237" s="0" t="n">
        <f aca="false">WEEKDAY(A237,2)</f>
        <v>3</v>
      </c>
      <c r="D237" s="0" t="n">
        <f aca="false">DAY(A237)</f>
        <v>5</v>
      </c>
      <c r="E237" s="0" t="n">
        <f aca="false">HOUR(A237)</f>
        <v>22</v>
      </c>
      <c r="F237" s="0" t="n">
        <f aca="false">IF(C237&gt;=6,0,1)</f>
        <v>1</v>
      </c>
      <c r="G237" s="0" t="n">
        <f aca="false">VLOOKUP(E237,Sheet1!$A$2:$B$25,2,0)</f>
        <v>0</v>
      </c>
    </row>
    <row r="238" customFormat="false" ht="15" hidden="false" customHeight="false" outlineLevel="0" collapsed="false">
      <c r="A238" s="13" t="n">
        <v>44566.9375</v>
      </c>
      <c r="B238" s="12" t="n">
        <v>235.561</v>
      </c>
      <c r="C238" s="0" t="n">
        <f aca="false">WEEKDAY(A238,2)</f>
        <v>3</v>
      </c>
      <c r="D238" s="0" t="n">
        <f aca="false">DAY(A238)</f>
        <v>5</v>
      </c>
      <c r="E238" s="0" t="n">
        <f aca="false">HOUR(A238)</f>
        <v>22</v>
      </c>
      <c r="F238" s="0" t="n">
        <f aca="false">IF(C238&gt;=6,0,1)</f>
        <v>1</v>
      </c>
      <c r="G238" s="0" t="n">
        <f aca="false">VLOOKUP(E238,Sheet1!$A$2:$B$25,2,0)</f>
        <v>0</v>
      </c>
    </row>
    <row r="239" customFormat="false" ht="15" hidden="false" customHeight="false" outlineLevel="0" collapsed="false">
      <c r="A239" s="13" t="n">
        <v>44566.9583333333</v>
      </c>
      <c r="B239" s="12" t="n">
        <v>241.676</v>
      </c>
      <c r="C239" s="0" t="n">
        <f aca="false">WEEKDAY(A239,2)</f>
        <v>3</v>
      </c>
      <c r="D239" s="0" t="n">
        <f aca="false">DAY(A239)</f>
        <v>5</v>
      </c>
      <c r="E239" s="0" t="n">
        <f aca="false">HOUR(A239)</f>
        <v>23</v>
      </c>
      <c r="F239" s="0" t="n">
        <f aca="false">IF(C239&gt;=6,0,1)</f>
        <v>1</v>
      </c>
      <c r="G239" s="0" t="n">
        <f aca="false">VLOOKUP(E239,Sheet1!$A$2:$B$25,2,0)</f>
        <v>0</v>
      </c>
    </row>
    <row r="240" customFormat="false" ht="15" hidden="false" customHeight="false" outlineLevel="0" collapsed="false">
      <c r="A240" s="13" t="n">
        <v>44566.9791666667</v>
      </c>
      <c r="B240" s="12" t="n">
        <v>235.94</v>
      </c>
      <c r="C240" s="0" t="n">
        <f aca="false">WEEKDAY(A240,2)</f>
        <v>3</v>
      </c>
      <c r="D240" s="0" t="n">
        <f aca="false">DAY(A240)</f>
        <v>5</v>
      </c>
      <c r="E240" s="0" t="n">
        <f aca="false">HOUR(A240)</f>
        <v>23</v>
      </c>
      <c r="F240" s="0" t="n">
        <f aca="false">IF(C240&gt;=6,0,1)</f>
        <v>1</v>
      </c>
      <c r="G240" s="0" t="n">
        <f aca="false">VLOOKUP(E240,Sheet1!$A$2:$B$25,2,0)</f>
        <v>0</v>
      </c>
    </row>
    <row r="241" customFormat="false" ht="15" hidden="false" customHeight="false" outlineLevel="0" collapsed="false">
      <c r="A241" s="13" t="n">
        <v>44567</v>
      </c>
      <c r="B241" s="12" t="n">
        <v>234.596</v>
      </c>
      <c r="C241" s="0" t="n">
        <f aca="false">WEEKDAY(A241,2)</f>
        <v>4</v>
      </c>
      <c r="D241" s="0" t="n">
        <f aca="false">DAY(A241)</f>
        <v>6</v>
      </c>
      <c r="E241" s="0" t="n">
        <f aca="false">HOUR(A241)</f>
        <v>0</v>
      </c>
      <c r="F241" s="0" t="n">
        <f aca="false">IF(C241&gt;=6,0,1)</f>
        <v>1</v>
      </c>
      <c r="G241" s="0" t="n">
        <f aca="false">VLOOKUP(E241,Sheet1!$A$2:$B$25,2,0)</f>
        <v>0</v>
      </c>
    </row>
    <row r="242" customFormat="false" ht="15" hidden="false" customHeight="false" outlineLevel="0" collapsed="false">
      <c r="A242" s="13" t="n">
        <v>44567.0208333333</v>
      </c>
      <c r="B242" s="12" t="n">
        <v>239.756</v>
      </c>
      <c r="C242" s="0" t="n">
        <f aca="false">WEEKDAY(A242,2)</f>
        <v>4</v>
      </c>
      <c r="D242" s="0" t="n">
        <f aca="false">DAY(A242)</f>
        <v>6</v>
      </c>
      <c r="E242" s="0" t="n">
        <f aca="false">HOUR(A242)</f>
        <v>0</v>
      </c>
      <c r="F242" s="0" t="n">
        <f aca="false">IF(C242&gt;=6,0,1)</f>
        <v>1</v>
      </c>
      <c r="G242" s="0" t="n">
        <f aca="false">VLOOKUP(E242,Sheet1!$A$2:$B$25,2,0)</f>
        <v>0</v>
      </c>
    </row>
    <row r="243" customFormat="false" ht="15" hidden="false" customHeight="false" outlineLevel="0" collapsed="false">
      <c r="A243" s="13" t="n">
        <v>44567.0416666667</v>
      </c>
      <c r="B243" s="12" t="n">
        <v>237.26</v>
      </c>
      <c r="C243" s="0" t="n">
        <f aca="false">WEEKDAY(A243,2)</f>
        <v>4</v>
      </c>
      <c r="D243" s="0" t="n">
        <f aca="false">DAY(A243)</f>
        <v>6</v>
      </c>
      <c r="E243" s="0" t="n">
        <f aca="false">HOUR(A243)</f>
        <v>1</v>
      </c>
      <c r="F243" s="0" t="n">
        <f aca="false">IF(C243&gt;=6,0,1)</f>
        <v>1</v>
      </c>
      <c r="G243" s="0" t="n">
        <f aca="false">VLOOKUP(E243,Sheet1!$A$2:$B$25,2,0)</f>
        <v>0</v>
      </c>
    </row>
    <row r="244" customFormat="false" ht="15" hidden="false" customHeight="false" outlineLevel="0" collapsed="false">
      <c r="A244" s="13" t="n">
        <v>44567.0625</v>
      </c>
      <c r="B244" s="12" t="n">
        <v>234.505</v>
      </c>
      <c r="C244" s="0" t="n">
        <f aca="false">WEEKDAY(A244,2)</f>
        <v>4</v>
      </c>
      <c r="D244" s="0" t="n">
        <f aca="false">DAY(A244)</f>
        <v>6</v>
      </c>
      <c r="E244" s="0" t="n">
        <f aca="false">HOUR(A244)</f>
        <v>1</v>
      </c>
      <c r="F244" s="0" t="n">
        <f aca="false">IF(C244&gt;=6,0,1)</f>
        <v>1</v>
      </c>
      <c r="G244" s="0" t="n">
        <f aca="false">VLOOKUP(E244,Sheet1!$A$2:$B$25,2,0)</f>
        <v>0</v>
      </c>
    </row>
    <row r="245" customFormat="false" ht="15" hidden="false" customHeight="false" outlineLevel="0" collapsed="false">
      <c r="A245" s="13" t="n">
        <v>44567.0833333333</v>
      </c>
      <c r="B245" s="12" t="n">
        <v>236.036</v>
      </c>
      <c r="C245" s="0" t="n">
        <f aca="false">WEEKDAY(A245,2)</f>
        <v>4</v>
      </c>
      <c r="D245" s="0" t="n">
        <f aca="false">DAY(A245)</f>
        <v>6</v>
      </c>
      <c r="E245" s="0" t="n">
        <f aca="false">HOUR(A245)</f>
        <v>2</v>
      </c>
      <c r="F245" s="0" t="n">
        <f aca="false">IF(C245&gt;=6,0,1)</f>
        <v>1</v>
      </c>
      <c r="G245" s="0" t="n">
        <f aca="false">VLOOKUP(E245,Sheet1!$A$2:$B$25,2,0)</f>
        <v>0</v>
      </c>
    </row>
    <row r="246" customFormat="false" ht="15" hidden="false" customHeight="false" outlineLevel="0" collapsed="false">
      <c r="A246" s="13" t="n">
        <v>44567.1041666667</v>
      </c>
      <c r="B246" s="12" t="n">
        <v>237.62</v>
      </c>
      <c r="C246" s="0" t="n">
        <f aca="false">WEEKDAY(A246,2)</f>
        <v>4</v>
      </c>
      <c r="D246" s="0" t="n">
        <f aca="false">DAY(A246)</f>
        <v>6</v>
      </c>
      <c r="E246" s="0" t="n">
        <f aca="false">HOUR(A246)</f>
        <v>2</v>
      </c>
      <c r="F246" s="0" t="n">
        <f aca="false">IF(C246&gt;=6,0,1)</f>
        <v>1</v>
      </c>
      <c r="G246" s="0" t="n">
        <f aca="false">VLOOKUP(E246,Sheet1!$A$2:$B$25,2,0)</f>
        <v>0</v>
      </c>
    </row>
    <row r="247" customFormat="false" ht="15" hidden="false" customHeight="false" outlineLevel="0" collapsed="false">
      <c r="A247" s="13" t="n">
        <v>44567.125</v>
      </c>
      <c r="B247" s="12" t="n">
        <v>259.825</v>
      </c>
      <c r="C247" s="0" t="n">
        <f aca="false">WEEKDAY(A247,2)</f>
        <v>4</v>
      </c>
      <c r="D247" s="0" t="n">
        <f aca="false">DAY(A247)</f>
        <v>6</v>
      </c>
      <c r="E247" s="0" t="n">
        <f aca="false">HOUR(A247)</f>
        <v>3</v>
      </c>
      <c r="F247" s="0" t="n">
        <f aca="false">IF(C247&gt;=6,0,1)</f>
        <v>1</v>
      </c>
      <c r="G247" s="0" t="n">
        <f aca="false">VLOOKUP(E247,Sheet1!$A$2:$B$25,2,0)</f>
        <v>0</v>
      </c>
    </row>
    <row r="248" customFormat="false" ht="15" hidden="false" customHeight="false" outlineLevel="0" collapsed="false">
      <c r="A248" s="13" t="n">
        <v>44567.1458333333</v>
      </c>
      <c r="B248" s="12" t="n">
        <v>395.636</v>
      </c>
      <c r="C248" s="0" t="n">
        <f aca="false">WEEKDAY(A248,2)</f>
        <v>4</v>
      </c>
      <c r="D248" s="0" t="n">
        <f aca="false">DAY(A248)</f>
        <v>6</v>
      </c>
      <c r="E248" s="0" t="n">
        <f aca="false">HOUR(A248)</f>
        <v>3</v>
      </c>
      <c r="F248" s="0" t="n">
        <f aca="false">IF(C248&gt;=6,0,1)</f>
        <v>1</v>
      </c>
      <c r="G248" s="0" t="n">
        <f aca="false">VLOOKUP(E248,Sheet1!$A$2:$B$25,2,0)</f>
        <v>0</v>
      </c>
    </row>
    <row r="249" customFormat="false" ht="15" hidden="false" customHeight="false" outlineLevel="0" collapsed="false">
      <c r="A249" s="13" t="n">
        <v>44567.1666666667</v>
      </c>
      <c r="B249" s="12" t="n">
        <v>286.796</v>
      </c>
      <c r="C249" s="0" t="n">
        <f aca="false">WEEKDAY(A249,2)</f>
        <v>4</v>
      </c>
      <c r="D249" s="0" t="n">
        <f aca="false">DAY(A249)</f>
        <v>6</v>
      </c>
      <c r="E249" s="0" t="n">
        <f aca="false">HOUR(A249)</f>
        <v>4</v>
      </c>
      <c r="F249" s="0" t="n">
        <f aca="false">IF(C249&gt;=6,0,1)</f>
        <v>1</v>
      </c>
      <c r="G249" s="0" t="n">
        <f aca="false">VLOOKUP(E249,Sheet1!$A$2:$B$25,2,0)</f>
        <v>1</v>
      </c>
    </row>
    <row r="250" customFormat="false" ht="15" hidden="false" customHeight="false" outlineLevel="0" collapsed="false">
      <c r="A250" s="13" t="n">
        <v>44567.1875</v>
      </c>
      <c r="B250" s="12" t="n">
        <v>416.161</v>
      </c>
      <c r="C250" s="0" t="n">
        <f aca="false">WEEKDAY(A250,2)</f>
        <v>4</v>
      </c>
      <c r="D250" s="0" t="n">
        <f aca="false">DAY(A250)</f>
        <v>6</v>
      </c>
      <c r="E250" s="0" t="n">
        <f aca="false">HOUR(A250)</f>
        <v>4</v>
      </c>
      <c r="F250" s="0" t="n">
        <f aca="false">IF(C250&gt;=6,0,1)</f>
        <v>1</v>
      </c>
      <c r="G250" s="0" t="n">
        <f aca="false">VLOOKUP(E250,Sheet1!$A$2:$B$25,2,0)</f>
        <v>1</v>
      </c>
    </row>
    <row r="251" customFormat="false" ht="15" hidden="false" customHeight="false" outlineLevel="0" collapsed="false">
      <c r="A251" s="13" t="n">
        <v>44567.2083333333</v>
      </c>
      <c r="B251" s="12" t="n">
        <v>307.076</v>
      </c>
      <c r="C251" s="0" t="n">
        <f aca="false">WEEKDAY(A251,2)</f>
        <v>4</v>
      </c>
      <c r="D251" s="0" t="n">
        <f aca="false">DAY(A251)</f>
        <v>6</v>
      </c>
      <c r="E251" s="0" t="n">
        <f aca="false">HOUR(A251)</f>
        <v>5</v>
      </c>
      <c r="F251" s="0" t="n">
        <f aca="false">IF(C251&gt;=6,0,1)</f>
        <v>1</v>
      </c>
      <c r="G251" s="0" t="n">
        <f aca="false">VLOOKUP(E251,Sheet1!$A$2:$B$25,2,0)</f>
        <v>1</v>
      </c>
    </row>
    <row r="252" customFormat="false" ht="15" hidden="false" customHeight="false" outlineLevel="0" collapsed="false">
      <c r="A252" s="13" t="n">
        <v>44567.2291666667</v>
      </c>
      <c r="B252" s="12" t="n">
        <v>311.305</v>
      </c>
      <c r="C252" s="0" t="n">
        <f aca="false">WEEKDAY(A252,2)</f>
        <v>4</v>
      </c>
      <c r="D252" s="0" t="n">
        <f aca="false">DAY(A252)</f>
        <v>6</v>
      </c>
      <c r="E252" s="0" t="n">
        <f aca="false">HOUR(A252)</f>
        <v>5</v>
      </c>
      <c r="F252" s="0" t="n">
        <f aca="false">IF(C252&gt;=6,0,1)</f>
        <v>1</v>
      </c>
      <c r="G252" s="0" t="n">
        <f aca="false">VLOOKUP(E252,Sheet1!$A$2:$B$25,2,0)</f>
        <v>1</v>
      </c>
    </row>
    <row r="253" customFormat="false" ht="15" hidden="false" customHeight="false" outlineLevel="0" collapsed="false">
      <c r="A253" s="13" t="n">
        <v>44567.25</v>
      </c>
      <c r="B253" s="12" t="n">
        <v>707.276</v>
      </c>
      <c r="C253" s="0" t="n">
        <f aca="false">WEEKDAY(A253,2)</f>
        <v>4</v>
      </c>
      <c r="D253" s="0" t="n">
        <f aca="false">DAY(A253)</f>
        <v>6</v>
      </c>
      <c r="E253" s="0" t="n">
        <f aca="false">HOUR(A253)</f>
        <v>6</v>
      </c>
      <c r="F253" s="0" t="n">
        <f aca="false">IF(C253&gt;=6,0,1)</f>
        <v>1</v>
      </c>
      <c r="G253" s="0" t="n">
        <f aca="false">VLOOKUP(E253,Sheet1!$A$2:$B$25,2,0)</f>
        <v>1</v>
      </c>
    </row>
    <row r="254" customFormat="false" ht="15" hidden="false" customHeight="false" outlineLevel="0" collapsed="false">
      <c r="A254" s="13" t="n">
        <v>44567.2708333333</v>
      </c>
      <c r="B254" s="12" t="n">
        <v>780.14</v>
      </c>
      <c r="C254" s="0" t="n">
        <f aca="false">WEEKDAY(A254,2)</f>
        <v>4</v>
      </c>
      <c r="D254" s="0" t="n">
        <f aca="false">DAY(A254)</f>
        <v>6</v>
      </c>
      <c r="E254" s="0" t="n">
        <f aca="false">HOUR(A254)</f>
        <v>6</v>
      </c>
      <c r="F254" s="0" t="n">
        <f aca="false">IF(C254&gt;=6,0,1)</f>
        <v>1</v>
      </c>
      <c r="G254" s="0" t="n">
        <f aca="false">VLOOKUP(E254,Sheet1!$A$2:$B$25,2,0)</f>
        <v>1</v>
      </c>
    </row>
    <row r="255" customFormat="false" ht="15" hidden="false" customHeight="false" outlineLevel="0" collapsed="false">
      <c r="A255" s="13" t="n">
        <v>44567.2916666667</v>
      </c>
      <c r="B255" s="12" t="n">
        <v>732.481</v>
      </c>
      <c r="C255" s="0" t="n">
        <f aca="false">WEEKDAY(A255,2)</f>
        <v>4</v>
      </c>
      <c r="D255" s="0" t="n">
        <f aca="false">DAY(A255)</f>
        <v>6</v>
      </c>
      <c r="E255" s="0" t="n">
        <f aca="false">HOUR(A255)</f>
        <v>7</v>
      </c>
      <c r="F255" s="0" t="n">
        <f aca="false">IF(C255&gt;=6,0,1)</f>
        <v>1</v>
      </c>
      <c r="G255" s="0" t="n">
        <f aca="false">VLOOKUP(E255,Sheet1!$A$2:$B$25,2,0)</f>
        <v>1</v>
      </c>
    </row>
    <row r="256" customFormat="false" ht="15" hidden="false" customHeight="false" outlineLevel="0" collapsed="false">
      <c r="A256" s="13" t="n">
        <v>44567.3125</v>
      </c>
      <c r="B256" s="12" t="n">
        <v>688.34</v>
      </c>
      <c r="C256" s="0" t="n">
        <f aca="false">WEEKDAY(A256,2)</f>
        <v>4</v>
      </c>
      <c r="D256" s="0" t="n">
        <f aca="false">DAY(A256)</f>
        <v>6</v>
      </c>
      <c r="E256" s="0" t="n">
        <f aca="false">HOUR(A256)</f>
        <v>7</v>
      </c>
      <c r="F256" s="0" t="n">
        <f aca="false">IF(C256&gt;=6,0,1)</f>
        <v>1</v>
      </c>
      <c r="G256" s="0" t="n">
        <f aca="false">VLOOKUP(E256,Sheet1!$A$2:$B$25,2,0)</f>
        <v>1</v>
      </c>
    </row>
    <row r="257" customFormat="false" ht="15" hidden="false" customHeight="false" outlineLevel="0" collapsed="false">
      <c r="A257" s="13" t="n">
        <v>44567.3333333333</v>
      </c>
      <c r="B257" s="12" t="n">
        <v>721.345</v>
      </c>
      <c r="C257" s="0" t="n">
        <f aca="false">WEEKDAY(A257,2)</f>
        <v>4</v>
      </c>
      <c r="D257" s="0" t="n">
        <f aca="false">DAY(A257)</f>
        <v>6</v>
      </c>
      <c r="E257" s="0" t="n">
        <f aca="false">HOUR(A257)</f>
        <v>8</v>
      </c>
      <c r="F257" s="0" t="n">
        <f aca="false">IF(C257&gt;=6,0,1)</f>
        <v>1</v>
      </c>
      <c r="G257" s="0" t="n">
        <f aca="false">VLOOKUP(E257,Sheet1!$A$2:$B$25,2,0)</f>
        <v>1</v>
      </c>
    </row>
    <row r="258" customFormat="false" ht="15" hidden="false" customHeight="false" outlineLevel="0" collapsed="false">
      <c r="A258" s="13" t="n">
        <v>44567.3541666667</v>
      </c>
      <c r="B258" s="12" t="n">
        <v>742.58</v>
      </c>
      <c r="C258" s="0" t="n">
        <f aca="false">WEEKDAY(A258,2)</f>
        <v>4</v>
      </c>
      <c r="D258" s="0" t="n">
        <f aca="false">DAY(A258)</f>
        <v>6</v>
      </c>
      <c r="E258" s="0" t="n">
        <f aca="false">HOUR(A258)</f>
        <v>8</v>
      </c>
      <c r="F258" s="0" t="n">
        <f aca="false">IF(C258&gt;=6,0,1)</f>
        <v>1</v>
      </c>
      <c r="G258" s="0" t="n">
        <f aca="false">VLOOKUP(E258,Sheet1!$A$2:$B$25,2,0)</f>
        <v>1</v>
      </c>
    </row>
    <row r="259" customFormat="false" ht="15" hidden="false" customHeight="false" outlineLevel="0" collapsed="false">
      <c r="A259" s="13" t="n">
        <v>44567.375</v>
      </c>
      <c r="B259" s="12" t="n">
        <v>771.356</v>
      </c>
      <c r="C259" s="0" t="n">
        <f aca="false">WEEKDAY(A259,2)</f>
        <v>4</v>
      </c>
      <c r="D259" s="0" t="n">
        <f aca="false">DAY(A259)</f>
        <v>6</v>
      </c>
      <c r="E259" s="0" t="n">
        <f aca="false">HOUR(A259)</f>
        <v>9</v>
      </c>
      <c r="F259" s="0" t="n">
        <f aca="false">IF(C259&gt;=6,0,1)</f>
        <v>1</v>
      </c>
      <c r="G259" s="0" t="n">
        <f aca="false">VLOOKUP(E259,Sheet1!$A$2:$B$25,2,0)</f>
        <v>1</v>
      </c>
    </row>
    <row r="260" customFormat="false" ht="15" hidden="false" customHeight="false" outlineLevel="0" collapsed="false">
      <c r="A260" s="13" t="n">
        <v>44567.3958333333</v>
      </c>
      <c r="B260" s="12" t="n">
        <v>807.841</v>
      </c>
      <c r="C260" s="0" t="n">
        <f aca="false">WEEKDAY(A260,2)</f>
        <v>4</v>
      </c>
      <c r="D260" s="0" t="n">
        <f aca="false">DAY(A260)</f>
        <v>6</v>
      </c>
      <c r="E260" s="0" t="n">
        <f aca="false">HOUR(A260)</f>
        <v>9</v>
      </c>
      <c r="F260" s="0" t="n">
        <f aca="false">IF(C260&gt;=6,0,1)</f>
        <v>1</v>
      </c>
      <c r="G260" s="0" t="n">
        <f aca="false">VLOOKUP(E260,Sheet1!$A$2:$B$25,2,0)</f>
        <v>1</v>
      </c>
    </row>
    <row r="261" customFormat="false" ht="15" hidden="false" customHeight="false" outlineLevel="0" collapsed="false">
      <c r="A261" s="13" t="n">
        <v>44567.4166666667</v>
      </c>
      <c r="B261" s="12" t="n">
        <v>833.396</v>
      </c>
      <c r="C261" s="0" t="n">
        <f aca="false">WEEKDAY(A261,2)</f>
        <v>4</v>
      </c>
      <c r="D261" s="0" t="n">
        <f aca="false">DAY(A261)</f>
        <v>6</v>
      </c>
      <c r="E261" s="0" t="n">
        <f aca="false">HOUR(A261)</f>
        <v>10</v>
      </c>
      <c r="F261" s="0" t="n">
        <f aca="false">IF(C261&gt;=6,0,1)</f>
        <v>1</v>
      </c>
      <c r="G261" s="0" t="n">
        <f aca="false">VLOOKUP(E261,Sheet1!$A$2:$B$25,2,0)</f>
        <v>1</v>
      </c>
    </row>
    <row r="262" customFormat="false" ht="15" hidden="false" customHeight="false" outlineLevel="0" collapsed="false">
      <c r="A262" s="13" t="n">
        <v>44567.4375</v>
      </c>
      <c r="B262" s="12" t="n">
        <v>780.38</v>
      </c>
      <c r="C262" s="0" t="n">
        <f aca="false">WEEKDAY(A262,2)</f>
        <v>4</v>
      </c>
      <c r="D262" s="0" t="n">
        <f aca="false">DAY(A262)</f>
        <v>6</v>
      </c>
      <c r="E262" s="0" t="n">
        <f aca="false">HOUR(A262)</f>
        <v>10</v>
      </c>
      <c r="F262" s="0" t="n">
        <f aca="false">IF(C262&gt;=6,0,1)</f>
        <v>1</v>
      </c>
      <c r="G262" s="0" t="n">
        <f aca="false">VLOOKUP(E262,Sheet1!$A$2:$B$25,2,0)</f>
        <v>1</v>
      </c>
    </row>
    <row r="263" customFormat="false" ht="15" hidden="false" customHeight="false" outlineLevel="0" collapsed="false">
      <c r="A263" s="13" t="n">
        <v>44567.4583333333</v>
      </c>
      <c r="B263" s="12" t="n">
        <v>714.62</v>
      </c>
      <c r="C263" s="0" t="n">
        <f aca="false">WEEKDAY(A263,2)</f>
        <v>4</v>
      </c>
      <c r="D263" s="0" t="n">
        <f aca="false">DAY(A263)</f>
        <v>6</v>
      </c>
      <c r="E263" s="0" t="n">
        <f aca="false">HOUR(A263)</f>
        <v>11</v>
      </c>
      <c r="F263" s="0" t="n">
        <f aca="false">IF(C263&gt;=6,0,1)</f>
        <v>1</v>
      </c>
      <c r="G263" s="0" t="n">
        <f aca="false">VLOOKUP(E263,Sheet1!$A$2:$B$25,2,0)</f>
        <v>1</v>
      </c>
    </row>
    <row r="264" customFormat="false" ht="15" hidden="false" customHeight="false" outlineLevel="0" collapsed="false">
      <c r="A264" s="13" t="n">
        <v>44567.4791666667</v>
      </c>
      <c r="B264" s="12" t="n">
        <v>594.961</v>
      </c>
      <c r="C264" s="0" t="n">
        <f aca="false">WEEKDAY(A264,2)</f>
        <v>4</v>
      </c>
      <c r="D264" s="0" t="n">
        <f aca="false">DAY(A264)</f>
        <v>6</v>
      </c>
      <c r="E264" s="0" t="n">
        <f aca="false">HOUR(A264)</f>
        <v>11</v>
      </c>
      <c r="F264" s="0" t="n">
        <f aca="false">IF(C264&gt;=6,0,1)</f>
        <v>1</v>
      </c>
      <c r="G264" s="0" t="n">
        <f aca="false">VLOOKUP(E264,Sheet1!$A$2:$B$25,2,0)</f>
        <v>1</v>
      </c>
    </row>
    <row r="265" customFormat="false" ht="15" hidden="false" customHeight="false" outlineLevel="0" collapsed="false">
      <c r="A265" s="13" t="n">
        <v>44567.5</v>
      </c>
      <c r="B265" s="12" t="n">
        <v>575.42</v>
      </c>
      <c r="C265" s="0" t="n">
        <f aca="false">WEEKDAY(A265,2)</f>
        <v>4</v>
      </c>
      <c r="D265" s="0" t="n">
        <f aca="false">DAY(A265)</f>
        <v>6</v>
      </c>
      <c r="E265" s="0" t="n">
        <f aca="false">HOUR(A265)</f>
        <v>12</v>
      </c>
      <c r="F265" s="0" t="n">
        <f aca="false">IF(C265&gt;=6,0,1)</f>
        <v>1</v>
      </c>
      <c r="G265" s="0" t="n">
        <f aca="false">VLOOKUP(E265,Sheet1!$A$2:$B$25,2,0)</f>
        <v>1</v>
      </c>
    </row>
    <row r="266" customFormat="false" ht="15" hidden="false" customHeight="false" outlineLevel="0" collapsed="false">
      <c r="A266" s="13" t="n">
        <v>44567.5208333333</v>
      </c>
      <c r="B266" s="12" t="n">
        <v>584.756</v>
      </c>
      <c r="C266" s="0" t="n">
        <f aca="false">WEEKDAY(A266,2)</f>
        <v>4</v>
      </c>
      <c r="D266" s="0" t="n">
        <f aca="false">DAY(A266)</f>
        <v>6</v>
      </c>
      <c r="E266" s="0" t="n">
        <f aca="false">HOUR(A266)</f>
        <v>12</v>
      </c>
      <c r="F266" s="0" t="n">
        <f aca="false">IF(C266&gt;=6,0,1)</f>
        <v>1</v>
      </c>
      <c r="G266" s="0" t="n">
        <f aca="false">VLOOKUP(E266,Sheet1!$A$2:$B$25,2,0)</f>
        <v>1</v>
      </c>
    </row>
    <row r="267" customFormat="false" ht="15" hidden="false" customHeight="false" outlineLevel="0" collapsed="false">
      <c r="A267" s="13" t="n">
        <v>44567.5416666667</v>
      </c>
      <c r="B267" s="12" t="n">
        <v>560.516</v>
      </c>
      <c r="C267" s="0" t="n">
        <f aca="false">WEEKDAY(A267,2)</f>
        <v>4</v>
      </c>
      <c r="D267" s="0" t="n">
        <f aca="false">DAY(A267)</f>
        <v>6</v>
      </c>
      <c r="E267" s="0" t="n">
        <f aca="false">HOUR(A267)</f>
        <v>13</v>
      </c>
      <c r="F267" s="0" t="n">
        <f aca="false">IF(C267&gt;=6,0,1)</f>
        <v>1</v>
      </c>
      <c r="G267" s="0" t="n">
        <f aca="false">VLOOKUP(E267,Sheet1!$A$2:$B$25,2,0)</f>
        <v>1</v>
      </c>
    </row>
    <row r="268" customFormat="false" ht="15" hidden="false" customHeight="false" outlineLevel="0" collapsed="false">
      <c r="A268" s="13" t="n">
        <v>44567.5625</v>
      </c>
      <c r="B268" s="12" t="n">
        <v>553.105</v>
      </c>
      <c r="C268" s="0" t="n">
        <f aca="false">WEEKDAY(A268,2)</f>
        <v>4</v>
      </c>
      <c r="D268" s="0" t="n">
        <f aca="false">DAY(A268)</f>
        <v>6</v>
      </c>
      <c r="E268" s="0" t="n">
        <f aca="false">HOUR(A268)</f>
        <v>13</v>
      </c>
      <c r="F268" s="0" t="n">
        <f aca="false">IF(C268&gt;=6,0,1)</f>
        <v>1</v>
      </c>
      <c r="G268" s="0" t="n">
        <f aca="false">VLOOKUP(E268,Sheet1!$A$2:$B$25,2,0)</f>
        <v>1</v>
      </c>
    </row>
    <row r="269" customFormat="false" ht="15" hidden="false" customHeight="false" outlineLevel="0" collapsed="false">
      <c r="A269" s="13" t="n">
        <v>44567.5833333333</v>
      </c>
      <c r="B269" s="12" t="n">
        <v>531.26</v>
      </c>
      <c r="C269" s="0" t="n">
        <f aca="false">WEEKDAY(A269,2)</f>
        <v>4</v>
      </c>
      <c r="D269" s="0" t="n">
        <f aca="false">DAY(A269)</f>
        <v>6</v>
      </c>
      <c r="E269" s="0" t="n">
        <f aca="false">HOUR(A269)</f>
        <v>14</v>
      </c>
      <c r="F269" s="0" t="n">
        <f aca="false">IF(C269&gt;=6,0,1)</f>
        <v>1</v>
      </c>
      <c r="G269" s="0" t="n">
        <f aca="false">VLOOKUP(E269,Sheet1!$A$2:$B$25,2,0)</f>
        <v>1</v>
      </c>
    </row>
    <row r="270" customFormat="false" ht="15" hidden="false" customHeight="false" outlineLevel="0" collapsed="false">
      <c r="A270" s="13" t="n">
        <v>44567.6041666667</v>
      </c>
      <c r="B270" s="12" t="n">
        <v>515.42</v>
      </c>
      <c r="C270" s="0" t="n">
        <f aca="false">WEEKDAY(A270,2)</f>
        <v>4</v>
      </c>
      <c r="D270" s="0" t="n">
        <f aca="false">DAY(A270)</f>
        <v>6</v>
      </c>
      <c r="E270" s="0" t="n">
        <f aca="false">HOUR(A270)</f>
        <v>14</v>
      </c>
      <c r="F270" s="0" t="n">
        <f aca="false">IF(C270&gt;=6,0,1)</f>
        <v>1</v>
      </c>
      <c r="G270" s="0" t="n">
        <f aca="false">VLOOKUP(E270,Sheet1!$A$2:$B$25,2,0)</f>
        <v>1</v>
      </c>
    </row>
    <row r="271" customFormat="false" ht="15" hidden="false" customHeight="false" outlineLevel="0" collapsed="false">
      <c r="A271" s="13" t="n">
        <v>44567.625</v>
      </c>
      <c r="B271" s="12" t="n">
        <v>519.5</v>
      </c>
      <c r="C271" s="0" t="n">
        <f aca="false">WEEKDAY(A271,2)</f>
        <v>4</v>
      </c>
      <c r="D271" s="0" t="n">
        <f aca="false">DAY(A271)</f>
        <v>6</v>
      </c>
      <c r="E271" s="0" t="n">
        <f aca="false">HOUR(A271)</f>
        <v>15</v>
      </c>
      <c r="F271" s="0" t="n">
        <f aca="false">IF(C271&gt;=6,0,1)</f>
        <v>1</v>
      </c>
      <c r="G271" s="0" t="n">
        <f aca="false">VLOOKUP(E271,Sheet1!$A$2:$B$25,2,0)</f>
        <v>1</v>
      </c>
    </row>
    <row r="272" customFormat="false" ht="15" hidden="false" customHeight="false" outlineLevel="0" collapsed="false">
      <c r="A272" s="13" t="n">
        <v>44567.6458333333</v>
      </c>
      <c r="B272" s="12" t="n">
        <v>531.865</v>
      </c>
      <c r="C272" s="0" t="n">
        <f aca="false">WEEKDAY(A272,2)</f>
        <v>4</v>
      </c>
      <c r="D272" s="0" t="n">
        <f aca="false">DAY(A272)</f>
        <v>6</v>
      </c>
      <c r="E272" s="0" t="n">
        <f aca="false">HOUR(A272)</f>
        <v>15</v>
      </c>
      <c r="F272" s="0" t="n">
        <f aca="false">IF(C272&gt;=6,0,1)</f>
        <v>1</v>
      </c>
      <c r="G272" s="0" t="n">
        <f aca="false">VLOOKUP(E272,Sheet1!$A$2:$B$25,2,0)</f>
        <v>1</v>
      </c>
    </row>
    <row r="273" customFormat="false" ht="15" hidden="false" customHeight="false" outlineLevel="0" collapsed="false">
      <c r="A273" s="13" t="n">
        <v>44567.6666666667</v>
      </c>
      <c r="B273" s="12" t="n">
        <v>522.26</v>
      </c>
      <c r="C273" s="0" t="n">
        <f aca="false">WEEKDAY(A273,2)</f>
        <v>4</v>
      </c>
      <c r="D273" s="0" t="n">
        <f aca="false">DAY(A273)</f>
        <v>6</v>
      </c>
      <c r="E273" s="0" t="n">
        <f aca="false">HOUR(A273)</f>
        <v>16</v>
      </c>
      <c r="F273" s="0" t="n">
        <f aca="false">IF(C273&gt;=6,0,1)</f>
        <v>1</v>
      </c>
      <c r="G273" s="0" t="n">
        <f aca="false">VLOOKUP(E273,Sheet1!$A$2:$B$25,2,0)</f>
        <v>0</v>
      </c>
    </row>
    <row r="274" customFormat="false" ht="15" hidden="false" customHeight="false" outlineLevel="0" collapsed="false">
      <c r="A274" s="13" t="n">
        <v>44567.6875</v>
      </c>
      <c r="B274" s="12" t="n">
        <v>397.225</v>
      </c>
      <c r="C274" s="0" t="n">
        <f aca="false">WEEKDAY(A274,2)</f>
        <v>4</v>
      </c>
      <c r="D274" s="0" t="n">
        <f aca="false">DAY(A274)</f>
        <v>6</v>
      </c>
      <c r="E274" s="0" t="n">
        <f aca="false">HOUR(A274)</f>
        <v>16</v>
      </c>
      <c r="F274" s="0" t="n">
        <f aca="false">IF(C274&gt;=6,0,1)</f>
        <v>1</v>
      </c>
      <c r="G274" s="0" t="n">
        <f aca="false">VLOOKUP(E274,Sheet1!$A$2:$B$25,2,0)</f>
        <v>0</v>
      </c>
    </row>
    <row r="275" customFormat="false" ht="15" hidden="false" customHeight="false" outlineLevel="0" collapsed="false">
      <c r="A275" s="13" t="n">
        <v>44567.7083333333</v>
      </c>
      <c r="B275" s="12" t="n">
        <v>354.476</v>
      </c>
      <c r="C275" s="0" t="n">
        <f aca="false">WEEKDAY(A275,2)</f>
        <v>4</v>
      </c>
      <c r="D275" s="0" t="n">
        <f aca="false">DAY(A275)</f>
        <v>6</v>
      </c>
      <c r="E275" s="0" t="n">
        <f aca="false">HOUR(A275)</f>
        <v>17</v>
      </c>
      <c r="F275" s="0" t="n">
        <f aca="false">IF(C275&gt;=6,0,1)</f>
        <v>1</v>
      </c>
      <c r="G275" s="0" t="n">
        <f aca="false">VLOOKUP(E275,Sheet1!$A$2:$B$25,2,0)</f>
        <v>0</v>
      </c>
    </row>
    <row r="276" customFormat="false" ht="15" hidden="false" customHeight="false" outlineLevel="0" collapsed="false">
      <c r="A276" s="13" t="n">
        <v>44567.7291666667</v>
      </c>
      <c r="B276" s="12" t="n">
        <v>309.62</v>
      </c>
      <c r="C276" s="0" t="n">
        <f aca="false">WEEKDAY(A276,2)</f>
        <v>4</v>
      </c>
      <c r="D276" s="0" t="n">
        <f aca="false">DAY(A276)</f>
        <v>6</v>
      </c>
      <c r="E276" s="0" t="n">
        <f aca="false">HOUR(A276)</f>
        <v>17</v>
      </c>
      <c r="F276" s="0" t="n">
        <f aca="false">IF(C276&gt;=6,0,1)</f>
        <v>1</v>
      </c>
      <c r="G276" s="0" t="n">
        <f aca="false">VLOOKUP(E276,Sheet1!$A$2:$B$25,2,0)</f>
        <v>0</v>
      </c>
    </row>
    <row r="277" customFormat="false" ht="15" hidden="false" customHeight="false" outlineLevel="0" collapsed="false">
      <c r="A277" s="13" t="n">
        <v>44567.75</v>
      </c>
      <c r="B277" s="12" t="n">
        <v>284.636</v>
      </c>
      <c r="C277" s="0" t="n">
        <f aca="false">WEEKDAY(A277,2)</f>
        <v>4</v>
      </c>
      <c r="D277" s="0" t="n">
        <f aca="false">DAY(A277)</f>
        <v>6</v>
      </c>
      <c r="E277" s="0" t="n">
        <f aca="false">HOUR(A277)</f>
        <v>18</v>
      </c>
      <c r="F277" s="0" t="n">
        <f aca="false">IF(C277&gt;=6,0,1)</f>
        <v>1</v>
      </c>
      <c r="G277" s="0" t="n">
        <f aca="false">VLOOKUP(E277,Sheet1!$A$2:$B$25,2,0)</f>
        <v>0</v>
      </c>
    </row>
    <row r="278" customFormat="false" ht="15" hidden="false" customHeight="false" outlineLevel="0" collapsed="false">
      <c r="A278" s="13" t="n">
        <v>44567.7708333333</v>
      </c>
      <c r="B278" s="12" t="n">
        <v>286.076</v>
      </c>
      <c r="C278" s="0" t="n">
        <f aca="false">WEEKDAY(A278,2)</f>
        <v>4</v>
      </c>
      <c r="D278" s="0" t="n">
        <f aca="false">DAY(A278)</f>
        <v>6</v>
      </c>
      <c r="E278" s="0" t="n">
        <f aca="false">HOUR(A278)</f>
        <v>18</v>
      </c>
      <c r="F278" s="0" t="n">
        <f aca="false">IF(C278&gt;=6,0,1)</f>
        <v>1</v>
      </c>
      <c r="G278" s="0" t="n">
        <f aca="false">VLOOKUP(E278,Sheet1!$A$2:$B$25,2,0)</f>
        <v>0</v>
      </c>
    </row>
    <row r="279" customFormat="false" ht="15" hidden="false" customHeight="false" outlineLevel="0" collapsed="false">
      <c r="A279" s="13" t="n">
        <v>44567.7916666667</v>
      </c>
      <c r="B279" s="12" t="n">
        <v>287.641</v>
      </c>
      <c r="C279" s="0" t="n">
        <f aca="false">WEEKDAY(A279,2)</f>
        <v>4</v>
      </c>
      <c r="D279" s="0" t="n">
        <f aca="false">DAY(A279)</f>
        <v>6</v>
      </c>
      <c r="E279" s="0" t="n">
        <f aca="false">HOUR(A279)</f>
        <v>19</v>
      </c>
      <c r="F279" s="0" t="n">
        <f aca="false">IF(C279&gt;=6,0,1)</f>
        <v>1</v>
      </c>
      <c r="G279" s="0" t="n">
        <f aca="false">VLOOKUP(E279,Sheet1!$A$2:$B$25,2,0)</f>
        <v>0</v>
      </c>
    </row>
    <row r="280" customFormat="false" ht="15" hidden="false" customHeight="false" outlineLevel="0" collapsed="false">
      <c r="A280" s="13" t="n">
        <v>44567.8125</v>
      </c>
      <c r="B280" s="12" t="n">
        <v>283.46</v>
      </c>
      <c r="C280" s="0" t="n">
        <f aca="false">WEEKDAY(A280,2)</f>
        <v>4</v>
      </c>
      <c r="D280" s="0" t="n">
        <f aca="false">DAY(A280)</f>
        <v>6</v>
      </c>
      <c r="E280" s="0" t="n">
        <f aca="false">HOUR(A280)</f>
        <v>19</v>
      </c>
      <c r="F280" s="0" t="n">
        <f aca="false">IF(C280&gt;=6,0,1)</f>
        <v>1</v>
      </c>
      <c r="G280" s="0" t="n">
        <f aca="false">VLOOKUP(E280,Sheet1!$A$2:$B$25,2,0)</f>
        <v>0</v>
      </c>
    </row>
    <row r="281" customFormat="false" ht="15" hidden="false" customHeight="false" outlineLevel="0" collapsed="false">
      <c r="A281" s="13" t="n">
        <v>44567.8333333333</v>
      </c>
      <c r="B281" s="12" t="n">
        <v>278.185</v>
      </c>
      <c r="C281" s="0" t="n">
        <f aca="false">WEEKDAY(A281,2)</f>
        <v>4</v>
      </c>
      <c r="D281" s="0" t="n">
        <f aca="false">DAY(A281)</f>
        <v>6</v>
      </c>
      <c r="E281" s="0" t="n">
        <f aca="false">HOUR(A281)</f>
        <v>20</v>
      </c>
      <c r="F281" s="0" t="n">
        <f aca="false">IF(C281&gt;=6,0,1)</f>
        <v>1</v>
      </c>
      <c r="G281" s="0" t="n">
        <f aca="false">VLOOKUP(E281,Sheet1!$A$2:$B$25,2,0)</f>
        <v>0</v>
      </c>
    </row>
    <row r="282" customFormat="false" ht="15" hidden="false" customHeight="false" outlineLevel="0" collapsed="false">
      <c r="A282" s="13" t="n">
        <v>44567.8541666667</v>
      </c>
      <c r="B282" s="12" t="n">
        <v>266.396</v>
      </c>
      <c r="C282" s="0" t="n">
        <f aca="false">WEEKDAY(A282,2)</f>
        <v>4</v>
      </c>
      <c r="D282" s="0" t="n">
        <f aca="false">DAY(A282)</f>
        <v>6</v>
      </c>
      <c r="E282" s="0" t="n">
        <f aca="false">HOUR(A282)</f>
        <v>20</v>
      </c>
      <c r="F282" s="0" t="n">
        <f aca="false">IF(C282&gt;=6,0,1)</f>
        <v>1</v>
      </c>
      <c r="G282" s="0" t="n">
        <f aca="false">VLOOKUP(E282,Sheet1!$A$2:$B$25,2,0)</f>
        <v>0</v>
      </c>
    </row>
    <row r="283" customFormat="false" ht="15" hidden="false" customHeight="false" outlineLevel="0" collapsed="false">
      <c r="A283" s="13" t="n">
        <v>44567.875</v>
      </c>
      <c r="B283" s="12" t="n">
        <v>265.801</v>
      </c>
      <c r="C283" s="0" t="n">
        <f aca="false">WEEKDAY(A283,2)</f>
        <v>4</v>
      </c>
      <c r="D283" s="0" t="n">
        <f aca="false">DAY(A283)</f>
        <v>6</v>
      </c>
      <c r="E283" s="0" t="n">
        <f aca="false">HOUR(A283)</f>
        <v>21</v>
      </c>
      <c r="F283" s="0" t="n">
        <f aca="false">IF(C283&gt;=6,0,1)</f>
        <v>1</v>
      </c>
      <c r="G283" s="0" t="n">
        <f aca="false">VLOOKUP(E283,Sheet1!$A$2:$B$25,2,0)</f>
        <v>0</v>
      </c>
    </row>
    <row r="284" customFormat="false" ht="15" hidden="false" customHeight="false" outlineLevel="0" collapsed="false">
      <c r="A284" s="13" t="n">
        <v>44567.8958333333</v>
      </c>
      <c r="B284" s="12" t="n">
        <v>243.236</v>
      </c>
      <c r="C284" s="0" t="n">
        <f aca="false">WEEKDAY(A284,2)</f>
        <v>4</v>
      </c>
      <c r="D284" s="0" t="n">
        <f aca="false">DAY(A284)</f>
        <v>6</v>
      </c>
      <c r="E284" s="0" t="n">
        <f aca="false">HOUR(A284)</f>
        <v>21</v>
      </c>
      <c r="F284" s="0" t="n">
        <f aca="false">IF(C284&gt;=6,0,1)</f>
        <v>1</v>
      </c>
      <c r="G284" s="0" t="n">
        <f aca="false">VLOOKUP(E284,Sheet1!$A$2:$B$25,2,0)</f>
        <v>0</v>
      </c>
    </row>
    <row r="285" customFormat="false" ht="15" hidden="false" customHeight="false" outlineLevel="0" collapsed="false">
      <c r="A285" s="13" t="n">
        <v>44567.9166666667</v>
      </c>
      <c r="B285" s="12" t="n">
        <v>241.921</v>
      </c>
      <c r="C285" s="0" t="n">
        <f aca="false">WEEKDAY(A285,2)</f>
        <v>4</v>
      </c>
      <c r="D285" s="0" t="n">
        <f aca="false">DAY(A285)</f>
        <v>6</v>
      </c>
      <c r="E285" s="0" t="n">
        <f aca="false">HOUR(A285)</f>
        <v>22</v>
      </c>
      <c r="F285" s="0" t="n">
        <f aca="false">IF(C285&gt;=6,0,1)</f>
        <v>1</v>
      </c>
      <c r="G285" s="0" t="n">
        <f aca="false">VLOOKUP(E285,Sheet1!$A$2:$B$25,2,0)</f>
        <v>0</v>
      </c>
    </row>
    <row r="286" customFormat="false" ht="15" hidden="false" customHeight="false" outlineLevel="0" collapsed="false">
      <c r="A286" s="13" t="n">
        <v>44567.9375</v>
      </c>
      <c r="B286" s="12" t="n">
        <v>244.196</v>
      </c>
      <c r="C286" s="0" t="n">
        <f aca="false">WEEKDAY(A286,2)</f>
        <v>4</v>
      </c>
      <c r="D286" s="0" t="n">
        <f aca="false">DAY(A286)</f>
        <v>6</v>
      </c>
      <c r="E286" s="0" t="n">
        <f aca="false">HOUR(A286)</f>
        <v>22</v>
      </c>
      <c r="F286" s="0" t="n">
        <f aca="false">IF(C286&gt;=6,0,1)</f>
        <v>1</v>
      </c>
      <c r="G286" s="0" t="n">
        <f aca="false">VLOOKUP(E286,Sheet1!$A$2:$B$25,2,0)</f>
        <v>0</v>
      </c>
    </row>
    <row r="287" customFormat="false" ht="15" hidden="false" customHeight="false" outlineLevel="0" collapsed="false">
      <c r="A287" s="13" t="n">
        <v>44567.9583333333</v>
      </c>
      <c r="B287" s="12" t="n">
        <v>246.62</v>
      </c>
      <c r="C287" s="0" t="n">
        <f aca="false">WEEKDAY(A287,2)</f>
        <v>4</v>
      </c>
      <c r="D287" s="0" t="n">
        <f aca="false">DAY(A287)</f>
        <v>6</v>
      </c>
      <c r="E287" s="0" t="n">
        <f aca="false">HOUR(A287)</f>
        <v>23</v>
      </c>
      <c r="F287" s="0" t="n">
        <f aca="false">IF(C287&gt;=6,0,1)</f>
        <v>1</v>
      </c>
      <c r="G287" s="0" t="n">
        <f aca="false">VLOOKUP(E287,Sheet1!$A$2:$B$25,2,0)</f>
        <v>0</v>
      </c>
    </row>
    <row r="288" customFormat="false" ht="15" hidden="false" customHeight="false" outlineLevel="0" collapsed="false">
      <c r="A288" s="13" t="n">
        <v>44567.9791666667</v>
      </c>
      <c r="B288" s="12" t="n">
        <v>238.465</v>
      </c>
      <c r="C288" s="0" t="n">
        <f aca="false">WEEKDAY(A288,2)</f>
        <v>4</v>
      </c>
      <c r="D288" s="0" t="n">
        <f aca="false">DAY(A288)</f>
        <v>6</v>
      </c>
      <c r="E288" s="0" t="n">
        <f aca="false">HOUR(A288)</f>
        <v>23</v>
      </c>
      <c r="F288" s="0" t="n">
        <f aca="false">IF(C288&gt;=6,0,1)</f>
        <v>1</v>
      </c>
      <c r="G288" s="0" t="n">
        <f aca="false">VLOOKUP(E288,Sheet1!$A$2:$B$25,2,0)</f>
        <v>0</v>
      </c>
    </row>
    <row r="289" customFormat="false" ht="15" hidden="false" customHeight="false" outlineLevel="0" collapsed="false">
      <c r="A289" s="13" t="n">
        <v>44568</v>
      </c>
      <c r="B289" s="12" t="n">
        <v>238.436</v>
      </c>
      <c r="C289" s="0" t="n">
        <f aca="false">WEEKDAY(A289,2)</f>
        <v>5</v>
      </c>
      <c r="D289" s="0" t="n">
        <f aca="false">DAY(A289)</f>
        <v>7</v>
      </c>
      <c r="E289" s="0" t="n">
        <f aca="false">HOUR(A289)</f>
        <v>0</v>
      </c>
      <c r="F289" s="0" t="n">
        <f aca="false">IF(C289&gt;=6,0,1)</f>
        <v>1</v>
      </c>
      <c r="G289" s="0" t="n">
        <f aca="false">VLOOKUP(E289,Sheet1!$A$2:$B$25,2,0)</f>
        <v>0</v>
      </c>
    </row>
    <row r="290" customFormat="false" ht="15" hidden="false" customHeight="false" outlineLevel="0" collapsed="false">
      <c r="A290" s="13" t="n">
        <v>44568.0208333333</v>
      </c>
      <c r="B290" s="12" t="n">
        <v>237.86</v>
      </c>
      <c r="C290" s="0" t="n">
        <f aca="false">WEEKDAY(A290,2)</f>
        <v>5</v>
      </c>
      <c r="D290" s="0" t="n">
        <f aca="false">DAY(A290)</f>
        <v>7</v>
      </c>
      <c r="E290" s="0" t="n">
        <f aca="false">HOUR(A290)</f>
        <v>0</v>
      </c>
      <c r="F290" s="0" t="n">
        <f aca="false">IF(C290&gt;=6,0,1)</f>
        <v>1</v>
      </c>
      <c r="G290" s="0" t="n">
        <f aca="false">VLOOKUP(E290,Sheet1!$A$2:$B$25,2,0)</f>
        <v>0</v>
      </c>
    </row>
    <row r="291" customFormat="false" ht="15" hidden="false" customHeight="false" outlineLevel="0" collapsed="false">
      <c r="A291" s="13" t="n">
        <v>44568.0416666667</v>
      </c>
      <c r="B291" s="12" t="n">
        <v>238.676</v>
      </c>
      <c r="C291" s="0" t="n">
        <f aca="false">WEEKDAY(A291,2)</f>
        <v>5</v>
      </c>
      <c r="D291" s="0" t="n">
        <f aca="false">DAY(A291)</f>
        <v>7</v>
      </c>
      <c r="E291" s="0" t="n">
        <f aca="false">HOUR(A291)</f>
        <v>1</v>
      </c>
      <c r="F291" s="0" t="n">
        <f aca="false">IF(C291&gt;=6,0,1)</f>
        <v>1</v>
      </c>
      <c r="G291" s="0" t="n">
        <f aca="false">VLOOKUP(E291,Sheet1!$A$2:$B$25,2,0)</f>
        <v>0</v>
      </c>
    </row>
    <row r="292" customFormat="false" ht="15" hidden="false" customHeight="false" outlineLevel="0" collapsed="false">
      <c r="A292" s="13" t="n">
        <v>44568.0625</v>
      </c>
      <c r="B292" s="12" t="n">
        <v>257.516</v>
      </c>
      <c r="C292" s="0" t="n">
        <f aca="false">WEEKDAY(A292,2)</f>
        <v>5</v>
      </c>
      <c r="D292" s="0" t="n">
        <f aca="false">DAY(A292)</f>
        <v>7</v>
      </c>
      <c r="E292" s="0" t="n">
        <f aca="false">HOUR(A292)</f>
        <v>1</v>
      </c>
      <c r="F292" s="0" t="n">
        <f aca="false">IF(C292&gt;=6,0,1)</f>
        <v>1</v>
      </c>
      <c r="G292" s="0" t="n">
        <f aca="false">VLOOKUP(E292,Sheet1!$A$2:$B$25,2,0)</f>
        <v>0</v>
      </c>
    </row>
    <row r="293" customFormat="false" ht="15" hidden="false" customHeight="false" outlineLevel="0" collapsed="false">
      <c r="A293" s="13" t="n">
        <v>44568.0833333333</v>
      </c>
      <c r="B293" s="12" t="n">
        <v>240.86</v>
      </c>
      <c r="C293" s="0" t="n">
        <f aca="false">WEEKDAY(A293,2)</f>
        <v>5</v>
      </c>
      <c r="D293" s="0" t="n">
        <f aca="false">DAY(A293)</f>
        <v>7</v>
      </c>
      <c r="E293" s="0" t="n">
        <f aca="false">HOUR(A293)</f>
        <v>2</v>
      </c>
      <c r="F293" s="0" t="n">
        <f aca="false">IF(C293&gt;=6,0,1)</f>
        <v>1</v>
      </c>
      <c r="G293" s="0" t="n">
        <f aca="false">VLOOKUP(E293,Sheet1!$A$2:$B$25,2,0)</f>
        <v>0</v>
      </c>
    </row>
    <row r="294" customFormat="false" ht="15" hidden="false" customHeight="false" outlineLevel="0" collapsed="false">
      <c r="A294" s="13" t="n">
        <v>44568.1041666667</v>
      </c>
      <c r="B294" s="12" t="n">
        <v>238.46</v>
      </c>
      <c r="C294" s="0" t="n">
        <f aca="false">WEEKDAY(A294,2)</f>
        <v>5</v>
      </c>
      <c r="D294" s="0" t="n">
        <f aca="false">DAY(A294)</f>
        <v>7</v>
      </c>
      <c r="E294" s="0" t="n">
        <f aca="false">HOUR(A294)</f>
        <v>2</v>
      </c>
      <c r="F294" s="0" t="n">
        <f aca="false">IF(C294&gt;=6,0,1)</f>
        <v>1</v>
      </c>
      <c r="G294" s="0" t="n">
        <f aca="false">VLOOKUP(E294,Sheet1!$A$2:$B$25,2,0)</f>
        <v>0</v>
      </c>
    </row>
    <row r="295" customFormat="false" ht="15" hidden="false" customHeight="false" outlineLevel="0" collapsed="false">
      <c r="A295" s="13" t="n">
        <v>44568.125</v>
      </c>
      <c r="B295" s="12" t="n">
        <v>237.26</v>
      </c>
      <c r="C295" s="0" t="n">
        <f aca="false">WEEKDAY(A295,2)</f>
        <v>5</v>
      </c>
      <c r="D295" s="0" t="n">
        <f aca="false">DAY(A295)</f>
        <v>7</v>
      </c>
      <c r="E295" s="0" t="n">
        <f aca="false">HOUR(A295)</f>
        <v>3</v>
      </c>
      <c r="F295" s="0" t="n">
        <f aca="false">IF(C295&gt;=6,0,1)</f>
        <v>1</v>
      </c>
      <c r="G295" s="0" t="n">
        <f aca="false">VLOOKUP(E295,Sheet1!$A$2:$B$25,2,0)</f>
        <v>0</v>
      </c>
    </row>
    <row r="296" customFormat="false" ht="15" hidden="false" customHeight="false" outlineLevel="0" collapsed="false">
      <c r="A296" s="13" t="n">
        <v>44568.1458333333</v>
      </c>
      <c r="B296" s="12" t="n">
        <v>247.076</v>
      </c>
      <c r="C296" s="0" t="n">
        <f aca="false">WEEKDAY(A296,2)</f>
        <v>5</v>
      </c>
      <c r="D296" s="0" t="n">
        <f aca="false">DAY(A296)</f>
        <v>7</v>
      </c>
      <c r="E296" s="0" t="n">
        <f aca="false">HOUR(A296)</f>
        <v>3</v>
      </c>
      <c r="F296" s="0" t="n">
        <f aca="false">IF(C296&gt;=6,0,1)</f>
        <v>1</v>
      </c>
      <c r="G296" s="0" t="n">
        <f aca="false">VLOOKUP(E296,Sheet1!$A$2:$B$25,2,0)</f>
        <v>0</v>
      </c>
    </row>
    <row r="297" customFormat="false" ht="15" hidden="false" customHeight="false" outlineLevel="0" collapsed="false">
      <c r="A297" s="13" t="n">
        <v>44568.1666666667</v>
      </c>
      <c r="B297" s="12" t="n">
        <v>242.876</v>
      </c>
      <c r="C297" s="0" t="n">
        <f aca="false">WEEKDAY(A297,2)</f>
        <v>5</v>
      </c>
      <c r="D297" s="0" t="n">
        <f aca="false">DAY(A297)</f>
        <v>7</v>
      </c>
      <c r="E297" s="0" t="n">
        <f aca="false">HOUR(A297)</f>
        <v>4</v>
      </c>
      <c r="F297" s="0" t="n">
        <f aca="false">IF(C297&gt;=6,0,1)</f>
        <v>1</v>
      </c>
      <c r="G297" s="0" t="n">
        <f aca="false">VLOOKUP(E297,Sheet1!$A$2:$B$25,2,0)</f>
        <v>1</v>
      </c>
    </row>
    <row r="298" customFormat="false" ht="15" hidden="false" customHeight="false" outlineLevel="0" collapsed="false">
      <c r="A298" s="13" t="n">
        <v>44568.1875</v>
      </c>
      <c r="B298" s="12" t="n">
        <v>256.34</v>
      </c>
      <c r="C298" s="0" t="n">
        <f aca="false">WEEKDAY(A298,2)</f>
        <v>5</v>
      </c>
      <c r="D298" s="0" t="n">
        <f aca="false">DAY(A298)</f>
        <v>7</v>
      </c>
      <c r="E298" s="0" t="n">
        <f aca="false">HOUR(A298)</f>
        <v>4</v>
      </c>
      <c r="F298" s="0" t="n">
        <f aca="false">IF(C298&gt;=6,0,1)</f>
        <v>1</v>
      </c>
      <c r="G298" s="0" t="n">
        <f aca="false">VLOOKUP(E298,Sheet1!$A$2:$B$25,2,0)</f>
        <v>1</v>
      </c>
    </row>
    <row r="299" customFormat="false" ht="15" hidden="false" customHeight="false" outlineLevel="0" collapsed="false">
      <c r="A299" s="13" t="n">
        <v>44568.2083333333</v>
      </c>
      <c r="B299" s="12" t="n">
        <v>255.145</v>
      </c>
      <c r="C299" s="0" t="n">
        <f aca="false">WEEKDAY(A299,2)</f>
        <v>5</v>
      </c>
      <c r="D299" s="0" t="n">
        <f aca="false">DAY(A299)</f>
        <v>7</v>
      </c>
      <c r="E299" s="0" t="n">
        <f aca="false">HOUR(A299)</f>
        <v>5</v>
      </c>
      <c r="F299" s="0" t="n">
        <f aca="false">IF(C299&gt;=6,0,1)</f>
        <v>1</v>
      </c>
      <c r="G299" s="0" t="n">
        <f aca="false">VLOOKUP(E299,Sheet1!$A$2:$B$25,2,0)</f>
        <v>1</v>
      </c>
    </row>
    <row r="300" customFormat="false" ht="15" hidden="false" customHeight="false" outlineLevel="0" collapsed="false">
      <c r="A300" s="13" t="n">
        <v>44568.2291666667</v>
      </c>
      <c r="B300" s="12" t="n">
        <v>285.356</v>
      </c>
      <c r="C300" s="0" t="n">
        <f aca="false">WEEKDAY(A300,2)</f>
        <v>5</v>
      </c>
      <c r="D300" s="0" t="n">
        <f aca="false">DAY(A300)</f>
        <v>7</v>
      </c>
      <c r="E300" s="0" t="n">
        <f aca="false">HOUR(A300)</f>
        <v>5</v>
      </c>
      <c r="F300" s="0" t="n">
        <f aca="false">IF(C300&gt;=6,0,1)</f>
        <v>1</v>
      </c>
      <c r="G300" s="0" t="n">
        <f aca="false">VLOOKUP(E300,Sheet1!$A$2:$B$25,2,0)</f>
        <v>1</v>
      </c>
    </row>
    <row r="301" customFormat="false" ht="15" hidden="false" customHeight="false" outlineLevel="0" collapsed="false">
      <c r="A301" s="13" t="n">
        <v>44568.25</v>
      </c>
      <c r="B301" s="12" t="n">
        <v>366.956</v>
      </c>
      <c r="C301" s="0" t="n">
        <f aca="false">WEEKDAY(A301,2)</f>
        <v>5</v>
      </c>
      <c r="D301" s="0" t="n">
        <f aca="false">DAY(A301)</f>
        <v>7</v>
      </c>
      <c r="E301" s="0" t="n">
        <f aca="false">HOUR(A301)</f>
        <v>6</v>
      </c>
      <c r="F301" s="0" t="n">
        <f aca="false">IF(C301&gt;=6,0,1)</f>
        <v>1</v>
      </c>
      <c r="G301" s="0" t="n">
        <f aca="false">VLOOKUP(E301,Sheet1!$A$2:$B$25,2,0)</f>
        <v>1</v>
      </c>
    </row>
    <row r="302" customFormat="false" ht="15" hidden="false" customHeight="false" outlineLevel="0" collapsed="false">
      <c r="A302" s="13" t="n">
        <v>44568.2708333333</v>
      </c>
      <c r="B302" s="12" t="n">
        <v>923.396</v>
      </c>
      <c r="C302" s="0" t="n">
        <f aca="false">WEEKDAY(A302,2)</f>
        <v>5</v>
      </c>
      <c r="D302" s="0" t="n">
        <f aca="false">DAY(A302)</f>
        <v>7</v>
      </c>
      <c r="E302" s="0" t="n">
        <f aca="false">HOUR(A302)</f>
        <v>6</v>
      </c>
      <c r="F302" s="0" t="n">
        <f aca="false">IF(C302&gt;=6,0,1)</f>
        <v>1</v>
      </c>
      <c r="G302" s="0" t="n">
        <f aca="false">VLOOKUP(E302,Sheet1!$A$2:$B$25,2,0)</f>
        <v>1</v>
      </c>
    </row>
    <row r="303" customFormat="false" ht="15" hidden="false" customHeight="false" outlineLevel="0" collapsed="false">
      <c r="A303" s="13" t="n">
        <v>44568.2916666667</v>
      </c>
      <c r="B303" s="12" t="n">
        <v>804.956</v>
      </c>
      <c r="C303" s="0" t="n">
        <f aca="false">WEEKDAY(A303,2)</f>
        <v>5</v>
      </c>
      <c r="D303" s="0" t="n">
        <f aca="false">DAY(A303)</f>
        <v>7</v>
      </c>
      <c r="E303" s="0" t="n">
        <f aca="false">HOUR(A303)</f>
        <v>7</v>
      </c>
      <c r="F303" s="0" t="n">
        <f aca="false">IF(C303&gt;=6,0,1)</f>
        <v>1</v>
      </c>
      <c r="G303" s="0" t="n">
        <f aca="false">VLOOKUP(E303,Sheet1!$A$2:$B$25,2,0)</f>
        <v>1</v>
      </c>
    </row>
    <row r="304" customFormat="false" ht="15" hidden="false" customHeight="false" outlineLevel="0" collapsed="false">
      <c r="A304" s="13" t="n">
        <v>44568.3125</v>
      </c>
      <c r="B304" s="12" t="n">
        <v>859.076</v>
      </c>
      <c r="C304" s="0" t="n">
        <f aca="false">WEEKDAY(A304,2)</f>
        <v>5</v>
      </c>
      <c r="D304" s="0" t="n">
        <f aca="false">DAY(A304)</f>
        <v>7</v>
      </c>
      <c r="E304" s="0" t="n">
        <f aca="false">HOUR(A304)</f>
        <v>7</v>
      </c>
      <c r="F304" s="0" t="n">
        <f aca="false">IF(C304&gt;=6,0,1)</f>
        <v>1</v>
      </c>
      <c r="G304" s="0" t="n">
        <f aca="false">VLOOKUP(E304,Sheet1!$A$2:$B$25,2,0)</f>
        <v>1</v>
      </c>
    </row>
    <row r="305" customFormat="false" ht="15" hidden="false" customHeight="false" outlineLevel="0" collapsed="false">
      <c r="A305" s="13" t="n">
        <v>44568.3333333333</v>
      </c>
      <c r="B305" s="12" t="n">
        <v>901.556</v>
      </c>
      <c r="C305" s="0" t="n">
        <f aca="false">WEEKDAY(A305,2)</f>
        <v>5</v>
      </c>
      <c r="D305" s="0" t="n">
        <f aca="false">DAY(A305)</f>
        <v>7</v>
      </c>
      <c r="E305" s="0" t="n">
        <f aca="false">HOUR(A305)</f>
        <v>8</v>
      </c>
      <c r="F305" s="0" t="n">
        <f aca="false">IF(C305&gt;=6,0,1)</f>
        <v>1</v>
      </c>
      <c r="G305" s="0" t="n">
        <f aca="false">VLOOKUP(E305,Sheet1!$A$2:$B$25,2,0)</f>
        <v>1</v>
      </c>
    </row>
    <row r="306" customFormat="false" ht="15" hidden="false" customHeight="false" outlineLevel="0" collapsed="false">
      <c r="A306" s="13" t="n">
        <v>44568.3541666667</v>
      </c>
      <c r="B306" s="12" t="n">
        <v>895.196</v>
      </c>
      <c r="C306" s="0" t="n">
        <f aca="false">WEEKDAY(A306,2)</f>
        <v>5</v>
      </c>
      <c r="D306" s="0" t="n">
        <f aca="false">DAY(A306)</f>
        <v>7</v>
      </c>
      <c r="E306" s="0" t="n">
        <f aca="false">HOUR(A306)</f>
        <v>8</v>
      </c>
      <c r="F306" s="0" t="n">
        <f aca="false">IF(C306&gt;=6,0,1)</f>
        <v>1</v>
      </c>
      <c r="G306" s="0" t="n">
        <f aca="false">VLOOKUP(E306,Sheet1!$A$2:$B$25,2,0)</f>
        <v>1</v>
      </c>
    </row>
    <row r="307" customFormat="false" ht="15" hidden="false" customHeight="false" outlineLevel="0" collapsed="false">
      <c r="A307" s="13" t="n">
        <v>44568.375</v>
      </c>
      <c r="B307" s="12" t="n">
        <v>966.356</v>
      </c>
      <c r="C307" s="0" t="n">
        <f aca="false">WEEKDAY(A307,2)</f>
        <v>5</v>
      </c>
      <c r="D307" s="0" t="n">
        <f aca="false">DAY(A307)</f>
        <v>7</v>
      </c>
      <c r="E307" s="0" t="n">
        <f aca="false">HOUR(A307)</f>
        <v>9</v>
      </c>
      <c r="F307" s="0" t="n">
        <f aca="false">IF(C307&gt;=6,0,1)</f>
        <v>1</v>
      </c>
      <c r="G307" s="0" t="n">
        <f aca="false">VLOOKUP(E307,Sheet1!$A$2:$B$25,2,0)</f>
        <v>1</v>
      </c>
    </row>
    <row r="308" customFormat="false" ht="15" hidden="false" customHeight="false" outlineLevel="0" collapsed="false">
      <c r="A308" s="13" t="n">
        <v>44568.3958333333</v>
      </c>
      <c r="B308" s="12" t="n">
        <v>968.636</v>
      </c>
      <c r="C308" s="0" t="n">
        <f aca="false">WEEKDAY(A308,2)</f>
        <v>5</v>
      </c>
      <c r="D308" s="0" t="n">
        <f aca="false">DAY(A308)</f>
        <v>7</v>
      </c>
      <c r="E308" s="0" t="n">
        <f aca="false">HOUR(A308)</f>
        <v>9</v>
      </c>
      <c r="F308" s="0" t="n">
        <f aca="false">IF(C308&gt;=6,0,1)</f>
        <v>1</v>
      </c>
      <c r="G308" s="0" t="n">
        <f aca="false">VLOOKUP(E308,Sheet1!$A$2:$B$25,2,0)</f>
        <v>1</v>
      </c>
    </row>
    <row r="309" customFormat="false" ht="15" hidden="false" customHeight="false" outlineLevel="0" collapsed="false">
      <c r="A309" s="13" t="n">
        <v>44568.4166666667</v>
      </c>
      <c r="B309" s="12" t="n">
        <v>963.385</v>
      </c>
      <c r="C309" s="0" t="n">
        <f aca="false">WEEKDAY(A309,2)</f>
        <v>5</v>
      </c>
      <c r="D309" s="0" t="n">
        <f aca="false">DAY(A309)</f>
        <v>7</v>
      </c>
      <c r="E309" s="0" t="n">
        <f aca="false">HOUR(A309)</f>
        <v>10</v>
      </c>
      <c r="F309" s="0" t="n">
        <f aca="false">IF(C309&gt;=6,0,1)</f>
        <v>1</v>
      </c>
      <c r="G309" s="0" t="n">
        <f aca="false">VLOOKUP(E309,Sheet1!$A$2:$B$25,2,0)</f>
        <v>1</v>
      </c>
    </row>
    <row r="310" customFormat="false" ht="15" hidden="false" customHeight="false" outlineLevel="0" collapsed="false">
      <c r="A310" s="13" t="n">
        <v>44568.4375</v>
      </c>
      <c r="B310" s="12" t="n">
        <v>969.38</v>
      </c>
      <c r="C310" s="0" t="n">
        <f aca="false">WEEKDAY(A310,2)</f>
        <v>5</v>
      </c>
      <c r="D310" s="0" t="n">
        <f aca="false">DAY(A310)</f>
        <v>7</v>
      </c>
      <c r="E310" s="0" t="n">
        <f aca="false">HOUR(A310)</f>
        <v>10</v>
      </c>
      <c r="F310" s="0" t="n">
        <f aca="false">IF(C310&gt;=6,0,1)</f>
        <v>1</v>
      </c>
      <c r="G310" s="0" t="n">
        <f aca="false">VLOOKUP(E310,Sheet1!$A$2:$B$25,2,0)</f>
        <v>1</v>
      </c>
    </row>
    <row r="311" customFormat="false" ht="15" hidden="false" customHeight="false" outlineLevel="0" collapsed="false">
      <c r="A311" s="13" t="n">
        <v>44568.4583333333</v>
      </c>
      <c r="B311" s="12" t="n">
        <v>967.1</v>
      </c>
      <c r="C311" s="0" t="n">
        <f aca="false">WEEKDAY(A311,2)</f>
        <v>5</v>
      </c>
      <c r="D311" s="0" t="n">
        <f aca="false">DAY(A311)</f>
        <v>7</v>
      </c>
      <c r="E311" s="0" t="n">
        <f aca="false">HOUR(A311)</f>
        <v>11</v>
      </c>
      <c r="F311" s="0" t="n">
        <f aca="false">IF(C311&gt;=6,0,1)</f>
        <v>1</v>
      </c>
      <c r="G311" s="0" t="n">
        <f aca="false">VLOOKUP(E311,Sheet1!$A$2:$B$25,2,0)</f>
        <v>1</v>
      </c>
    </row>
    <row r="312" customFormat="false" ht="15" hidden="false" customHeight="false" outlineLevel="0" collapsed="false">
      <c r="A312" s="13" t="n">
        <v>44568.4791666667</v>
      </c>
      <c r="B312" s="12" t="n">
        <v>954.121</v>
      </c>
      <c r="C312" s="0" t="n">
        <f aca="false">WEEKDAY(A312,2)</f>
        <v>5</v>
      </c>
      <c r="D312" s="0" t="n">
        <f aca="false">DAY(A312)</f>
        <v>7</v>
      </c>
      <c r="E312" s="0" t="n">
        <f aca="false">HOUR(A312)</f>
        <v>11</v>
      </c>
      <c r="F312" s="0" t="n">
        <f aca="false">IF(C312&gt;=6,0,1)</f>
        <v>1</v>
      </c>
      <c r="G312" s="0" t="n">
        <f aca="false">VLOOKUP(E312,Sheet1!$A$2:$B$25,2,0)</f>
        <v>1</v>
      </c>
    </row>
    <row r="313" customFormat="false" ht="15" hidden="false" customHeight="false" outlineLevel="0" collapsed="false">
      <c r="A313" s="13" t="n">
        <v>44568.5</v>
      </c>
      <c r="B313" s="12" t="n">
        <v>949.076</v>
      </c>
      <c r="C313" s="0" t="n">
        <f aca="false">WEEKDAY(A313,2)</f>
        <v>5</v>
      </c>
      <c r="D313" s="0" t="n">
        <f aca="false">DAY(A313)</f>
        <v>7</v>
      </c>
      <c r="E313" s="0" t="n">
        <f aca="false">HOUR(A313)</f>
        <v>12</v>
      </c>
      <c r="F313" s="0" t="n">
        <f aca="false">IF(C313&gt;=6,0,1)</f>
        <v>1</v>
      </c>
      <c r="G313" s="0" t="n">
        <f aca="false">VLOOKUP(E313,Sheet1!$A$2:$B$25,2,0)</f>
        <v>1</v>
      </c>
    </row>
    <row r="314" customFormat="false" ht="15" hidden="false" customHeight="false" outlineLevel="0" collapsed="false">
      <c r="A314" s="13" t="n">
        <v>44568.5208333333</v>
      </c>
      <c r="B314" s="12" t="n">
        <v>653.78</v>
      </c>
      <c r="C314" s="0" t="n">
        <f aca="false">WEEKDAY(A314,2)</f>
        <v>5</v>
      </c>
      <c r="D314" s="0" t="n">
        <f aca="false">DAY(A314)</f>
        <v>7</v>
      </c>
      <c r="E314" s="0" t="n">
        <f aca="false">HOUR(A314)</f>
        <v>12</v>
      </c>
      <c r="F314" s="0" t="n">
        <f aca="false">IF(C314&gt;=6,0,1)</f>
        <v>1</v>
      </c>
      <c r="G314" s="0" t="n">
        <f aca="false">VLOOKUP(E314,Sheet1!$A$2:$B$25,2,0)</f>
        <v>1</v>
      </c>
    </row>
    <row r="315" customFormat="false" ht="15" hidden="false" customHeight="false" outlineLevel="0" collapsed="false">
      <c r="A315" s="13" t="n">
        <v>44568.5416666667</v>
      </c>
      <c r="B315" s="12" t="n">
        <v>767.276</v>
      </c>
      <c r="C315" s="0" t="n">
        <f aca="false">WEEKDAY(A315,2)</f>
        <v>5</v>
      </c>
      <c r="D315" s="0" t="n">
        <f aca="false">DAY(A315)</f>
        <v>7</v>
      </c>
      <c r="E315" s="0" t="n">
        <f aca="false">HOUR(A315)</f>
        <v>13</v>
      </c>
      <c r="F315" s="0" t="n">
        <f aca="false">IF(C315&gt;=6,0,1)</f>
        <v>1</v>
      </c>
      <c r="G315" s="0" t="n">
        <f aca="false">VLOOKUP(E315,Sheet1!$A$2:$B$25,2,0)</f>
        <v>1</v>
      </c>
    </row>
    <row r="316" customFormat="false" ht="15" hidden="false" customHeight="false" outlineLevel="0" collapsed="false">
      <c r="A316" s="13" t="n">
        <v>44568.5625</v>
      </c>
      <c r="B316" s="12" t="n">
        <v>882.121</v>
      </c>
      <c r="C316" s="0" t="n">
        <f aca="false">WEEKDAY(A316,2)</f>
        <v>5</v>
      </c>
      <c r="D316" s="0" t="n">
        <f aca="false">DAY(A316)</f>
        <v>7</v>
      </c>
      <c r="E316" s="0" t="n">
        <f aca="false">HOUR(A316)</f>
        <v>13</v>
      </c>
      <c r="F316" s="0" t="n">
        <f aca="false">IF(C316&gt;=6,0,1)</f>
        <v>1</v>
      </c>
      <c r="G316" s="0" t="n">
        <f aca="false">VLOOKUP(E316,Sheet1!$A$2:$B$25,2,0)</f>
        <v>1</v>
      </c>
    </row>
    <row r="317" customFormat="false" ht="15" hidden="false" customHeight="false" outlineLevel="0" collapsed="false">
      <c r="A317" s="13" t="n">
        <v>44568.5833333333</v>
      </c>
      <c r="B317" s="12" t="n">
        <v>601.436</v>
      </c>
      <c r="C317" s="0" t="n">
        <f aca="false">WEEKDAY(A317,2)</f>
        <v>5</v>
      </c>
      <c r="D317" s="0" t="n">
        <f aca="false">DAY(A317)</f>
        <v>7</v>
      </c>
      <c r="E317" s="0" t="n">
        <f aca="false">HOUR(A317)</f>
        <v>14</v>
      </c>
      <c r="F317" s="0" t="n">
        <f aca="false">IF(C317&gt;=6,0,1)</f>
        <v>1</v>
      </c>
      <c r="G317" s="0" t="n">
        <f aca="false">VLOOKUP(E317,Sheet1!$A$2:$B$25,2,0)</f>
        <v>1</v>
      </c>
    </row>
    <row r="318" customFormat="false" ht="15" hidden="false" customHeight="false" outlineLevel="0" collapsed="false">
      <c r="A318" s="13" t="n">
        <v>44568.6041666667</v>
      </c>
      <c r="B318" s="12" t="n">
        <v>349.196</v>
      </c>
      <c r="C318" s="0" t="n">
        <f aca="false">WEEKDAY(A318,2)</f>
        <v>5</v>
      </c>
      <c r="D318" s="0" t="n">
        <f aca="false">DAY(A318)</f>
        <v>7</v>
      </c>
      <c r="E318" s="0" t="n">
        <f aca="false">HOUR(A318)</f>
        <v>14</v>
      </c>
      <c r="F318" s="0" t="n">
        <f aca="false">IF(C318&gt;=6,0,1)</f>
        <v>1</v>
      </c>
      <c r="G318" s="0" t="n">
        <f aca="false">VLOOKUP(E318,Sheet1!$A$2:$B$25,2,0)</f>
        <v>1</v>
      </c>
    </row>
    <row r="319" customFormat="false" ht="15" hidden="false" customHeight="false" outlineLevel="0" collapsed="false">
      <c r="A319" s="13" t="n">
        <v>44568.625</v>
      </c>
      <c r="B319" s="12" t="n">
        <v>359.54</v>
      </c>
      <c r="C319" s="0" t="n">
        <f aca="false">WEEKDAY(A319,2)</f>
        <v>5</v>
      </c>
      <c r="D319" s="0" t="n">
        <f aca="false">DAY(A319)</f>
        <v>7</v>
      </c>
      <c r="E319" s="0" t="n">
        <f aca="false">HOUR(A319)</f>
        <v>15</v>
      </c>
      <c r="F319" s="0" t="n">
        <f aca="false">IF(C319&gt;=6,0,1)</f>
        <v>1</v>
      </c>
      <c r="G319" s="0" t="n">
        <f aca="false">VLOOKUP(E319,Sheet1!$A$2:$B$25,2,0)</f>
        <v>1</v>
      </c>
    </row>
    <row r="320" customFormat="false" ht="15" hidden="false" customHeight="false" outlineLevel="0" collapsed="false">
      <c r="A320" s="13" t="n">
        <v>44568.6458333333</v>
      </c>
      <c r="B320" s="12" t="n">
        <v>339.385</v>
      </c>
      <c r="C320" s="0" t="n">
        <f aca="false">WEEKDAY(A320,2)</f>
        <v>5</v>
      </c>
      <c r="D320" s="0" t="n">
        <f aca="false">DAY(A320)</f>
        <v>7</v>
      </c>
      <c r="E320" s="0" t="n">
        <f aca="false">HOUR(A320)</f>
        <v>15</v>
      </c>
      <c r="F320" s="0" t="n">
        <f aca="false">IF(C320&gt;=6,0,1)</f>
        <v>1</v>
      </c>
      <c r="G320" s="0" t="n">
        <f aca="false">VLOOKUP(E320,Sheet1!$A$2:$B$25,2,0)</f>
        <v>1</v>
      </c>
    </row>
    <row r="321" customFormat="false" ht="15" hidden="false" customHeight="false" outlineLevel="0" collapsed="false">
      <c r="A321" s="13" t="n">
        <v>44568.6666666667</v>
      </c>
      <c r="B321" s="12" t="n">
        <v>328.076</v>
      </c>
      <c r="C321" s="0" t="n">
        <f aca="false">WEEKDAY(A321,2)</f>
        <v>5</v>
      </c>
      <c r="D321" s="0" t="n">
        <f aca="false">DAY(A321)</f>
        <v>7</v>
      </c>
      <c r="E321" s="0" t="n">
        <f aca="false">HOUR(A321)</f>
        <v>16</v>
      </c>
      <c r="F321" s="0" t="n">
        <f aca="false">IF(C321&gt;=6,0,1)</f>
        <v>1</v>
      </c>
      <c r="G321" s="0" t="n">
        <f aca="false">VLOOKUP(E321,Sheet1!$A$2:$B$25,2,0)</f>
        <v>0</v>
      </c>
    </row>
    <row r="322" customFormat="false" ht="15" hidden="false" customHeight="false" outlineLevel="0" collapsed="false">
      <c r="A322" s="13" t="n">
        <v>44568.6875</v>
      </c>
      <c r="B322" s="12" t="n">
        <v>322.22</v>
      </c>
      <c r="C322" s="0" t="n">
        <f aca="false">WEEKDAY(A322,2)</f>
        <v>5</v>
      </c>
      <c r="D322" s="0" t="n">
        <f aca="false">DAY(A322)</f>
        <v>7</v>
      </c>
      <c r="E322" s="0" t="n">
        <f aca="false">HOUR(A322)</f>
        <v>16</v>
      </c>
      <c r="F322" s="0" t="n">
        <f aca="false">IF(C322&gt;=6,0,1)</f>
        <v>1</v>
      </c>
      <c r="G322" s="0" t="n">
        <f aca="false">VLOOKUP(E322,Sheet1!$A$2:$B$25,2,0)</f>
        <v>0</v>
      </c>
    </row>
    <row r="323" customFormat="false" ht="15" hidden="false" customHeight="false" outlineLevel="0" collapsed="false">
      <c r="A323" s="13" t="n">
        <v>44568.7083333333</v>
      </c>
      <c r="B323" s="12" t="n">
        <v>328.801</v>
      </c>
      <c r="C323" s="0" t="n">
        <f aca="false">WEEKDAY(A323,2)</f>
        <v>5</v>
      </c>
      <c r="D323" s="0" t="n">
        <f aca="false">DAY(A323)</f>
        <v>7</v>
      </c>
      <c r="E323" s="0" t="n">
        <f aca="false">HOUR(A323)</f>
        <v>17</v>
      </c>
      <c r="F323" s="0" t="n">
        <f aca="false">IF(C323&gt;=6,0,1)</f>
        <v>1</v>
      </c>
      <c r="G323" s="0" t="n">
        <f aca="false">VLOOKUP(E323,Sheet1!$A$2:$B$25,2,0)</f>
        <v>0</v>
      </c>
    </row>
    <row r="324" customFormat="false" ht="15" hidden="false" customHeight="false" outlineLevel="0" collapsed="false">
      <c r="A324" s="13" t="n">
        <v>44568.7291666667</v>
      </c>
      <c r="B324" s="12" t="n">
        <v>333.956</v>
      </c>
      <c r="C324" s="0" t="n">
        <f aca="false">WEEKDAY(A324,2)</f>
        <v>5</v>
      </c>
      <c r="D324" s="0" t="n">
        <f aca="false">DAY(A324)</f>
        <v>7</v>
      </c>
      <c r="E324" s="0" t="n">
        <f aca="false">HOUR(A324)</f>
        <v>17</v>
      </c>
      <c r="F324" s="0" t="n">
        <f aca="false">IF(C324&gt;=6,0,1)</f>
        <v>1</v>
      </c>
      <c r="G324" s="0" t="n">
        <f aca="false">VLOOKUP(E324,Sheet1!$A$2:$B$25,2,0)</f>
        <v>0</v>
      </c>
    </row>
    <row r="325" customFormat="false" ht="15" hidden="false" customHeight="false" outlineLevel="0" collapsed="false">
      <c r="A325" s="13" t="n">
        <v>44568.75</v>
      </c>
      <c r="B325" s="12" t="n">
        <v>312.98</v>
      </c>
      <c r="C325" s="0" t="n">
        <f aca="false">WEEKDAY(A325,2)</f>
        <v>5</v>
      </c>
      <c r="D325" s="0" t="n">
        <f aca="false">DAY(A325)</f>
        <v>7</v>
      </c>
      <c r="E325" s="0" t="n">
        <f aca="false">HOUR(A325)</f>
        <v>18</v>
      </c>
      <c r="F325" s="0" t="n">
        <f aca="false">IF(C325&gt;=6,0,1)</f>
        <v>1</v>
      </c>
      <c r="G325" s="0" t="n">
        <f aca="false">VLOOKUP(E325,Sheet1!$A$2:$B$25,2,0)</f>
        <v>0</v>
      </c>
    </row>
    <row r="326" customFormat="false" ht="15" hidden="false" customHeight="false" outlineLevel="0" collapsed="false">
      <c r="A326" s="13" t="n">
        <v>44568.7708333333</v>
      </c>
      <c r="B326" s="12" t="n">
        <v>323.156</v>
      </c>
      <c r="C326" s="0" t="n">
        <f aca="false">WEEKDAY(A326,2)</f>
        <v>5</v>
      </c>
      <c r="D326" s="0" t="n">
        <f aca="false">DAY(A326)</f>
        <v>7</v>
      </c>
      <c r="E326" s="0" t="n">
        <f aca="false">HOUR(A326)</f>
        <v>18</v>
      </c>
      <c r="F326" s="0" t="n">
        <f aca="false">IF(C326&gt;=6,0,1)</f>
        <v>1</v>
      </c>
      <c r="G326" s="0" t="n">
        <f aca="false">VLOOKUP(E326,Sheet1!$A$2:$B$25,2,0)</f>
        <v>0</v>
      </c>
    </row>
    <row r="327" customFormat="false" ht="15" hidden="false" customHeight="false" outlineLevel="0" collapsed="false">
      <c r="A327" s="13" t="n">
        <v>44568.7916666667</v>
      </c>
      <c r="B327" s="12" t="n">
        <v>304.676</v>
      </c>
      <c r="C327" s="0" t="n">
        <f aca="false">WEEKDAY(A327,2)</f>
        <v>5</v>
      </c>
      <c r="D327" s="0" t="n">
        <f aca="false">DAY(A327)</f>
        <v>7</v>
      </c>
      <c r="E327" s="0" t="n">
        <f aca="false">HOUR(A327)</f>
        <v>19</v>
      </c>
      <c r="F327" s="0" t="n">
        <f aca="false">IF(C327&gt;=6,0,1)</f>
        <v>1</v>
      </c>
      <c r="G327" s="0" t="n">
        <f aca="false">VLOOKUP(E327,Sheet1!$A$2:$B$25,2,0)</f>
        <v>0</v>
      </c>
    </row>
    <row r="328" customFormat="false" ht="15" hidden="false" customHeight="false" outlineLevel="0" collapsed="false">
      <c r="A328" s="13" t="n">
        <v>44568.8125</v>
      </c>
      <c r="B328" s="12" t="n">
        <v>297.745</v>
      </c>
      <c r="C328" s="0" t="n">
        <f aca="false">WEEKDAY(A328,2)</f>
        <v>5</v>
      </c>
      <c r="D328" s="0" t="n">
        <f aca="false">DAY(A328)</f>
        <v>7</v>
      </c>
      <c r="E328" s="0" t="n">
        <f aca="false">HOUR(A328)</f>
        <v>19</v>
      </c>
      <c r="F328" s="0" t="n">
        <f aca="false">IF(C328&gt;=6,0,1)</f>
        <v>1</v>
      </c>
      <c r="G328" s="0" t="n">
        <f aca="false">VLOOKUP(E328,Sheet1!$A$2:$B$25,2,0)</f>
        <v>0</v>
      </c>
    </row>
    <row r="329" customFormat="false" ht="15" hidden="false" customHeight="false" outlineLevel="0" collapsed="false">
      <c r="A329" s="13" t="n">
        <v>44568.8333333333</v>
      </c>
      <c r="B329" s="12" t="n">
        <v>303.716</v>
      </c>
      <c r="C329" s="0" t="n">
        <f aca="false">WEEKDAY(A329,2)</f>
        <v>5</v>
      </c>
      <c r="D329" s="0" t="n">
        <f aca="false">DAY(A329)</f>
        <v>7</v>
      </c>
      <c r="E329" s="0" t="n">
        <f aca="false">HOUR(A329)</f>
        <v>20</v>
      </c>
      <c r="F329" s="0" t="n">
        <f aca="false">IF(C329&gt;=6,0,1)</f>
        <v>1</v>
      </c>
      <c r="G329" s="0" t="n">
        <f aca="false">VLOOKUP(E329,Sheet1!$A$2:$B$25,2,0)</f>
        <v>0</v>
      </c>
    </row>
    <row r="330" customFormat="false" ht="15" hidden="false" customHeight="false" outlineLevel="0" collapsed="false">
      <c r="A330" s="13" t="n">
        <v>44568.8541666667</v>
      </c>
      <c r="B330" s="12" t="n">
        <v>300.02</v>
      </c>
      <c r="C330" s="0" t="n">
        <f aca="false">WEEKDAY(A330,2)</f>
        <v>5</v>
      </c>
      <c r="D330" s="0" t="n">
        <f aca="false">DAY(A330)</f>
        <v>7</v>
      </c>
      <c r="E330" s="0" t="n">
        <f aca="false">HOUR(A330)</f>
        <v>20</v>
      </c>
      <c r="F330" s="0" t="n">
        <f aca="false">IF(C330&gt;=6,0,1)</f>
        <v>1</v>
      </c>
      <c r="G330" s="0" t="n">
        <f aca="false">VLOOKUP(E330,Sheet1!$A$2:$B$25,2,0)</f>
        <v>0</v>
      </c>
    </row>
    <row r="331" customFormat="false" ht="15" hidden="false" customHeight="false" outlineLevel="0" collapsed="false">
      <c r="A331" s="13" t="n">
        <v>44568.875</v>
      </c>
      <c r="B331" s="12" t="n">
        <v>307.705</v>
      </c>
      <c r="C331" s="0" t="n">
        <f aca="false">WEEKDAY(A331,2)</f>
        <v>5</v>
      </c>
      <c r="D331" s="0" t="n">
        <f aca="false">DAY(A331)</f>
        <v>7</v>
      </c>
      <c r="E331" s="0" t="n">
        <f aca="false">HOUR(A331)</f>
        <v>21</v>
      </c>
      <c r="F331" s="0" t="n">
        <f aca="false">IF(C331&gt;=6,0,1)</f>
        <v>1</v>
      </c>
      <c r="G331" s="0" t="n">
        <f aca="false">VLOOKUP(E331,Sheet1!$A$2:$B$25,2,0)</f>
        <v>0</v>
      </c>
    </row>
    <row r="332" customFormat="false" ht="15" hidden="false" customHeight="false" outlineLevel="0" collapsed="false">
      <c r="A332" s="13" t="n">
        <v>44568.8958333333</v>
      </c>
      <c r="B332" s="12" t="n">
        <v>298.58</v>
      </c>
      <c r="C332" s="0" t="n">
        <f aca="false">WEEKDAY(A332,2)</f>
        <v>5</v>
      </c>
      <c r="D332" s="0" t="n">
        <f aca="false">DAY(A332)</f>
        <v>7</v>
      </c>
      <c r="E332" s="0" t="n">
        <f aca="false">HOUR(A332)</f>
        <v>21</v>
      </c>
      <c r="F332" s="0" t="n">
        <f aca="false">IF(C332&gt;=6,0,1)</f>
        <v>1</v>
      </c>
      <c r="G332" s="0" t="n">
        <f aca="false">VLOOKUP(E332,Sheet1!$A$2:$B$25,2,0)</f>
        <v>0</v>
      </c>
    </row>
    <row r="333" customFormat="false" ht="15" hidden="false" customHeight="false" outlineLevel="0" collapsed="false">
      <c r="A333" s="13" t="n">
        <v>44568.9166666667</v>
      </c>
      <c r="B333" s="12" t="n">
        <v>302.9</v>
      </c>
      <c r="C333" s="0" t="n">
        <f aca="false">WEEKDAY(A333,2)</f>
        <v>5</v>
      </c>
      <c r="D333" s="0" t="n">
        <f aca="false">DAY(A333)</f>
        <v>7</v>
      </c>
      <c r="E333" s="0" t="n">
        <f aca="false">HOUR(A333)</f>
        <v>22</v>
      </c>
      <c r="F333" s="0" t="n">
        <f aca="false">IF(C333&gt;=6,0,1)</f>
        <v>1</v>
      </c>
      <c r="G333" s="0" t="n">
        <f aca="false">VLOOKUP(E333,Sheet1!$A$2:$B$25,2,0)</f>
        <v>0</v>
      </c>
    </row>
    <row r="334" customFormat="false" ht="15" hidden="false" customHeight="false" outlineLevel="0" collapsed="false">
      <c r="A334" s="13" t="n">
        <v>44568.9375</v>
      </c>
      <c r="B334" s="12" t="n">
        <v>302.065</v>
      </c>
      <c r="C334" s="0" t="n">
        <f aca="false">WEEKDAY(A334,2)</f>
        <v>5</v>
      </c>
      <c r="D334" s="0" t="n">
        <f aca="false">DAY(A334)</f>
        <v>7</v>
      </c>
      <c r="E334" s="0" t="n">
        <f aca="false">HOUR(A334)</f>
        <v>22</v>
      </c>
      <c r="F334" s="0" t="n">
        <f aca="false">IF(C334&gt;=6,0,1)</f>
        <v>1</v>
      </c>
      <c r="G334" s="0" t="n">
        <f aca="false">VLOOKUP(E334,Sheet1!$A$2:$B$25,2,0)</f>
        <v>0</v>
      </c>
    </row>
    <row r="335" customFormat="false" ht="15" hidden="false" customHeight="false" outlineLevel="0" collapsed="false">
      <c r="A335" s="13" t="n">
        <v>44568.9583333333</v>
      </c>
      <c r="B335" s="12" t="n">
        <v>305.756</v>
      </c>
      <c r="C335" s="0" t="n">
        <f aca="false">WEEKDAY(A335,2)</f>
        <v>5</v>
      </c>
      <c r="D335" s="0" t="n">
        <f aca="false">DAY(A335)</f>
        <v>7</v>
      </c>
      <c r="E335" s="0" t="n">
        <f aca="false">HOUR(A335)</f>
        <v>23</v>
      </c>
      <c r="F335" s="0" t="n">
        <f aca="false">IF(C335&gt;=6,0,1)</f>
        <v>1</v>
      </c>
      <c r="G335" s="0" t="n">
        <f aca="false">VLOOKUP(E335,Sheet1!$A$2:$B$25,2,0)</f>
        <v>0</v>
      </c>
    </row>
    <row r="336" customFormat="false" ht="15" hidden="false" customHeight="false" outlineLevel="0" collapsed="false">
      <c r="A336" s="13" t="n">
        <v>44568.9791666667</v>
      </c>
      <c r="B336" s="12" t="n">
        <v>303.62</v>
      </c>
      <c r="C336" s="0" t="n">
        <f aca="false">WEEKDAY(A336,2)</f>
        <v>5</v>
      </c>
      <c r="D336" s="0" t="n">
        <f aca="false">DAY(A336)</f>
        <v>7</v>
      </c>
      <c r="E336" s="0" t="n">
        <f aca="false">HOUR(A336)</f>
        <v>23</v>
      </c>
      <c r="F336" s="0" t="n">
        <f aca="false">IF(C336&gt;=6,0,1)</f>
        <v>1</v>
      </c>
      <c r="G336" s="0" t="n">
        <f aca="false">VLOOKUP(E336,Sheet1!$A$2:$B$25,2,0)</f>
        <v>0</v>
      </c>
    </row>
    <row r="337" customFormat="false" ht="15" hidden="false" customHeight="false" outlineLevel="0" collapsed="false">
      <c r="A337" s="13" t="n">
        <v>44569</v>
      </c>
      <c r="B337" s="12" t="n">
        <v>299.185</v>
      </c>
      <c r="C337" s="0" t="n">
        <f aca="false">WEEKDAY(A337,2)</f>
        <v>6</v>
      </c>
      <c r="D337" s="0" t="n">
        <f aca="false">DAY(A337)</f>
        <v>8</v>
      </c>
      <c r="E337" s="0" t="n">
        <f aca="false">HOUR(A337)</f>
        <v>0</v>
      </c>
      <c r="F337" s="0" t="n">
        <f aca="false">IF(C337&gt;=6,0,1)</f>
        <v>0</v>
      </c>
      <c r="G337" s="0" t="n">
        <f aca="false">VLOOKUP(E337,Sheet1!$A$2:$B$25,2,0)</f>
        <v>0</v>
      </c>
    </row>
    <row r="338" customFormat="false" ht="15" hidden="false" customHeight="false" outlineLevel="0" collapsed="false">
      <c r="A338" s="13" t="n">
        <v>44569.0208333333</v>
      </c>
      <c r="B338" s="12" t="n">
        <v>304.46</v>
      </c>
      <c r="C338" s="0" t="n">
        <f aca="false">WEEKDAY(A338,2)</f>
        <v>6</v>
      </c>
      <c r="D338" s="0" t="n">
        <f aca="false">DAY(A338)</f>
        <v>8</v>
      </c>
      <c r="E338" s="0" t="n">
        <f aca="false">HOUR(A338)</f>
        <v>0</v>
      </c>
      <c r="F338" s="0" t="n">
        <f aca="false">IF(C338&gt;=6,0,1)</f>
        <v>0</v>
      </c>
      <c r="G338" s="0" t="n">
        <f aca="false">VLOOKUP(E338,Sheet1!$A$2:$B$25,2,0)</f>
        <v>0</v>
      </c>
    </row>
    <row r="339" customFormat="false" ht="15" hidden="false" customHeight="false" outlineLevel="0" collapsed="false">
      <c r="A339" s="13" t="n">
        <v>44569.0416666667</v>
      </c>
      <c r="B339" s="12" t="n">
        <v>298.921</v>
      </c>
      <c r="C339" s="0" t="n">
        <f aca="false">WEEKDAY(A339,2)</f>
        <v>6</v>
      </c>
      <c r="D339" s="0" t="n">
        <f aca="false">DAY(A339)</f>
        <v>8</v>
      </c>
      <c r="E339" s="0" t="n">
        <f aca="false">HOUR(A339)</f>
        <v>1</v>
      </c>
      <c r="F339" s="0" t="n">
        <f aca="false">IF(C339&gt;=6,0,1)</f>
        <v>0</v>
      </c>
      <c r="G339" s="0" t="n">
        <f aca="false">VLOOKUP(E339,Sheet1!$A$2:$B$25,2,0)</f>
        <v>0</v>
      </c>
    </row>
    <row r="340" customFormat="false" ht="15" hidden="false" customHeight="false" outlineLevel="0" collapsed="false">
      <c r="A340" s="13" t="n">
        <v>44569.0625</v>
      </c>
      <c r="B340" s="12" t="n">
        <v>300.716</v>
      </c>
      <c r="C340" s="0" t="n">
        <f aca="false">WEEKDAY(A340,2)</f>
        <v>6</v>
      </c>
      <c r="D340" s="0" t="n">
        <f aca="false">DAY(A340)</f>
        <v>8</v>
      </c>
      <c r="E340" s="0" t="n">
        <f aca="false">HOUR(A340)</f>
        <v>1</v>
      </c>
      <c r="F340" s="0" t="n">
        <f aca="false">IF(C340&gt;=6,0,1)</f>
        <v>0</v>
      </c>
      <c r="G340" s="0" t="n">
        <f aca="false">VLOOKUP(E340,Sheet1!$A$2:$B$25,2,0)</f>
        <v>0</v>
      </c>
    </row>
    <row r="341" customFormat="false" ht="15" hidden="false" customHeight="false" outlineLevel="0" collapsed="false">
      <c r="A341" s="13" t="n">
        <v>44569.0833333333</v>
      </c>
      <c r="B341" s="12" t="n">
        <v>300.236</v>
      </c>
      <c r="C341" s="0" t="n">
        <f aca="false">WEEKDAY(A341,2)</f>
        <v>6</v>
      </c>
      <c r="D341" s="0" t="n">
        <f aca="false">DAY(A341)</f>
        <v>8</v>
      </c>
      <c r="E341" s="0" t="n">
        <f aca="false">HOUR(A341)</f>
        <v>2</v>
      </c>
      <c r="F341" s="0" t="n">
        <f aca="false">IF(C341&gt;=6,0,1)</f>
        <v>0</v>
      </c>
      <c r="G341" s="0" t="n">
        <f aca="false">VLOOKUP(E341,Sheet1!$A$2:$B$25,2,0)</f>
        <v>0</v>
      </c>
    </row>
    <row r="342" customFormat="false" ht="15" hidden="false" customHeight="false" outlineLevel="0" collapsed="false">
      <c r="A342" s="13" t="n">
        <v>44569.1041666667</v>
      </c>
      <c r="B342" s="12" t="n">
        <v>295.58</v>
      </c>
      <c r="C342" s="0" t="n">
        <f aca="false">WEEKDAY(A342,2)</f>
        <v>6</v>
      </c>
      <c r="D342" s="0" t="n">
        <f aca="false">DAY(A342)</f>
        <v>8</v>
      </c>
      <c r="E342" s="0" t="n">
        <f aca="false">HOUR(A342)</f>
        <v>2</v>
      </c>
      <c r="F342" s="0" t="n">
        <f aca="false">IF(C342&gt;=6,0,1)</f>
        <v>0</v>
      </c>
      <c r="G342" s="0" t="n">
        <f aca="false">VLOOKUP(E342,Sheet1!$A$2:$B$25,2,0)</f>
        <v>0</v>
      </c>
    </row>
    <row r="343" customFormat="false" ht="15" hidden="false" customHeight="false" outlineLevel="0" collapsed="false">
      <c r="A343" s="13" t="n">
        <v>44569.125</v>
      </c>
      <c r="B343" s="12" t="n">
        <v>302.041</v>
      </c>
      <c r="C343" s="0" t="n">
        <f aca="false">WEEKDAY(A343,2)</f>
        <v>6</v>
      </c>
      <c r="D343" s="0" t="n">
        <f aca="false">DAY(A343)</f>
        <v>8</v>
      </c>
      <c r="E343" s="0" t="n">
        <f aca="false">HOUR(A343)</f>
        <v>3</v>
      </c>
      <c r="F343" s="0" t="n">
        <f aca="false">IF(C343&gt;=6,0,1)</f>
        <v>0</v>
      </c>
      <c r="G343" s="0" t="n">
        <f aca="false">VLOOKUP(E343,Sheet1!$A$2:$B$25,2,0)</f>
        <v>0</v>
      </c>
    </row>
    <row r="344" customFormat="false" ht="15" hidden="false" customHeight="false" outlineLevel="0" collapsed="false">
      <c r="A344" s="13" t="n">
        <v>44569.1458333333</v>
      </c>
      <c r="B344" s="12" t="n">
        <v>306.74</v>
      </c>
      <c r="C344" s="0" t="n">
        <f aca="false">WEEKDAY(A344,2)</f>
        <v>6</v>
      </c>
      <c r="D344" s="0" t="n">
        <f aca="false">DAY(A344)</f>
        <v>8</v>
      </c>
      <c r="E344" s="0" t="n">
        <f aca="false">HOUR(A344)</f>
        <v>3</v>
      </c>
      <c r="F344" s="0" t="n">
        <f aca="false">IF(C344&gt;=6,0,1)</f>
        <v>0</v>
      </c>
      <c r="G344" s="0" t="n">
        <f aca="false">VLOOKUP(E344,Sheet1!$A$2:$B$25,2,0)</f>
        <v>0</v>
      </c>
    </row>
    <row r="345" customFormat="false" ht="15" hidden="false" customHeight="false" outlineLevel="0" collapsed="false">
      <c r="A345" s="13" t="n">
        <v>44569.1666666667</v>
      </c>
      <c r="B345" s="12" t="n">
        <v>312.716</v>
      </c>
      <c r="C345" s="0" t="n">
        <f aca="false">WEEKDAY(A345,2)</f>
        <v>6</v>
      </c>
      <c r="D345" s="0" t="n">
        <f aca="false">DAY(A345)</f>
        <v>8</v>
      </c>
      <c r="E345" s="0" t="n">
        <f aca="false">HOUR(A345)</f>
        <v>4</v>
      </c>
      <c r="F345" s="0" t="n">
        <f aca="false">IF(C345&gt;=6,0,1)</f>
        <v>0</v>
      </c>
      <c r="G345" s="0" t="n">
        <f aca="false">VLOOKUP(E345,Sheet1!$A$2:$B$25,2,0)</f>
        <v>1</v>
      </c>
    </row>
    <row r="346" customFormat="false" ht="15" hidden="false" customHeight="false" outlineLevel="0" collapsed="false">
      <c r="A346" s="13" t="n">
        <v>44569.1875</v>
      </c>
      <c r="B346" s="12" t="n">
        <v>316.921</v>
      </c>
      <c r="C346" s="0" t="n">
        <f aca="false">WEEKDAY(A346,2)</f>
        <v>6</v>
      </c>
      <c r="D346" s="0" t="n">
        <f aca="false">DAY(A346)</f>
        <v>8</v>
      </c>
      <c r="E346" s="0" t="n">
        <f aca="false">HOUR(A346)</f>
        <v>4</v>
      </c>
      <c r="F346" s="0" t="n">
        <f aca="false">IF(C346&gt;=6,0,1)</f>
        <v>0</v>
      </c>
      <c r="G346" s="0" t="n">
        <f aca="false">VLOOKUP(E346,Sheet1!$A$2:$B$25,2,0)</f>
        <v>1</v>
      </c>
    </row>
    <row r="347" customFormat="false" ht="15" hidden="false" customHeight="false" outlineLevel="0" collapsed="false">
      <c r="A347" s="13" t="n">
        <v>44569.2083333333</v>
      </c>
      <c r="B347" s="12" t="n">
        <v>315.476</v>
      </c>
      <c r="C347" s="0" t="n">
        <f aca="false">WEEKDAY(A347,2)</f>
        <v>6</v>
      </c>
      <c r="D347" s="0" t="n">
        <f aca="false">DAY(A347)</f>
        <v>8</v>
      </c>
      <c r="E347" s="0" t="n">
        <f aca="false">HOUR(A347)</f>
        <v>5</v>
      </c>
      <c r="F347" s="0" t="n">
        <f aca="false">IF(C347&gt;=6,0,1)</f>
        <v>0</v>
      </c>
      <c r="G347" s="0" t="n">
        <f aca="false">VLOOKUP(E347,Sheet1!$A$2:$B$25,2,0)</f>
        <v>1</v>
      </c>
    </row>
    <row r="348" customFormat="false" ht="15" hidden="false" customHeight="false" outlineLevel="0" collapsed="false">
      <c r="A348" s="13" t="n">
        <v>44569.2291666667</v>
      </c>
      <c r="B348" s="12" t="n">
        <v>311.521</v>
      </c>
      <c r="C348" s="0" t="n">
        <f aca="false">WEEKDAY(A348,2)</f>
        <v>6</v>
      </c>
      <c r="D348" s="0" t="n">
        <f aca="false">DAY(A348)</f>
        <v>8</v>
      </c>
      <c r="E348" s="0" t="n">
        <f aca="false">HOUR(A348)</f>
        <v>5</v>
      </c>
      <c r="F348" s="0" t="n">
        <f aca="false">IF(C348&gt;=6,0,1)</f>
        <v>0</v>
      </c>
      <c r="G348" s="0" t="n">
        <f aca="false">VLOOKUP(E348,Sheet1!$A$2:$B$25,2,0)</f>
        <v>1</v>
      </c>
    </row>
    <row r="349" customFormat="false" ht="15" hidden="false" customHeight="false" outlineLevel="0" collapsed="false">
      <c r="A349" s="13" t="n">
        <v>44569.25</v>
      </c>
      <c r="B349" s="12" t="n">
        <v>313.436</v>
      </c>
      <c r="C349" s="0" t="n">
        <f aca="false">WEEKDAY(A349,2)</f>
        <v>6</v>
      </c>
      <c r="D349" s="0" t="n">
        <f aca="false">DAY(A349)</f>
        <v>8</v>
      </c>
      <c r="E349" s="0" t="n">
        <f aca="false">HOUR(A349)</f>
        <v>6</v>
      </c>
      <c r="F349" s="0" t="n">
        <f aca="false">IF(C349&gt;=6,0,1)</f>
        <v>0</v>
      </c>
      <c r="G349" s="0" t="n">
        <f aca="false">VLOOKUP(E349,Sheet1!$A$2:$B$25,2,0)</f>
        <v>1</v>
      </c>
    </row>
    <row r="350" customFormat="false" ht="15" hidden="false" customHeight="false" outlineLevel="0" collapsed="false">
      <c r="A350" s="13" t="n">
        <v>44569.2708333333</v>
      </c>
      <c r="B350" s="12" t="n">
        <v>318.716</v>
      </c>
      <c r="C350" s="0" t="n">
        <f aca="false">WEEKDAY(A350,2)</f>
        <v>6</v>
      </c>
      <c r="D350" s="0" t="n">
        <f aca="false">DAY(A350)</f>
        <v>8</v>
      </c>
      <c r="E350" s="0" t="n">
        <f aca="false">HOUR(A350)</f>
        <v>6</v>
      </c>
      <c r="F350" s="0" t="n">
        <f aca="false">IF(C350&gt;=6,0,1)</f>
        <v>0</v>
      </c>
      <c r="G350" s="0" t="n">
        <f aca="false">VLOOKUP(E350,Sheet1!$A$2:$B$25,2,0)</f>
        <v>1</v>
      </c>
    </row>
    <row r="351" customFormat="false" ht="15" hidden="false" customHeight="false" outlineLevel="0" collapsed="false">
      <c r="A351" s="13" t="n">
        <v>44569.2916666667</v>
      </c>
      <c r="B351" s="12" t="n">
        <v>324.596</v>
      </c>
      <c r="C351" s="0" t="n">
        <f aca="false">WEEKDAY(A351,2)</f>
        <v>6</v>
      </c>
      <c r="D351" s="0" t="n">
        <f aca="false">DAY(A351)</f>
        <v>8</v>
      </c>
      <c r="E351" s="0" t="n">
        <f aca="false">HOUR(A351)</f>
        <v>7</v>
      </c>
      <c r="F351" s="0" t="n">
        <f aca="false">IF(C351&gt;=6,0,1)</f>
        <v>0</v>
      </c>
      <c r="G351" s="0" t="n">
        <f aca="false">VLOOKUP(E351,Sheet1!$A$2:$B$25,2,0)</f>
        <v>1</v>
      </c>
    </row>
    <row r="352" customFormat="false" ht="15" hidden="false" customHeight="false" outlineLevel="0" collapsed="false">
      <c r="A352" s="13" t="n">
        <v>44569.3125</v>
      </c>
      <c r="B352" s="12" t="n">
        <v>334.94</v>
      </c>
      <c r="C352" s="0" t="n">
        <f aca="false">WEEKDAY(A352,2)</f>
        <v>6</v>
      </c>
      <c r="D352" s="0" t="n">
        <f aca="false">DAY(A352)</f>
        <v>8</v>
      </c>
      <c r="E352" s="0" t="n">
        <f aca="false">HOUR(A352)</f>
        <v>7</v>
      </c>
      <c r="F352" s="0" t="n">
        <f aca="false">IF(C352&gt;=6,0,1)</f>
        <v>0</v>
      </c>
      <c r="G352" s="0" t="n">
        <f aca="false">VLOOKUP(E352,Sheet1!$A$2:$B$25,2,0)</f>
        <v>1</v>
      </c>
    </row>
    <row r="353" customFormat="false" ht="15" hidden="false" customHeight="false" outlineLevel="0" collapsed="false">
      <c r="A353" s="13" t="n">
        <v>44569.3333333333</v>
      </c>
      <c r="B353" s="12" t="n">
        <v>324.265</v>
      </c>
      <c r="C353" s="0" t="n">
        <f aca="false">WEEKDAY(A353,2)</f>
        <v>6</v>
      </c>
      <c r="D353" s="0" t="n">
        <f aca="false">DAY(A353)</f>
        <v>8</v>
      </c>
      <c r="E353" s="0" t="n">
        <f aca="false">HOUR(A353)</f>
        <v>8</v>
      </c>
      <c r="F353" s="0" t="n">
        <f aca="false">IF(C353&gt;=6,0,1)</f>
        <v>0</v>
      </c>
      <c r="G353" s="0" t="n">
        <f aca="false">VLOOKUP(E353,Sheet1!$A$2:$B$25,2,0)</f>
        <v>1</v>
      </c>
    </row>
    <row r="354" customFormat="false" ht="15" hidden="false" customHeight="false" outlineLevel="0" collapsed="false">
      <c r="A354" s="13" t="n">
        <v>44569.3541666667</v>
      </c>
      <c r="B354" s="12" t="n">
        <v>308.06</v>
      </c>
      <c r="C354" s="0" t="n">
        <f aca="false">WEEKDAY(A354,2)</f>
        <v>6</v>
      </c>
      <c r="D354" s="0" t="n">
        <f aca="false">DAY(A354)</f>
        <v>8</v>
      </c>
      <c r="E354" s="0" t="n">
        <f aca="false">HOUR(A354)</f>
        <v>8</v>
      </c>
      <c r="F354" s="0" t="n">
        <f aca="false">IF(C354&gt;=6,0,1)</f>
        <v>0</v>
      </c>
      <c r="G354" s="0" t="n">
        <f aca="false">VLOOKUP(E354,Sheet1!$A$2:$B$25,2,0)</f>
        <v>1</v>
      </c>
    </row>
    <row r="355" customFormat="false" ht="15" hidden="false" customHeight="false" outlineLevel="0" collapsed="false">
      <c r="A355" s="13" t="n">
        <v>44569.375</v>
      </c>
      <c r="B355" s="12" t="n">
        <v>303.116</v>
      </c>
      <c r="C355" s="0" t="n">
        <f aca="false">WEEKDAY(A355,2)</f>
        <v>6</v>
      </c>
      <c r="D355" s="0" t="n">
        <f aca="false">DAY(A355)</f>
        <v>8</v>
      </c>
      <c r="E355" s="0" t="n">
        <f aca="false">HOUR(A355)</f>
        <v>9</v>
      </c>
      <c r="F355" s="0" t="n">
        <f aca="false">IF(C355&gt;=6,0,1)</f>
        <v>0</v>
      </c>
      <c r="G355" s="0" t="n">
        <f aca="false">VLOOKUP(E355,Sheet1!$A$2:$B$25,2,0)</f>
        <v>1</v>
      </c>
    </row>
    <row r="356" customFormat="false" ht="15" hidden="false" customHeight="false" outlineLevel="0" collapsed="false">
      <c r="A356" s="13" t="n">
        <v>44569.3958333333</v>
      </c>
      <c r="B356" s="12" t="n">
        <v>321.98</v>
      </c>
      <c r="C356" s="0" t="n">
        <f aca="false">WEEKDAY(A356,2)</f>
        <v>6</v>
      </c>
      <c r="D356" s="0" t="n">
        <f aca="false">DAY(A356)</f>
        <v>8</v>
      </c>
      <c r="E356" s="0" t="n">
        <f aca="false">HOUR(A356)</f>
        <v>9</v>
      </c>
      <c r="F356" s="0" t="n">
        <f aca="false">IF(C356&gt;=6,0,1)</f>
        <v>0</v>
      </c>
      <c r="G356" s="0" t="n">
        <f aca="false">VLOOKUP(E356,Sheet1!$A$2:$B$25,2,0)</f>
        <v>1</v>
      </c>
    </row>
    <row r="357" customFormat="false" ht="15" hidden="false" customHeight="false" outlineLevel="0" collapsed="false">
      <c r="A357" s="13" t="n">
        <v>44569.4166666667</v>
      </c>
      <c r="B357" s="12" t="n">
        <v>313.94</v>
      </c>
      <c r="C357" s="0" t="n">
        <f aca="false">WEEKDAY(A357,2)</f>
        <v>6</v>
      </c>
      <c r="D357" s="0" t="n">
        <f aca="false">DAY(A357)</f>
        <v>8</v>
      </c>
      <c r="E357" s="0" t="n">
        <f aca="false">HOUR(A357)</f>
        <v>10</v>
      </c>
      <c r="F357" s="0" t="n">
        <f aca="false">IF(C357&gt;=6,0,1)</f>
        <v>0</v>
      </c>
      <c r="G357" s="0" t="n">
        <f aca="false">VLOOKUP(E357,Sheet1!$A$2:$B$25,2,0)</f>
        <v>1</v>
      </c>
    </row>
    <row r="358" customFormat="false" ht="15" hidden="false" customHeight="false" outlineLevel="0" collapsed="false">
      <c r="A358" s="13" t="n">
        <v>44569.4375</v>
      </c>
      <c r="B358" s="12" t="n">
        <v>309.98</v>
      </c>
      <c r="C358" s="0" t="n">
        <f aca="false">WEEKDAY(A358,2)</f>
        <v>6</v>
      </c>
      <c r="D358" s="0" t="n">
        <f aca="false">DAY(A358)</f>
        <v>8</v>
      </c>
      <c r="E358" s="0" t="n">
        <f aca="false">HOUR(A358)</f>
        <v>10</v>
      </c>
      <c r="F358" s="0" t="n">
        <f aca="false">IF(C358&gt;=6,0,1)</f>
        <v>0</v>
      </c>
      <c r="G358" s="0" t="n">
        <f aca="false">VLOOKUP(E358,Sheet1!$A$2:$B$25,2,0)</f>
        <v>1</v>
      </c>
    </row>
    <row r="359" customFormat="false" ht="15" hidden="false" customHeight="false" outlineLevel="0" collapsed="false">
      <c r="A359" s="13" t="n">
        <v>44569.4583333333</v>
      </c>
      <c r="B359" s="12" t="n">
        <v>311.641</v>
      </c>
      <c r="C359" s="0" t="n">
        <f aca="false">WEEKDAY(A359,2)</f>
        <v>6</v>
      </c>
      <c r="D359" s="0" t="n">
        <f aca="false">DAY(A359)</f>
        <v>8</v>
      </c>
      <c r="E359" s="0" t="n">
        <f aca="false">HOUR(A359)</f>
        <v>11</v>
      </c>
      <c r="F359" s="0" t="n">
        <f aca="false">IF(C359&gt;=6,0,1)</f>
        <v>0</v>
      </c>
      <c r="G359" s="0" t="n">
        <f aca="false">VLOOKUP(E359,Sheet1!$A$2:$B$25,2,0)</f>
        <v>1</v>
      </c>
    </row>
    <row r="360" customFormat="false" ht="15" hidden="false" customHeight="false" outlineLevel="0" collapsed="false">
      <c r="A360" s="13" t="n">
        <v>44569.4791666667</v>
      </c>
      <c r="B360" s="12" t="n">
        <v>305.06</v>
      </c>
      <c r="C360" s="0" t="n">
        <f aca="false">WEEKDAY(A360,2)</f>
        <v>6</v>
      </c>
      <c r="D360" s="0" t="n">
        <f aca="false">DAY(A360)</f>
        <v>8</v>
      </c>
      <c r="E360" s="0" t="n">
        <f aca="false">HOUR(A360)</f>
        <v>11</v>
      </c>
      <c r="F360" s="0" t="n">
        <f aca="false">IF(C360&gt;=6,0,1)</f>
        <v>0</v>
      </c>
      <c r="G360" s="0" t="n">
        <f aca="false">VLOOKUP(E360,Sheet1!$A$2:$B$25,2,0)</f>
        <v>1</v>
      </c>
    </row>
    <row r="361" customFormat="false" ht="15" hidden="false" customHeight="false" outlineLevel="0" collapsed="false">
      <c r="A361" s="13" t="n">
        <v>44569.5</v>
      </c>
      <c r="B361" s="12" t="n">
        <v>294.956</v>
      </c>
      <c r="C361" s="0" t="n">
        <f aca="false">WEEKDAY(A361,2)</f>
        <v>6</v>
      </c>
      <c r="D361" s="0" t="n">
        <f aca="false">DAY(A361)</f>
        <v>8</v>
      </c>
      <c r="E361" s="0" t="n">
        <f aca="false">HOUR(A361)</f>
        <v>12</v>
      </c>
      <c r="F361" s="0" t="n">
        <f aca="false">IF(C361&gt;=6,0,1)</f>
        <v>0</v>
      </c>
      <c r="G361" s="0" t="n">
        <f aca="false">VLOOKUP(E361,Sheet1!$A$2:$B$25,2,0)</f>
        <v>1</v>
      </c>
    </row>
    <row r="362" customFormat="false" ht="15" hidden="false" customHeight="false" outlineLevel="0" collapsed="false">
      <c r="A362" s="13" t="n">
        <v>44569.5208333333</v>
      </c>
      <c r="B362" s="12" t="n">
        <v>291.14</v>
      </c>
      <c r="C362" s="0" t="n">
        <f aca="false">WEEKDAY(A362,2)</f>
        <v>6</v>
      </c>
      <c r="D362" s="0" t="n">
        <f aca="false">DAY(A362)</f>
        <v>8</v>
      </c>
      <c r="E362" s="0" t="n">
        <f aca="false">HOUR(A362)</f>
        <v>12</v>
      </c>
      <c r="F362" s="0" t="n">
        <f aca="false">IF(C362&gt;=6,0,1)</f>
        <v>0</v>
      </c>
      <c r="G362" s="0" t="n">
        <f aca="false">VLOOKUP(E362,Sheet1!$A$2:$B$25,2,0)</f>
        <v>1</v>
      </c>
    </row>
    <row r="363" customFormat="false" ht="15" hidden="false" customHeight="false" outlineLevel="0" collapsed="false">
      <c r="A363" s="13" t="n">
        <v>44569.5416666667</v>
      </c>
      <c r="B363" s="12" t="n">
        <v>297.265</v>
      </c>
      <c r="C363" s="0" t="n">
        <f aca="false">WEEKDAY(A363,2)</f>
        <v>6</v>
      </c>
      <c r="D363" s="0" t="n">
        <f aca="false">DAY(A363)</f>
        <v>8</v>
      </c>
      <c r="E363" s="0" t="n">
        <f aca="false">HOUR(A363)</f>
        <v>13</v>
      </c>
      <c r="F363" s="0" t="n">
        <f aca="false">IF(C363&gt;=6,0,1)</f>
        <v>0</v>
      </c>
      <c r="G363" s="0" t="n">
        <f aca="false">VLOOKUP(E363,Sheet1!$A$2:$B$25,2,0)</f>
        <v>1</v>
      </c>
    </row>
    <row r="364" customFormat="false" ht="15" hidden="false" customHeight="false" outlineLevel="0" collapsed="false">
      <c r="A364" s="13" t="n">
        <v>44569.5625</v>
      </c>
      <c r="B364" s="12" t="n">
        <v>304.82</v>
      </c>
      <c r="C364" s="0" t="n">
        <f aca="false">WEEKDAY(A364,2)</f>
        <v>6</v>
      </c>
      <c r="D364" s="0" t="n">
        <f aca="false">DAY(A364)</f>
        <v>8</v>
      </c>
      <c r="E364" s="0" t="n">
        <f aca="false">HOUR(A364)</f>
        <v>13</v>
      </c>
      <c r="F364" s="0" t="n">
        <f aca="false">IF(C364&gt;=6,0,1)</f>
        <v>0</v>
      </c>
      <c r="G364" s="0" t="n">
        <f aca="false">VLOOKUP(E364,Sheet1!$A$2:$B$25,2,0)</f>
        <v>1</v>
      </c>
    </row>
    <row r="365" customFormat="false" ht="15" hidden="false" customHeight="false" outlineLevel="0" collapsed="false">
      <c r="A365" s="13" t="n">
        <v>44569.5833333333</v>
      </c>
      <c r="B365" s="12" t="n">
        <v>301.676</v>
      </c>
      <c r="C365" s="0" t="n">
        <f aca="false">WEEKDAY(A365,2)</f>
        <v>6</v>
      </c>
      <c r="D365" s="0" t="n">
        <f aca="false">DAY(A365)</f>
        <v>8</v>
      </c>
      <c r="E365" s="0" t="n">
        <f aca="false">HOUR(A365)</f>
        <v>14</v>
      </c>
      <c r="F365" s="0" t="n">
        <f aca="false">IF(C365&gt;=6,0,1)</f>
        <v>0</v>
      </c>
      <c r="G365" s="0" t="n">
        <f aca="false">VLOOKUP(E365,Sheet1!$A$2:$B$25,2,0)</f>
        <v>1</v>
      </c>
    </row>
    <row r="366" customFormat="false" ht="15" hidden="false" customHeight="false" outlineLevel="0" collapsed="false">
      <c r="A366" s="13" t="n">
        <v>44569.6041666667</v>
      </c>
      <c r="B366" s="12" t="n">
        <v>300.956</v>
      </c>
      <c r="C366" s="0" t="n">
        <f aca="false">WEEKDAY(A366,2)</f>
        <v>6</v>
      </c>
      <c r="D366" s="0" t="n">
        <f aca="false">DAY(A366)</f>
        <v>8</v>
      </c>
      <c r="E366" s="0" t="n">
        <f aca="false">HOUR(A366)</f>
        <v>14</v>
      </c>
      <c r="F366" s="0" t="n">
        <f aca="false">IF(C366&gt;=6,0,1)</f>
        <v>0</v>
      </c>
      <c r="G366" s="0" t="n">
        <f aca="false">VLOOKUP(E366,Sheet1!$A$2:$B$25,2,0)</f>
        <v>1</v>
      </c>
    </row>
    <row r="367" customFormat="false" ht="15" hidden="false" customHeight="false" outlineLevel="0" collapsed="false">
      <c r="A367" s="13" t="n">
        <v>44569.625</v>
      </c>
      <c r="B367" s="12" t="n">
        <v>306.601</v>
      </c>
      <c r="C367" s="0" t="n">
        <f aca="false">WEEKDAY(A367,2)</f>
        <v>6</v>
      </c>
      <c r="D367" s="0" t="n">
        <f aca="false">DAY(A367)</f>
        <v>8</v>
      </c>
      <c r="E367" s="0" t="n">
        <f aca="false">HOUR(A367)</f>
        <v>15</v>
      </c>
      <c r="F367" s="0" t="n">
        <f aca="false">IF(C367&gt;=6,0,1)</f>
        <v>0</v>
      </c>
      <c r="G367" s="0" t="n">
        <f aca="false">VLOOKUP(E367,Sheet1!$A$2:$B$25,2,0)</f>
        <v>1</v>
      </c>
    </row>
    <row r="368" customFormat="false" ht="15" hidden="false" customHeight="false" outlineLevel="0" collapsed="false">
      <c r="A368" s="13" t="n">
        <v>44569.6458333333</v>
      </c>
      <c r="B368" s="12" t="n">
        <v>292.916</v>
      </c>
      <c r="C368" s="0" t="n">
        <f aca="false">WEEKDAY(A368,2)</f>
        <v>6</v>
      </c>
      <c r="D368" s="0" t="n">
        <f aca="false">DAY(A368)</f>
        <v>8</v>
      </c>
      <c r="E368" s="0" t="n">
        <f aca="false">HOUR(A368)</f>
        <v>15</v>
      </c>
      <c r="F368" s="0" t="n">
        <f aca="false">IF(C368&gt;=6,0,1)</f>
        <v>0</v>
      </c>
      <c r="G368" s="0" t="n">
        <f aca="false">VLOOKUP(E368,Sheet1!$A$2:$B$25,2,0)</f>
        <v>1</v>
      </c>
    </row>
    <row r="369" customFormat="false" ht="15" hidden="false" customHeight="false" outlineLevel="0" collapsed="false">
      <c r="A369" s="13" t="n">
        <v>44569.6666666667</v>
      </c>
      <c r="B369" s="12" t="n">
        <v>303.62</v>
      </c>
      <c r="C369" s="0" t="n">
        <f aca="false">WEEKDAY(A369,2)</f>
        <v>6</v>
      </c>
      <c r="D369" s="0" t="n">
        <f aca="false">DAY(A369)</f>
        <v>8</v>
      </c>
      <c r="E369" s="0" t="n">
        <f aca="false">HOUR(A369)</f>
        <v>16</v>
      </c>
      <c r="F369" s="0" t="n">
        <f aca="false">IF(C369&gt;=6,0,1)</f>
        <v>0</v>
      </c>
      <c r="G369" s="0" t="n">
        <f aca="false">VLOOKUP(E369,Sheet1!$A$2:$B$25,2,0)</f>
        <v>0</v>
      </c>
    </row>
    <row r="370" customFormat="false" ht="15" hidden="false" customHeight="false" outlineLevel="0" collapsed="false">
      <c r="A370" s="13" t="n">
        <v>44569.6875</v>
      </c>
      <c r="B370" s="12" t="n">
        <v>302.756</v>
      </c>
      <c r="C370" s="0" t="n">
        <f aca="false">WEEKDAY(A370,2)</f>
        <v>6</v>
      </c>
      <c r="D370" s="0" t="n">
        <f aca="false">DAY(A370)</f>
        <v>8</v>
      </c>
      <c r="E370" s="0" t="n">
        <f aca="false">HOUR(A370)</f>
        <v>16</v>
      </c>
      <c r="F370" s="0" t="n">
        <f aca="false">IF(C370&gt;=6,0,1)</f>
        <v>0</v>
      </c>
      <c r="G370" s="0" t="n">
        <f aca="false">VLOOKUP(E370,Sheet1!$A$2:$B$25,2,0)</f>
        <v>0</v>
      </c>
    </row>
    <row r="371" customFormat="false" ht="15" hidden="false" customHeight="false" outlineLevel="0" collapsed="false">
      <c r="A371" s="13" t="n">
        <v>44569.7083333333</v>
      </c>
      <c r="B371" s="12" t="n">
        <v>302.9</v>
      </c>
      <c r="C371" s="0" t="n">
        <f aca="false">WEEKDAY(A371,2)</f>
        <v>6</v>
      </c>
      <c r="D371" s="0" t="n">
        <f aca="false">DAY(A371)</f>
        <v>8</v>
      </c>
      <c r="E371" s="0" t="n">
        <f aca="false">HOUR(A371)</f>
        <v>17</v>
      </c>
      <c r="F371" s="0" t="n">
        <f aca="false">IF(C371&gt;=6,0,1)</f>
        <v>0</v>
      </c>
      <c r="G371" s="0" t="n">
        <f aca="false">VLOOKUP(E371,Sheet1!$A$2:$B$25,2,0)</f>
        <v>0</v>
      </c>
    </row>
    <row r="372" customFormat="false" ht="15" hidden="false" customHeight="false" outlineLevel="0" collapsed="false">
      <c r="A372" s="13" t="n">
        <v>44569.7291666667</v>
      </c>
      <c r="B372" s="12" t="n">
        <v>314.42</v>
      </c>
      <c r="C372" s="0" t="n">
        <f aca="false">WEEKDAY(A372,2)</f>
        <v>6</v>
      </c>
      <c r="D372" s="0" t="n">
        <f aca="false">DAY(A372)</f>
        <v>8</v>
      </c>
      <c r="E372" s="0" t="n">
        <f aca="false">HOUR(A372)</f>
        <v>17</v>
      </c>
      <c r="F372" s="0" t="n">
        <f aca="false">IF(C372&gt;=6,0,1)</f>
        <v>0</v>
      </c>
      <c r="G372" s="0" t="n">
        <f aca="false">VLOOKUP(E372,Sheet1!$A$2:$B$25,2,0)</f>
        <v>0</v>
      </c>
    </row>
    <row r="373" customFormat="false" ht="15" hidden="false" customHeight="false" outlineLevel="0" collapsed="false">
      <c r="A373" s="13" t="n">
        <v>44569.75</v>
      </c>
      <c r="B373" s="12" t="n">
        <v>313.801</v>
      </c>
      <c r="C373" s="0" t="n">
        <f aca="false">WEEKDAY(A373,2)</f>
        <v>6</v>
      </c>
      <c r="D373" s="0" t="n">
        <f aca="false">DAY(A373)</f>
        <v>8</v>
      </c>
      <c r="E373" s="0" t="n">
        <f aca="false">HOUR(A373)</f>
        <v>18</v>
      </c>
      <c r="F373" s="0" t="n">
        <f aca="false">IF(C373&gt;=6,0,1)</f>
        <v>0</v>
      </c>
      <c r="G373" s="0" t="n">
        <f aca="false">VLOOKUP(E373,Sheet1!$A$2:$B$25,2,0)</f>
        <v>0</v>
      </c>
    </row>
    <row r="374" customFormat="false" ht="15" hidden="false" customHeight="false" outlineLevel="0" collapsed="false">
      <c r="A374" s="13" t="n">
        <v>44569.7708333333</v>
      </c>
      <c r="B374" s="12" t="n">
        <v>304.916</v>
      </c>
      <c r="C374" s="0" t="n">
        <f aca="false">WEEKDAY(A374,2)</f>
        <v>6</v>
      </c>
      <c r="D374" s="0" t="n">
        <f aca="false">DAY(A374)</f>
        <v>8</v>
      </c>
      <c r="E374" s="0" t="n">
        <f aca="false">HOUR(A374)</f>
        <v>18</v>
      </c>
      <c r="F374" s="0" t="n">
        <f aca="false">IF(C374&gt;=6,0,1)</f>
        <v>0</v>
      </c>
      <c r="G374" s="0" t="n">
        <f aca="false">VLOOKUP(E374,Sheet1!$A$2:$B$25,2,0)</f>
        <v>0</v>
      </c>
    </row>
    <row r="375" customFormat="false" ht="15" hidden="false" customHeight="false" outlineLevel="0" collapsed="false">
      <c r="A375" s="13" t="n">
        <v>44569.7916666667</v>
      </c>
      <c r="B375" s="12" t="n">
        <v>298.796</v>
      </c>
      <c r="C375" s="0" t="n">
        <f aca="false">WEEKDAY(A375,2)</f>
        <v>6</v>
      </c>
      <c r="D375" s="0" t="n">
        <f aca="false">DAY(A375)</f>
        <v>8</v>
      </c>
      <c r="E375" s="0" t="n">
        <f aca="false">HOUR(A375)</f>
        <v>19</v>
      </c>
      <c r="F375" s="0" t="n">
        <f aca="false">IF(C375&gt;=6,0,1)</f>
        <v>0</v>
      </c>
      <c r="G375" s="0" t="n">
        <f aca="false">VLOOKUP(E375,Sheet1!$A$2:$B$25,2,0)</f>
        <v>0</v>
      </c>
    </row>
    <row r="376" customFormat="false" ht="15" hidden="false" customHeight="false" outlineLevel="0" collapsed="false">
      <c r="A376" s="13" t="n">
        <v>44569.8125</v>
      </c>
      <c r="B376" s="12" t="n">
        <v>303.02</v>
      </c>
      <c r="C376" s="0" t="n">
        <f aca="false">WEEKDAY(A376,2)</f>
        <v>6</v>
      </c>
      <c r="D376" s="0" t="n">
        <f aca="false">DAY(A376)</f>
        <v>8</v>
      </c>
      <c r="E376" s="0" t="n">
        <f aca="false">HOUR(A376)</f>
        <v>19</v>
      </c>
      <c r="F376" s="0" t="n">
        <f aca="false">IF(C376&gt;=6,0,1)</f>
        <v>0</v>
      </c>
      <c r="G376" s="0" t="n">
        <f aca="false">VLOOKUP(E376,Sheet1!$A$2:$B$25,2,0)</f>
        <v>0</v>
      </c>
    </row>
    <row r="377" customFormat="false" ht="15" hidden="false" customHeight="false" outlineLevel="0" collapsed="false">
      <c r="A377" s="13" t="n">
        <v>44569.8333333333</v>
      </c>
      <c r="B377" s="12" t="n">
        <v>301.561</v>
      </c>
      <c r="C377" s="0" t="n">
        <f aca="false">WEEKDAY(A377,2)</f>
        <v>6</v>
      </c>
      <c r="D377" s="0" t="n">
        <f aca="false">DAY(A377)</f>
        <v>8</v>
      </c>
      <c r="E377" s="0" t="n">
        <f aca="false">HOUR(A377)</f>
        <v>20</v>
      </c>
      <c r="F377" s="0" t="n">
        <f aca="false">IF(C377&gt;=6,0,1)</f>
        <v>0</v>
      </c>
      <c r="G377" s="0" t="n">
        <f aca="false">VLOOKUP(E377,Sheet1!$A$2:$B$25,2,0)</f>
        <v>0</v>
      </c>
    </row>
    <row r="378" customFormat="false" ht="15" hidden="false" customHeight="false" outlineLevel="0" collapsed="false">
      <c r="A378" s="13" t="n">
        <v>44569.8541666667</v>
      </c>
      <c r="B378" s="12" t="n">
        <v>299.516</v>
      </c>
      <c r="C378" s="0" t="n">
        <f aca="false">WEEKDAY(A378,2)</f>
        <v>6</v>
      </c>
      <c r="D378" s="0" t="n">
        <f aca="false">DAY(A378)</f>
        <v>8</v>
      </c>
      <c r="E378" s="0" t="n">
        <f aca="false">HOUR(A378)</f>
        <v>20</v>
      </c>
      <c r="F378" s="0" t="n">
        <f aca="false">IF(C378&gt;=6,0,1)</f>
        <v>0</v>
      </c>
      <c r="G378" s="0" t="n">
        <f aca="false">VLOOKUP(E378,Sheet1!$A$2:$B$25,2,0)</f>
        <v>0</v>
      </c>
    </row>
    <row r="379" customFormat="false" ht="15" hidden="false" customHeight="false" outlineLevel="0" collapsed="false">
      <c r="A379" s="13" t="n">
        <v>44569.875</v>
      </c>
      <c r="B379" s="12" t="n">
        <v>296.876</v>
      </c>
      <c r="C379" s="0" t="n">
        <f aca="false">WEEKDAY(A379,2)</f>
        <v>6</v>
      </c>
      <c r="D379" s="0" t="n">
        <f aca="false">DAY(A379)</f>
        <v>8</v>
      </c>
      <c r="E379" s="0" t="n">
        <f aca="false">HOUR(A379)</f>
        <v>21</v>
      </c>
      <c r="F379" s="0" t="n">
        <f aca="false">IF(C379&gt;=6,0,1)</f>
        <v>0</v>
      </c>
      <c r="G379" s="0" t="n">
        <f aca="false">VLOOKUP(E379,Sheet1!$A$2:$B$25,2,0)</f>
        <v>0</v>
      </c>
    </row>
    <row r="380" customFormat="false" ht="15" hidden="false" customHeight="false" outlineLevel="0" collapsed="false">
      <c r="A380" s="13" t="n">
        <v>44569.8958333333</v>
      </c>
      <c r="B380" s="12" t="n">
        <v>288.98</v>
      </c>
      <c r="C380" s="0" t="n">
        <f aca="false">WEEKDAY(A380,2)</f>
        <v>6</v>
      </c>
      <c r="D380" s="0" t="n">
        <f aca="false">DAY(A380)</f>
        <v>8</v>
      </c>
      <c r="E380" s="0" t="n">
        <f aca="false">HOUR(A380)</f>
        <v>21</v>
      </c>
      <c r="F380" s="0" t="n">
        <f aca="false">IF(C380&gt;=6,0,1)</f>
        <v>0</v>
      </c>
      <c r="G380" s="0" t="n">
        <f aca="false">VLOOKUP(E380,Sheet1!$A$2:$B$25,2,0)</f>
        <v>0</v>
      </c>
    </row>
    <row r="381" customFormat="false" ht="15" hidden="false" customHeight="false" outlineLevel="0" collapsed="false">
      <c r="A381" s="13" t="n">
        <v>44569.9166666667</v>
      </c>
      <c r="B381" s="12" t="n">
        <v>289.316</v>
      </c>
      <c r="C381" s="0" t="n">
        <f aca="false">WEEKDAY(A381,2)</f>
        <v>6</v>
      </c>
      <c r="D381" s="0" t="n">
        <f aca="false">DAY(A381)</f>
        <v>8</v>
      </c>
      <c r="E381" s="0" t="n">
        <f aca="false">HOUR(A381)</f>
        <v>22</v>
      </c>
      <c r="F381" s="0" t="n">
        <f aca="false">IF(C381&gt;=6,0,1)</f>
        <v>0</v>
      </c>
      <c r="G381" s="0" t="n">
        <f aca="false">VLOOKUP(E381,Sheet1!$A$2:$B$25,2,0)</f>
        <v>0</v>
      </c>
    </row>
    <row r="382" customFormat="false" ht="15" hidden="false" customHeight="false" outlineLevel="0" collapsed="false">
      <c r="A382" s="13" t="n">
        <v>44569.9375</v>
      </c>
      <c r="B382" s="12" t="n">
        <v>287.3</v>
      </c>
      <c r="C382" s="0" t="n">
        <f aca="false">WEEKDAY(A382,2)</f>
        <v>6</v>
      </c>
      <c r="D382" s="0" t="n">
        <f aca="false">DAY(A382)</f>
        <v>8</v>
      </c>
      <c r="E382" s="0" t="n">
        <f aca="false">HOUR(A382)</f>
        <v>22</v>
      </c>
      <c r="F382" s="0" t="n">
        <f aca="false">IF(C382&gt;=6,0,1)</f>
        <v>0</v>
      </c>
      <c r="G382" s="0" t="n">
        <f aca="false">VLOOKUP(E382,Sheet1!$A$2:$B$25,2,0)</f>
        <v>0</v>
      </c>
    </row>
    <row r="383" customFormat="false" ht="15" hidden="false" customHeight="false" outlineLevel="0" collapsed="false">
      <c r="A383" s="13" t="n">
        <v>44569.9583333333</v>
      </c>
      <c r="B383" s="12" t="n">
        <v>287.756</v>
      </c>
      <c r="C383" s="0" t="n">
        <f aca="false">WEEKDAY(A383,2)</f>
        <v>6</v>
      </c>
      <c r="D383" s="0" t="n">
        <f aca="false">DAY(A383)</f>
        <v>8</v>
      </c>
      <c r="E383" s="0" t="n">
        <f aca="false">HOUR(A383)</f>
        <v>23</v>
      </c>
      <c r="F383" s="0" t="n">
        <f aca="false">IF(C383&gt;=6,0,1)</f>
        <v>0</v>
      </c>
      <c r="G383" s="0" t="n">
        <f aca="false">VLOOKUP(E383,Sheet1!$A$2:$B$25,2,0)</f>
        <v>0</v>
      </c>
    </row>
    <row r="384" customFormat="false" ht="15" hidden="false" customHeight="false" outlineLevel="0" collapsed="false">
      <c r="A384" s="13" t="n">
        <v>44569.9791666667</v>
      </c>
      <c r="B384" s="12" t="n">
        <v>291.236</v>
      </c>
      <c r="C384" s="0" t="n">
        <f aca="false">WEEKDAY(A384,2)</f>
        <v>6</v>
      </c>
      <c r="D384" s="0" t="n">
        <f aca="false">DAY(A384)</f>
        <v>8</v>
      </c>
      <c r="E384" s="0" t="n">
        <f aca="false">HOUR(A384)</f>
        <v>23</v>
      </c>
      <c r="F384" s="0" t="n">
        <f aca="false">IF(C384&gt;=6,0,1)</f>
        <v>0</v>
      </c>
      <c r="G384" s="0" t="n">
        <f aca="false">VLOOKUP(E384,Sheet1!$A$2:$B$25,2,0)</f>
        <v>0</v>
      </c>
    </row>
    <row r="385" customFormat="false" ht="15" hidden="false" customHeight="false" outlineLevel="0" collapsed="false">
      <c r="A385" s="13" t="n">
        <v>44570</v>
      </c>
      <c r="B385" s="12" t="n">
        <v>288.956</v>
      </c>
      <c r="C385" s="0" t="n">
        <f aca="false">WEEKDAY(A385,2)</f>
        <v>7</v>
      </c>
      <c r="D385" s="0" t="n">
        <f aca="false">DAY(A385)</f>
        <v>9</v>
      </c>
      <c r="E385" s="0" t="n">
        <f aca="false">HOUR(A385)</f>
        <v>0</v>
      </c>
      <c r="F385" s="0" t="n">
        <f aca="false">IF(C385&gt;=6,0,1)</f>
        <v>0</v>
      </c>
      <c r="G385" s="0" t="n">
        <f aca="false">VLOOKUP(E385,Sheet1!$A$2:$B$25,2,0)</f>
        <v>0</v>
      </c>
    </row>
    <row r="386" customFormat="false" ht="15" hidden="false" customHeight="false" outlineLevel="0" collapsed="false">
      <c r="A386" s="13" t="n">
        <v>44570.0208333333</v>
      </c>
      <c r="B386" s="12" t="n">
        <v>295.081</v>
      </c>
      <c r="C386" s="0" t="n">
        <f aca="false">WEEKDAY(A386,2)</f>
        <v>7</v>
      </c>
      <c r="D386" s="0" t="n">
        <f aca="false">DAY(A386)</f>
        <v>9</v>
      </c>
      <c r="E386" s="0" t="n">
        <f aca="false">HOUR(A386)</f>
        <v>0</v>
      </c>
      <c r="F386" s="0" t="n">
        <f aca="false">IF(C386&gt;=6,0,1)</f>
        <v>0</v>
      </c>
      <c r="G386" s="0" t="n">
        <f aca="false">VLOOKUP(E386,Sheet1!$A$2:$B$25,2,0)</f>
        <v>0</v>
      </c>
    </row>
    <row r="387" customFormat="false" ht="15" hidden="false" customHeight="false" outlineLevel="0" collapsed="false">
      <c r="A387" s="13" t="n">
        <v>44570.0416666667</v>
      </c>
      <c r="B387" s="12" t="n">
        <v>292.196</v>
      </c>
      <c r="C387" s="0" t="n">
        <f aca="false">WEEKDAY(A387,2)</f>
        <v>7</v>
      </c>
      <c r="D387" s="0" t="n">
        <f aca="false">DAY(A387)</f>
        <v>9</v>
      </c>
      <c r="E387" s="0" t="n">
        <f aca="false">HOUR(A387)</f>
        <v>1</v>
      </c>
      <c r="F387" s="0" t="n">
        <f aca="false">IF(C387&gt;=6,0,1)</f>
        <v>0</v>
      </c>
      <c r="G387" s="0" t="n">
        <f aca="false">VLOOKUP(E387,Sheet1!$A$2:$B$25,2,0)</f>
        <v>0</v>
      </c>
    </row>
    <row r="388" customFormat="false" ht="15" hidden="false" customHeight="false" outlineLevel="0" collapsed="false">
      <c r="A388" s="13" t="n">
        <v>44570.0625</v>
      </c>
      <c r="B388" s="12" t="n">
        <v>290.66</v>
      </c>
      <c r="C388" s="0" t="n">
        <f aca="false">WEEKDAY(A388,2)</f>
        <v>7</v>
      </c>
      <c r="D388" s="0" t="n">
        <f aca="false">DAY(A388)</f>
        <v>9</v>
      </c>
      <c r="E388" s="0" t="n">
        <f aca="false">HOUR(A388)</f>
        <v>1</v>
      </c>
      <c r="F388" s="0" t="n">
        <f aca="false">IF(C388&gt;=6,0,1)</f>
        <v>0</v>
      </c>
      <c r="G388" s="0" t="n">
        <f aca="false">VLOOKUP(E388,Sheet1!$A$2:$B$25,2,0)</f>
        <v>0</v>
      </c>
    </row>
    <row r="389" customFormat="false" ht="15" hidden="false" customHeight="false" outlineLevel="0" collapsed="false">
      <c r="A389" s="13" t="n">
        <v>44570.0833333333</v>
      </c>
      <c r="B389" s="12" t="n">
        <v>288.476</v>
      </c>
      <c r="C389" s="0" t="n">
        <f aca="false">WEEKDAY(A389,2)</f>
        <v>7</v>
      </c>
      <c r="D389" s="0" t="n">
        <f aca="false">DAY(A389)</f>
        <v>9</v>
      </c>
      <c r="E389" s="0" t="n">
        <f aca="false">HOUR(A389)</f>
        <v>2</v>
      </c>
      <c r="F389" s="0" t="n">
        <f aca="false">IF(C389&gt;=6,0,1)</f>
        <v>0</v>
      </c>
      <c r="G389" s="0" t="n">
        <f aca="false">VLOOKUP(E389,Sheet1!$A$2:$B$25,2,0)</f>
        <v>0</v>
      </c>
    </row>
    <row r="390" customFormat="false" ht="15" hidden="false" customHeight="false" outlineLevel="0" collapsed="false">
      <c r="A390" s="13" t="n">
        <v>44570.1041666667</v>
      </c>
      <c r="B390" s="12" t="n">
        <v>289.316</v>
      </c>
      <c r="C390" s="0" t="n">
        <f aca="false">WEEKDAY(A390,2)</f>
        <v>7</v>
      </c>
      <c r="D390" s="0" t="n">
        <f aca="false">DAY(A390)</f>
        <v>9</v>
      </c>
      <c r="E390" s="0" t="n">
        <f aca="false">HOUR(A390)</f>
        <v>2</v>
      </c>
      <c r="F390" s="0" t="n">
        <f aca="false">IF(C390&gt;=6,0,1)</f>
        <v>0</v>
      </c>
      <c r="G390" s="0" t="n">
        <f aca="false">VLOOKUP(E390,Sheet1!$A$2:$B$25,2,0)</f>
        <v>0</v>
      </c>
    </row>
    <row r="391" customFormat="false" ht="15" hidden="false" customHeight="false" outlineLevel="0" collapsed="false">
      <c r="A391" s="13" t="n">
        <v>44570.125</v>
      </c>
      <c r="B391" s="12" t="n">
        <v>291.62</v>
      </c>
      <c r="C391" s="0" t="n">
        <f aca="false">WEEKDAY(A391,2)</f>
        <v>7</v>
      </c>
      <c r="D391" s="0" t="n">
        <f aca="false">DAY(A391)</f>
        <v>9</v>
      </c>
      <c r="E391" s="0" t="n">
        <f aca="false">HOUR(A391)</f>
        <v>3</v>
      </c>
      <c r="F391" s="0" t="n">
        <f aca="false">IF(C391&gt;=6,0,1)</f>
        <v>0</v>
      </c>
      <c r="G391" s="0" t="n">
        <f aca="false">VLOOKUP(E391,Sheet1!$A$2:$B$25,2,0)</f>
        <v>0</v>
      </c>
    </row>
    <row r="392" customFormat="false" ht="15" hidden="false" customHeight="false" outlineLevel="0" collapsed="false">
      <c r="A392" s="13" t="n">
        <v>44570.1458333333</v>
      </c>
      <c r="B392" s="12" t="n">
        <v>289.94</v>
      </c>
      <c r="C392" s="0" t="n">
        <f aca="false">WEEKDAY(A392,2)</f>
        <v>7</v>
      </c>
      <c r="D392" s="0" t="n">
        <f aca="false">DAY(A392)</f>
        <v>9</v>
      </c>
      <c r="E392" s="0" t="n">
        <f aca="false">HOUR(A392)</f>
        <v>3</v>
      </c>
      <c r="F392" s="0" t="n">
        <f aca="false">IF(C392&gt;=6,0,1)</f>
        <v>0</v>
      </c>
      <c r="G392" s="0" t="n">
        <f aca="false">VLOOKUP(E392,Sheet1!$A$2:$B$25,2,0)</f>
        <v>0</v>
      </c>
    </row>
    <row r="393" customFormat="false" ht="15" hidden="false" customHeight="false" outlineLevel="0" collapsed="false">
      <c r="A393" s="13" t="n">
        <v>44570.1666666667</v>
      </c>
      <c r="B393" s="12" t="n">
        <v>292.945</v>
      </c>
      <c r="C393" s="0" t="n">
        <f aca="false">WEEKDAY(A393,2)</f>
        <v>7</v>
      </c>
      <c r="D393" s="0" t="n">
        <f aca="false">DAY(A393)</f>
        <v>9</v>
      </c>
      <c r="E393" s="0" t="n">
        <f aca="false">HOUR(A393)</f>
        <v>4</v>
      </c>
      <c r="F393" s="0" t="n">
        <f aca="false">IF(C393&gt;=6,0,1)</f>
        <v>0</v>
      </c>
      <c r="G393" s="0" t="n">
        <f aca="false">VLOOKUP(E393,Sheet1!$A$2:$B$25,2,0)</f>
        <v>1</v>
      </c>
    </row>
    <row r="394" customFormat="false" ht="15" hidden="false" customHeight="false" outlineLevel="0" collapsed="false">
      <c r="A394" s="13" t="n">
        <v>44570.1875</v>
      </c>
      <c r="B394" s="12" t="n">
        <v>286.46</v>
      </c>
      <c r="C394" s="0" t="n">
        <f aca="false">WEEKDAY(A394,2)</f>
        <v>7</v>
      </c>
      <c r="D394" s="0" t="n">
        <f aca="false">DAY(A394)</f>
        <v>9</v>
      </c>
      <c r="E394" s="0" t="n">
        <f aca="false">HOUR(A394)</f>
        <v>4</v>
      </c>
      <c r="F394" s="0" t="n">
        <f aca="false">IF(C394&gt;=6,0,1)</f>
        <v>0</v>
      </c>
      <c r="G394" s="0" t="n">
        <f aca="false">VLOOKUP(E394,Sheet1!$A$2:$B$25,2,0)</f>
        <v>1</v>
      </c>
    </row>
    <row r="395" customFormat="false" ht="15" hidden="false" customHeight="false" outlineLevel="0" collapsed="false">
      <c r="A395" s="13" t="n">
        <v>44570.2083333333</v>
      </c>
      <c r="B395" s="12" t="n">
        <v>294.14</v>
      </c>
      <c r="C395" s="0" t="n">
        <f aca="false">WEEKDAY(A395,2)</f>
        <v>7</v>
      </c>
      <c r="D395" s="0" t="n">
        <f aca="false">DAY(A395)</f>
        <v>9</v>
      </c>
      <c r="E395" s="0" t="n">
        <f aca="false">HOUR(A395)</f>
        <v>5</v>
      </c>
      <c r="F395" s="0" t="n">
        <f aca="false">IF(C395&gt;=6,0,1)</f>
        <v>0</v>
      </c>
      <c r="G395" s="0" t="n">
        <f aca="false">VLOOKUP(E395,Sheet1!$A$2:$B$25,2,0)</f>
        <v>1</v>
      </c>
    </row>
    <row r="396" customFormat="false" ht="15" hidden="false" customHeight="false" outlineLevel="0" collapsed="false">
      <c r="A396" s="13" t="n">
        <v>44570.2291666667</v>
      </c>
      <c r="B396" s="12" t="n">
        <v>285.86</v>
      </c>
      <c r="C396" s="0" t="n">
        <f aca="false">WEEKDAY(A396,2)</f>
        <v>7</v>
      </c>
      <c r="D396" s="0" t="n">
        <f aca="false">DAY(A396)</f>
        <v>9</v>
      </c>
      <c r="E396" s="0" t="n">
        <f aca="false">HOUR(A396)</f>
        <v>5</v>
      </c>
      <c r="F396" s="0" t="n">
        <f aca="false">IF(C396&gt;=6,0,1)</f>
        <v>0</v>
      </c>
      <c r="G396" s="0" t="n">
        <f aca="false">VLOOKUP(E396,Sheet1!$A$2:$B$25,2,0)</f>
        <v>1</v>
      </c>
    </row>
    <row r="397" customFormat="false" ht="15" hidden="false" customHeight="false" outlineLevel="0" collapsed="false">
      <c r="A397" s="13" t="n">
        <v>44570.25</v>
      </c>
      <c r="B397" s="12" t="n">
        <v>289.1</v>
      </c>
      <c r="C397" s="0" t="n">
        <f aca="false">WEEKDAY(A397,2)</f>
        <v>7</v>
      </c>
      <c r="D397" s="0" t="n">
        <f aca="false">DAY(A397)</f>
        <v>9</v>
      </c>
      <c r="E397" s="0" t="n">
        <f aca="false">HOUR(A397)</f>
        <v>6</v>
      </c>
      <c r="F397" s="0" t="n">
        <f aca="false">IF(C397&gt;=6,0,1)</f>
        <v>0</v>
      </c>
      <c r="G397" s="0" t="n">
        <f aca="false">VLOOKUP(E397,Sheet1!$A$2:$B$25,2,0)</f>
        <v>1</v>
      </c>
    </row>
    <row r="398" customFormat="false" ht="15" hidden="false" customHeight="false" outlineLevel="0" collapsed="false">
      <c r="A398" s="13" t="n">
        <v>44570.2708333333</v>
      </c>
      <c r="B398" s="12" t="n">
        <v>288.02</v>
      </c>
      <c r="C398" s="0" t="n">
        <f aca="false">WEEKDAY(A398,2)</f>
        <v>7</v>
      </c>
      <c r="D398" s="0" t="n">
        <f aca="false">DAY(A398)</f>
        <v>9</v>
      </c>
      <c r="E398" s="0" t="n">
        <f aca="false">HOUR(A398)</f>
        <v>6</v>
      </c>
      <c r="F398" s="0" t="n">
        <f aca="false">IF(C398&gt;=6,0,1)</f>
        <v>0</v>
      </c>
      <c r="G398" s="0" t="n">
        <f aca="false">VLOOKUP(E398,Sheet1!$A$2:$B$25,2,0)</f>
        <v>1</v>
      </c>
    </row>
    <row r="399" customFormat="false" ht="15" hidden="false" customHeight="false" outlineLevel="0" collapsed="false">
      <c r="A399" s="13" t="n">
        <v>44570.2916666667</v>
      </c>
      <c r="B399" s="12" t="n">
        <v>287.785</v>
      </c>
      <c r="C399" s="0" t="n">
        <f aca="false">WEEKDAY(A399,2)</f>
        <v>7</v>
      </c>
      <c r="D399" s="0" t="n">
        <f aca="false">DAY(A399)</f>
        <v>9</v>
      </c>
      <c r="E399" s="0" t="n">
        <f aca="false">HOUR(A399)</f>
        <v>7</v>
      </c>
      <c r="F399" s="0" t="n">
        <f aca="false">IF(C399&gt;=6,0,1)</f>
        <v>0</v>
      </c>
      <c r="G399" s="0" t="n">
        <f aca="false">VLOOKUP(E399,Sheet1!$A$2:$B$25,2,0)</f>
        <v>1</v>
      </c>
    </row>
    <row r="400" customFormat="false" ht="15" hidden="false" customHeight="false" outlineLevel="0" collapsed="false">
      <c r="A400" s="13" t="n">
        <v>44570.3125</v>
      </c>
      <c r="B400" s="12" t="n">
        <v>288.236</v>
      </c>
      <c r="C400" s="0" t="n">
        <f aca="false">WEEKDAY(A400,2)</f>
        <v>7</v>
      </c>
      <c r="D400" s="0" t="n">
        <f aca="false">DAY(A400)</f>
        <v>9</v>
      </c>
      <c r="E400" s="0" t="n">
        <f aca="false">HOUR(A400)</f>
        <v>7</v>
      </c>
      <c r="F400" s="0" t="n">
        <f aca="false">IF(C400&gt;=6,0,1)</f>
        <v>0</v>
      </c>
      <c r="G400" s="0" t="n">
        <f aca="false">VLOOKUP(E400,Sheet1!$A$2:$B$25,2,0)</f>
        <v>1</v>
      </c>
    </row>
    <row r="401" customFormat="false" ht="15" hidden="false" customHeight="false" outlineLevel="0" collapsed="false">
      <c r="A401" s="13" t="n">
        <v>44570.3333333333</v>
      </c>
      <c r="B401" s="12" t="n">
        <v>281.516</v>
      </c>
      <c r="C401" s="0" t="n">
        <f aca="false">WEEKDAY(A401,2)</f>
        <v>7</v>
      </c>
      <c r="D401" s="0" t="n">
        <f aca="false">DAY(A401)</f>
        <v>9</v>
      </c>
      <c r="E401" s="0" t="n">
        <f aca="false">HOUR(A401)</f>
        <v>8</v>
      </c>
      <c r="F401" s="0" t="n">
        <f aca="false">IF(C401&gt;=6,0,1)</f>
        <v>0</v>
      </c>
      <c r="G401" s="0" t="n">
        <f aca="false">VLOOKUP(E401,Sheet1!$A$2:$B$25,2,0)</f>
        <v>1</v>
      </c>
    </row>
    <row r="402" customFormat="false" ht="15" hidden="false" customHeight="false" outlineLevel="0" collapsed="false">
      <c r="A402" s="13" t="n">
        <v>44570.3541666667</v>
      </c>
      <c r="B402" s="12" t="n">
        <v>274.916</v>
      </c>
      <c r="C402" s="0" t="n">
        <f aca="false">WEEKDAY(A402,2)</f>
        <v>7</v>
      </c>
      <c r="D402" s="0" t="n">
        <f aca="false">DAY(A402)</f>
        <v>9</v>
      </c>
      <c r="E402" s="0" t="n">
        <f aca="false">HOUR(A402)</f>
        <v>8</v>
      </c>
      <c r="F402" s="0" t="n">
        <f aca="false">IF(C402&gt;=6,0,1)</f>
        <v>0</v>
      </c>
      <c r="G402" s="0" t="n">
        <f aca="false">VLOOKUP(E402,Sheet1!$A$2:$B$25,2,0)</f>
        <v>1</v>
      </c>
    </row>
    <row r="403" customFormat="false" ht="15" hidden="false" customHeight="false" outlineLevel="0" collapsed="false">
      <c r="A403" s="13" t="n">
        <v>44570.375</v>
      </c>
      <c r="B403" s="12" t="n">
        <v>277.94</v>
      </c>
      <c r="C403" s="0" t="n">
        <f aca="false">WEEKDAY(A403,2)</f>
        <v>7</v>
      </c>
      <c r="D403" s="0" t="n">
        <f aca="false">DAY(A403)</f>
        <v>9</v>
      </c>
      <c r="E403" s="0" t="n">
        <f aca="false">HOUR(A403)</f>
        <v>9</v>
      </c>
      <c r="F403" s="0" t="n">
        <f aca="false">IF(C403&gt;=6,0,1)</f>
        <v>0</v>
      </c>
      <c r="G403" s="0" t="n">
        <f aca="false">VLOOKUP(E403,Sheet1!$A$2:$B$25,2,0)</f>
        <v>1</v>
      </c>
    </row>
    <row r="404" customFormat="false" ht="15" hidden="false" customHeight="false" outlineLevel="0" collapsed="false">
      <c r="A404" s="13" t="n">
        <v>44570.3958333333</v>
      </c>
      <c r="B404" s="12" t="n">
        <v>277.1</v>
      </c>
      <c r="C404" s="0" t="n">
        <f aca="false">WEEKDAY(A404,2)</f>
        <v>7</v>
      </c>
      <c r="D404" s="0" t="n">
        <f aca="false">DAY(A404)</f>
        <v>9</v>
      </c>
      <c r="E404" s="0" t="n">
        <f aca="false">HOUR(A404)</f>
        <v>9</v>
      </c>
      <c r="F404" s="0" t="n">
        <f aca="false">IF(C404&gt;=6,0,1)</f>
        <v>0</v>
      </c>
      <c r="G404" s="0" t="n">
        <f aca="false">VLOOKUP(E404,Sheet1!$A$2:$B$25,2,0)</f>
        <v>1</v>
      </c>
    </row>
    <row r="405" customFormat="false" ht="15" hidden="false" customHeight="false" outlineLevel="0" collapsed="false">
      <c r="A405" s="13" t="n">
        <v>44570.4166666667</v>
      </c>
      <c r="B405" s="12" t="n">
        <v>280.585</v>
      </c>
      <c r="C405" s="0" t="n">
        <f aca="false">WEEKDAY(A405,2)</f>
        <v>7</v>
      </c>
      <c r="D405" s="0" t="n">
        <f aca="false">DAY(A405)</f>
        <v>9</v>
      </c>
      <c r="E405" s="0" t="n">
        <f aca="false">HOUR(A405)</f>
        <v>10</v>
      </c>
      <c r="F405" s="0" t="n">
        <f aca="false">IF(C405&gt;=6,0,1)</f>
        <v>0</v>
      </c>
      <c r="G405" s="0" t="n">
        <f aca="false">VLOOKUP(E405,Sheet1!$A$2:$B$25,2,0)</f>
        <v>1</v>
      </c>
    </row>
    <row r="406" customFormat="false" ht="15" hidden="false" customHeight="false" outlineLevel="0" collapsed="false">
      <c r="A406" s="13" t="n">
        <v>44570.4375</v>
      </c>
      <c r="B406" s="12" t="n">
        <v>276.14</v>
      </c>
      <c r="C406" s="0" t="n">
        <f aca="false">WEEKDAY(A406,2)</f>
        <v>7</v>
      </c>
      <c r="D406" s="0" t="n">
        <f aca="false">DAY(A406)</f>
        <v>9</v>
      </c>
      <c r="E406" s="0" t="n">
        <f aca="false">HOUR(A406)</f>
        <v>10</v>
      </c>
      <c r="F406" s="0" t="n">
        <f aca="false">IF(C406&gt;=6,0,1)</f>
        <v>0</v>
      </c>
      <c r="G406" s="0" t="n">
        <f aca="false">VLOOKUP(E406,Sheet1!$A$2:$B$25,2,0)</f>
        <v>1</v>
      </c>
    </row>
    <row r="407" customFormat="false" ht="15" hidden="false" customHeight="false" outlineLevel="0" collapsed="false">
      <c r="A407" s="13" t="n">
        <v>44570.4583333333</v>
      </c>
      <c r="B407" s="12" t="n">
        <v>280.34</v>
      </c>
      <c r="C407" s="0" t="n">
        <f aca="false">WEEKDAY(A407,2)</f>
        <v>7</v>
      </c>
      <c r="D407" s="0" t="n">
        <f aca="false">DAY(A407)</f>
        <v>9</v>
      </c>
      <c r="E407" s="0" t="n">
        <f aca="false">HOUR(A407)</f>
        <v>11</v>
      </c>
      <c r="F407" s="0" t="n">
        <f aca="false">IF(C407&gt;=6,0,1)</f>
        <v>0</v>
      </c>
      <c r="G407" s="0" t="n">
        <f aca="false">VLOOKUP(E407,Sheet1!$A$2:$B$25,2,0)</f>
        <v>1</v>
      </c>
    </row>
    <row r="408" customFormat="false" ht="15" hidden="false" customHeight="false" outlineLevel="0" collapsed="false">
      <c r="A408" s="13" t="n">
        <v>44570.4791666667</v>
      </c>
      <c r="B408" s="12" t="n">
        <v>278.66</v>
      </c>
      <c r="C408" s="0" t="n">
        <f aca="false">WEEKDAY(A408,2)</f>
        <v>7</v>
      </c>
      <c r="D408" s="0" t="n">
        <f aca="false">DAY(A408)</f>
        <v>9</v>
      </c>
      <c r="E408" s="0" t="n">
        <f aca="false">HOUR(A408)</f>
        <v>11</v>
      </c>
      <c r="F408" s="0" t="n">
        <f aca="false">IF(C408&gt;=6,0,1)</f>
        <v>0</v>
      </c>
      <c r="G408" s="0" t="n">
        <f aca="false">VLOOKUP(E408,Sheet1!$A$2:$B$25,2,0)</f>
        <v>1</v>
      </c>
    </row>
    <row r="409" customFormat="false" ht="15" hidden="false" customHeight="false" outlineLevel="0" collapsed="false">
      <c r="A409" s="13" t="n">
        <v>44570.5</v>
      </c>
      <c r="B409" s="12" t="n">
        <v>283.796</v>
      </c>
      <c r="C409" s="0" t="n">
        <f aca="false">WEEKDAY(A409,2)</f>
        <v>7</v>
      </c>
      <c r="D409" s="0" t="n">
        <f aca="false">DAY(A409)</f>
        <v>9</v>
      </c>
      <c r="E409" s="0" t="n">
        <f aca="false">HOUR(A409)</f>
        <v>12</v>
      </c>
      <c r="F409" s="0" t="n">
        <f aca="false">IF(C409&gt;=6,0,1)</f>
        <v>0</v>
      </c>
      <c r="G409" s="0" t="n">
        <f aca="false">VLOOKUP(E409,Sheet1!$A$2:$B$25,2,0)</f>
        <v>1</v>
      </c>
    </row>
    <row r="410" customFormat="false" ht="15" hidden="false" customHeight="false" outlineLevel="0" collapsed="false">
      <c r="A410" s="13" t="n">
        <v>44570.5208333333</v>
      </c>
      <c r="B410" s="12" t="n">
        <v>275.761</v>
      </c>
      <c r="C410" s="0" t="n">
        <f aca="false">WEEKDAY(A410,2)</f>
        <v>7</v>
      </c>
      <c r="D410" s="0" t="n">
        <f aca="false">DAY(A410)</f>
        <v>9</v>
      </c>
      <c r="E410" s="0" t="n">
        <f aca="false">HOUR(A410)</f>
        <v>12</v>
      </c>
      <c r="F410" s="0" t="n">
        <f aca="false">IF(C410&gt;=6,0,1)</f>
        <v>0</v>
      </c>
      <c r="G410" s="0" t="n">
        <f aca="false">VLOOKUP(E410,Sheet1!$A$2:$B$25,2,0)</f>
        <v>1</v>
      </c>
    </row>
    <row r="411" customFormat="false" ht="15" hidden="false" customHeight="false" outlineLevel="0" collapsed="false">
      <c r="A411" s="13" t="n">
        <v>44570.5416666667</v>
      </c>
      <c r="B411" s="12" t="n">
        <v>278.156</v>
      </c>
      <c r="C411" s="0" t="n">
        <f aca="false">WEEKDAY(A411,2)</f>
        <v>7</v>
      </c>
      <c r="D411" s="0" t="n">
        <f aca="false">DAY(A411)</f>
        <v>9</v>
      </c>
      <c r="E411" s="0" t="n">
        <f aca="false">HOUR(A411)</f>
        <v>13</v>
      </c>
      <c r="F411" s="0" t="n">
        <f aca="false">IF(C411&gt;=6,0,1)</f>
        <v>0</v>
      </c>
      <c r="G411" s="0" t="n">
        <f aca="false">VLOOKUP(E411,Sheet1!$A$2:$B$25,2,0)</f>
        <v>1</v>
      </c>
    </row>
    <row r="412" customFormat="false" ht="15" hidden="false" customHeight="false" outlineLevel="0" collapsed="false">
      <c r="A412" s="13" t="n">
        <v>44570.5625</v>
      </c>
      <c r="B412" s="12" t="n">
        <v>282.86</v>
      </c>
      <c r="C412" s="0" t="n">
        <f aca="false">WEEKDAY(A412,2)</f>
        <v>7</v>
      </c>
      <c r="D412" s="0" t="n">
        <f aca="false">DAY(A412)</f>
        <v>9</v>
      </c>
      <c r="E412" s="0" t="n">
        <f aca="false">HOUR(A412)</f>
        <v>13</v>
      </c>
      <c r="F412" s="0" t="n">
        <f aca="false">IF(C412&gt;=6,0,1)</f>
        <v>0</v>
      </c>
      <c r="G412" s="0" t="n">
        <f aca="false">VLOOKUP(E412,Sheet1!$A$2:$B$25,2,0)</f>
        <v>1</v>
      </c>
    </row>
    <row r="413" customFormat="false" ht="15" hidden="false" customHeight="false" outlineLevel="0" collapsed="false">
      <c r="A413" s="13" t="n">
        <v>44570.5833333333</v>
      </c>
      <c r="B413" s="12" t="n">
        <v>283.225</v>
      </c>
      <c r="C413" s="0" t="n">
        <f aca="false">WEEKDAY(A413,2)</f>
        <v>7</v>
      </c>
      <c r="D413" s="0" t="n">
        <f aca="false">DAY(A413)</f>
        <v>9</v>
      </c>
      <c r="E413" s="0" t="n">
        <f aca="false">HOUR(A413)</f>
        <v>14</v>
      </c>
      <c r="F413" s="0" t="n">
        <f aca="false">IF(C413&gt;=6,0,1)</f>
        <v>0</v>
      </c>
      <c r="G413" s="0" t="n">
        <f aca="false">VLOOKUP(E413,Sheet1!$A$2:$B$25,2,0)</f>
        <v>1</v>
      </c>
    </row>
    <row r="414" customFormat="false" ht="15" hidden="false" customHeight="false" outlineLevel="0" collapsed="false">
      <c r="A414" s="13" t="n">
        <v>44570.6041666667</v>
      </c>
      <c r="B414" s="12" t="n">
        <v>287.636</v>
      </c>
      <c r="C414" s="0" t="n">
        <f aca="false">WEEKDAY(A414,2)</f>
        <v>7</v>
      </c>
      <c r="D414" s="0" t="n">
        <f aca="false">DAY(A414)</f>
        <v>9</v>
      </c>
      <c r="E414" s="0" t="n">
        <f aca="false">HOUR(A414)</f>
        <v>14</v>
      </c>
      <c r="F414" s="0" t="n">
        <f aca="false">IF(C414&gt;=6,0,1)</f>
        <v>0</v>
      </c>
      <c r="G414" s="0" t="n">
        <f aca="false">VLOOKUP(E414,Sheet1!$A$2:$B$25,2,0)</f>
        <v>1</v>
      </c>
    </row>
    <row r="415" customFormat="false" ht="15" hidden="false" customHeight="false" outlineLevel="0" collapsed="false">
      <c r="A415" s="13" t="n">
        <v>44570.625</v>
      </c>
      <c r="B415" s="12" t="n">
        <v>284.42</v>
      </c>
      <c r="C415" s="0" t="n">
        <f aca="false">WEEKDAY(A415,2)</f>
        <v>7</v>
      </c>
      <c r="D415" s="0" t="n">
        <f aca="false">DAY(A415)</f>
        <v>9</v>
      </c>
      <c r="E415" s="0" t="n">
        <f aca="false">HOUR(A415)</f>
        <v>15</v>
      </c>
      <c r="F415" s="0" t="n">
        <f aca="false">IF(C415&gt;=6,0,1)</f>
        <v>0</v>
      </c>
      <c r="G415" s="0" t="n">
        <f aca="false">VLOOKUP(E415,Sheet1!$A$2:$B$25,2,0)</f>
        <v>1</v>
      </c>
    </row>
    <row r="416" customFormat="false" ht="15" hidden="false" customHeight="false" outlineLevel="0" collapsed="false">
      <c r="A416" s="13" t="n">
        <v>44570.6458333333</v>
      </c>
      <c r="B416" s="12" t="n">
        <v>285.745</v>
      </c>
      <c r="C416" s="0" t="n">
        <f aca="false">WEEKDAY(A416,2)</f>
        <v>7</v>
      </c>
      <c r="D416" s="0" t="n">
        <f aca="false">DAY(A416)</f>
        <v>9</v>
      </c>
      <c r="E416" s="0" t="n">
        <f aca="false">HOUR(A416)</f>
        <v>15</v>
      </c>
      <c r="F416" s="0" t="n">
        <f aca="false">IF(C416&gt;=6,0,1)</f>
        <v>0</v>
      </c>
      <c r="G416" s="0" t="n">
        <f aca="false">VLOOKUP(E416,Sheet1!$A$2:$B$25,2,0)</f>
        <v>1</v>
      </c>
    </row>
    <row r="417" customFormat="false" ht="15" hidden="false" customHeight="false" outlineLevel="0" collapsed="false">
      <c r="A417" s="13" t="n">
        <v>44570.6666666667</v>
      </c>
      <c r="B417" s="12" t="n">
        <v>286.076</v>
      </c>
      <c r="C417" s="0" t="n">
        <f aca="false">WEEKDAY(A417,2)</f>
        <v>7</v>
      </c>
      <c r="D417" s="0" t="n">
        <f aca="false">DAY(A417)</f>
        <v>9</v>
      </c>
      <c r="E417" s="0" t="n">
        <f aca="false">HOUR(A417)</f>
        <v>16</v>
      </c>
      <c r="F417" s="0" t="n">
        <f aca="false">IF(C417&gt;=6,0,1)</f>
        <v>0</v>
      </c>
      <c r="G417" s="0" t="n">
        <f aca="false">VLOOKUP(E417,Sheet1!$A$2:$B$25,2,0)</f>
        <v>0</v>
      </c>
    </row>
    <row r="418" customFormat="false" ht="15" hidden="false" customHeight="false" outlineLevel="0" collapsed="false">
      <c r="A418" s="13" t="n">
        <v>44570.6875</v>
      </c>
      <c r="B418" s="12" t="n">
        <v>281.876</v>
      </c>
      <c r="C418" s="0" t="n">
        <f aca="false">WEEKDAY(A418,2)</f>
        <v>7</v>
      </c>
      <c r="D418" s="0" t="n">
        <f aca="false">DAY(A418)</f>
        <v>9</v>
      </c>
      <c r="E418" s="0" t="n">
        <f aca="false">HOUR(A418)</f>
        <v>16</v>
      </c>
      <c r="F418" s="0" t="n">
        <f aca="false">IF(C418&gt;=6,0,1)</f>
        <v>0</v>
      </c>
      <c r="G418" s="0" t="n">
        <f aca="false">VLOOKUP(E418,Sheet1!$A$2:$B$25,2,0)</f>
        <v>0</v>
      </c>
    </row>
    <row r="419" customFormat="false" ht="15" hidden="false" customHeight="false" outlineLevel="0" collapsed="false">
      <c r="A419" s="13" t="n">
        <v>44570.7083333333</v>
      </c>
      <c r="B419" s="12" t="n">
        <v>287.041</v>
      </c>
      <c r="C419" s="0" t="n">
        <f aca="false">WEEKDAY(A419,2)</f>
        <v>7</v>
      </c>
      <c r="D419" s="0" t="n">
        <f aca="false">DAY(A419)</f>
        <v>9</v>
      </c>
      <c r="E419" s="0" t="n">
        <f aca="false">HOUR(A419)</f>
        <v>17</v>
      </c>
      <c r="F419" s="0" t="n">
        <f aca="false">IF(C419&gt;=6,0,1)</f>
        <v>0</v>
      </c>
      <c r="G419" s="0" t="n">
        <f aca="false">VLOOKUP(E419,Sheet1!$A$2:$B$25,2,0)</f>
        <v>0</v>
      </c>
    </row>
    <row r="420" customFormat="false" ht="15" hidden="false" customHeight="false" outlineLevel="0" collapsed="false">
      <c r="A420" s="13" t="n">
        <v>44570.7291666667</v>
      </c>
      <c r="B420" s="12" t="n">
        <v>294.98</v>
      </c>
      <c r="C420" s="0" t="n">
        <f aca="false">WEEKDAY(A420,2)</f>
        <v>7</v>
      </c>
      <c r="D420" s="0" t="n">
        <f aca="false">DAY(A420)</f>
        <v>9</v>
      </c>
      <c r="E420" s="0" t="n">
        <f aca="false">HOUR(A420)</f>
        <v>17</v>
      </c>
      <c r="F420" s="0" t="n">
        <f aca="false">IF(C420&gt;=6,0,1)</f>
        <v>0</v>
      </c>
      <c r="G420" s="0" t="n">
        <f aca="false">VLOOKUP(E420,Sheet1!$A$2:$B$25,2,0)</f>
        <v>0</v>
      </c>
    </row>
    <row r="421" customFormat="false" ht="15" hidden="false" customHeight="false" outlineLevel="0" collapsed="false">
      <c r="A421" s="13" t="n">
        <v>44570.75</v>
      </c>
      <c r="B421" s="12" t="n">
        <v>295.436</v>
      </c>
      <c r="C421" s="0" t="n">
        <f aca="false">WEEKDAY(A421,2)</f>
        <v>7</v>
      </c>
      <c r="D421" s="0" t="n">
        <f aca="false">DAY(A421)</f>
        <v>9</v>
      </c>
      <c r="E421" s="0" t="n">
        <f aca="false">HOUR(A421)</f>
        <v>18</v>
      </c>
      <c r="F421" s="0" t="n">
        <f aca="false">IF(C421&gt;=6,0,1)</f>
        <v>0</v>
      </c>
      <c r="G421" s="0" t="n">
        <f aca="false">VLOOKUP(E421,Sheet1!$A$2:$B$25,2,0)</f>
        <v>0</v>
      </c>
    </row>
    <row r="422" customFormat="false" ht="15" hidden="false" customHeight="false" outlineLevel="0" collapsed="false">
      <c r="A422" s="13" t="n">
        <v>44570.7708333333</v>
      </c>
      <c r="B422" s="12" t="n">
        <v>293.636</v>
      </c>
      <c r="C422" s="0" t="n">
        <f aca="false">WEEKDAY(A422,2)</f>
        <v>7</v>
      </c>
      <c r="D422" s="0" t="n">
        <f aca="false">DAY(A422)</f>
        <v>9</v>
      </c>
      <c r="E422" s="0" t="n">
        <f aca="false">HOUR(A422)</f>
        <v>18</v>
      </c>
      <c r="F422" s="0" t="n">
        <f aca="false">IF(C422&gt;=6,0,1)</f>
        <v>0</v>
      </c>
      <c r="G422" s="0" t="n">
        <f aca="false">VLOOKUP(E422,Sheet1!$A$2:$B$25,2,0)</f>
        <v>0</v>
      </c>
    </row>
    <row r="423" customFormat="false" ht="15" hidden="false" customHeight="false" outlineLevel="0" collapsed="false">
      <c r="A423" s="13" t="n">
        <v>44570.7916666667</v>
      </c>
      <c r="B423" s="12" t="n">
        <v>298.676</v>
      </c>
      <c r="C423" s="0" t="n">
        <f aca="false">WEEKDAY(A423,2)</f>
        <v>7</v>
      </c>
      <c r="D423" s="0" t="n">
        <f aca="false">DAY(A423)</f>
        <v>9</v>
      </c>
      <c r="E423" s="0" t="n">
        <f aca="false">HOUR(A423)</f>
        <v>19</v>
      </c>
      <c r="F423" s="0" t="n">
        <f aca="false">IF(C423&gt;=6,0,1)</f>
        <v>0</v>
      </c>
      <c r="G423" s="0" t="n">
        <f aca="false">VLOOKUP(E423,Sheet1!$A$2:$B$25,2,0)</f>
        <v>0</v>
      </c>
    </row>
    <row r="424" customFormat="false" ht="15" hidden="false" customHeight="false" outlineLevel="0" collapsed="false">
      <c r="A424" s="13" t="n">
        <v>44570.8125</v>
      </c>
      <c r="B424" s="12" t="n">
        <v>296.756</v>
      </c>
      <c r="C424" s="0" t="n">
        <f aca="false">WEEKDAY(A424,2)</f>
        <v>7</v>
      </c>
      <c r="D424" s="0" t="n">
        <f aca="false">DAY(A424)</f>
        <v>9</v>
      </c>
      <c r="E424" s="0" t="n">
        <f aca="false">HOUR(A424)</f>
        <v>19</v>
      </c>
      <c r="F424" s="0" t="n">
        <f aca="false">IF(C424&gt;=6,0,1)</f>
        <v>0</v>
      </c>
      <c r="G424" s="0" t="n">
        <f aca="false">VLOOKUP(E424,Sheet1!$A$2:$B$25,2,0)</f>
        <v>0</v>
      </c>
    </row>
    <row r="425" customFormat="false" ht="15" hidden="false" customHeight="false" outlineLevel="0" collapsed="false">
      <c r="A425" s="13" t="n">
        <v>44570.8333333333</v>
      </c>
      <c r="B425" s="12" t="n">
        <v>300.98</v>
      </c>
      <c r="C425" s="0" t="n">
        <f aca="false">WEEKDAY(A425,2)</f>
        <v>7</v>
      </c>
      <c r="D425" s="0" t="n">
        <f aca="false">DAY(A425)</f>
        <v>9</v>
      </c>
      <c r="E425" s="0" t="n">
        <f aca="false">HOUR(A425)</f>
        <v>20</v>
      </c>
      <c r="F425" s="0" t="n">
        <f aca="false">IF(C425&gt;=6,0,1)</f>
        <v>0</v>
      </c>
      <c r="G425" s="0" t="n">
        <f aca="false">VLOOKUP(E425,Sheet1!$A$2:$B$25,2,0)</f>
        <v>0</v>
      </c>
    </row>
    <row r="426" customFormat="false" ht="15" hidden="false" customHeight="false" outlineLevel="0" collapsed="false">
      <c r="A426" s="13" t="n">
        <v>44570.8541666667</v>
      </c>
      <c r="B426" s="12" t="n">
        <v>299.516</v>
      </c>
      <c r="C426" s="0" t="n">
        <f aca="false">WEEKDAY(A426,2)</f>
        <v>7</v>
      </c>
      <c r="D426" s="0" t="n">
        <f aca="false">DAY(A426)</f>
        <v>9</v>
      </c>
      <c r="E426" s="0" t="n">
        <f aca="false">HOUR(A426)</f>
        <v>20</v>
      </c>
      <c r="F426" s="0" t="n">
        <f aca="false">IF(C426&gt;=6,0,1)</f>
        <v>0</v>
      </c>
      <c r="G426" s="0" t="n">
        <f aca="false">VLOOKUP(E426,Sheet1!$A$2:$B$25,2,0)</f>
        <v>0</v>
      </c>
    </row>
    <row r="427" customFormat="false" ht="15" hidden="false" customHeight="false" outlineLevel="0" collapsed="false">
      <c r="A427" s="13" t="n">
        <v>44570.875</v>
      </c>
      <c r="B427" s="12" t="n">
        <v>297.74</v>
      </c>
      <c r="C427" s="0" t="n">
        <f aca="false">WEEKDAY(A427,2)</f>
        <v>7</v>
      </c>
      <c r="D427" s="0" t="n">
        <f aca="false">DAY(A427)</f>
        <v>9</v>
      </c>
      <c r="E427" s="0" t="n">
        <f aca="false">HOUR(A427)</f>
        <v>21</v>
      </c>
      <c r="F427" s="0" t="n">
        <f aca="false">IF(C427&gt;=6,0,1)</f>
        <v>0</v>
      </c>
      <c r="G427" s="0" t="n">
        <f aca="false">VLOOKUP(E427,Sheet1!$A$2:$B$25,2,0)</f>
        <v>0</v>
      </c>
    </row>
    <row r="428" customFormat="false" ht="15" hidden="false" customHeight="false" outlineLevel="0" collapsed="false">
      <c r="A428" s="13" t="n">
        <v>44570.8958333333</v>
      </c>
      <c r="B428" s="12" t="n">
        <v>300.145</v>
      </c>
      <c r="C428" s="0" t="n">
        <f aca="false">WEEKDAY(A428,2)</f>
        <v>7</v>
      </c>
      <c r="D428" s="0" t="n">
        <f aca="false">DAY(A428)</f>
        <v>9</v>
      </c>
      <c r="E428" s="0" t="n">
        <f aca="false">HOUR(A428)</f>
        <v>21</v>
      </c>
      <c r="F428" s="0" t="n">
        <f aca="false">IF(C428&gt;=6,0,1)</f>
        <v>0</v>
      </c>
      <c r="G428" s="0" t="n">
        <f aca="false">VLOOKUP(E428,Sheet1!$A$2:$B$25,2,0)</f>
        <v>0</v>
      </c>
    </row>
    <row r="429" customFormat="false" ht="15" hidden="false" customHeight="false" outlineLevel="0" collapsed="false">
      <c r="A429" s="13" t="n">
        <v>44570.9166666667</v>
      </c>
      <c r="B429" s="12" t="n">
        <v>297.74</v>
      </c>
      <c r="C429" s="0" t="n">
        <f aca="false">WEEKDAY(A429,2)</f>
        <v>7</v>
      </c>
      <c r="D429" s="0" t="n">
        <f aca="false">DAY(A429)</f>
        <v>9</v>
      </c>
      <c r="E429" s="0" t="n">
        <f aca="false">HOUR(A429)</f>
        <v>22</v>
      </c>
      <c r="F429" s="0" t="n">
        <f aca="false">IF(C429&gt;=6,0,1)</f>
        <v>0</v>
      </c>
      <c r="G429" s="0" t="n">
        <f aca="false">VLOOKUP(E429,Sheet1!$A$2:$B$25,2,0)</f>
        <v>0</v>
      </c>
    </row>
    <row r="430" customFormat="false" ht="15" hidden="false" customHeight="false" outlineLevel="0" collapsed="false">
      <c r="A430" s="13" t="n">
        <v>44570.9375</v>
      </c>
      <c r="B430" s="12" t="n">
        <v>303.38</v>
      </c>
      <c r="C430" s="0" t="n">
        <f aca="false">WEEKDAY(A430,2)</f>
        <v>7</v>
      </c>
      <c r="D430" s="0" t="n">
        <f aca="false">DAY(A430)</f>
        <v>9</v>
      </c>
      <c r="E430" s="0" t="n">
        <f aca="false">HOUR(A430)</f>
        <v>22</v>
      </c>
      <c r="F430" s="0" t="n">
        <f aca="false">IF(C430&gt;=6,0,1)</f>
        <v>0</v>
      </c>
      <c r="G430" s="0" t="n">
        <f aca="false">VLOOKUP(E430,Sheet1!$A$2:$B$25,2,0)</f>
        <v>0</v>
      </c>
    </row>
    <row r="431" customFormat="false" ht="15" hidden="false" customHeight="false" outlineLevel="0" collapsed="false">
      <c r="A431" s="13" t="n">
        <v>44570.9583333333</v>
      </c>
      <c r="B431" s="12" t="n">
        <v>298.94</v>
      </c>
      <c r="C431" s="0" t="n">
        <f aca="false">WEEKDAY(A431,2)</f>
        <v>7</v>
      </c>
      <c r="D431" s="0" t="n">
        <f aca="false">DAY(A431)</f>
        <v>9</v>
      </c>
      <c r="E431" s="0" t="n">
        <f aca="false">HOUR(A431)</f>
        <v>23</v>
      </c>
      <c r="F431" s="0" t="n">
        <f aca="false">IF(C431&gt;=6,0,1)</f>
        <v>0</v>
      </c>
      <c r="G431" s="0" t="n">
        <f aca="false">VLOOKUP(E431,Sheet1!$A$2:$B$25,2,0)</f>
        <v>0</v>
      </c>
    </row>
    <row r="432" customFormat="false" ht="15" hidden="false" customHeight="false" outlineLevel="0" collapsed="false">
      <c r="A432" s="13" t="n">
        <v>44570.9791666667</v>
      </c>
      <c r="B432" s="12" t="n">
        <v>300.116</v>
      </c>
      <c r="C432" s="0" t="n">
        <f aca="false">WEEKDAY(A432,2)</f>
        <v>7</v>
      </c>
      <c r="D432" s="0" t="n">
        <f aca="false">DAY(A432)</f>
        <v>9</v>
      </c>
      <c r="E432" s="0" t="n">
        <f aca="false">HOUR(A432)</f>
        <v>23</v>
      </c>
      <c r="F432" s="0" t="n">
        <f aca="false">IF(C432&gt;=6,0,1)</f>
        <v>0</v>
      </c>
      <c r="G432" s="0" t="n">
        <f aca="false">VLOOKUP(E432,Sheet1!$A$2:$B$25,2,0)</f>
        <v>0</v>
      </c>
    </row>
    <row r="433" customFormat="false" ht="15" hidden="false" customHeight="false" outlineLevel="0" collapsed="false">
      <c r="A433" s="13" t="n">
        <v>44571</v>
      </c>
      <c r="B433" s="12" t="n">
        <v>298.316</v>
      </c>
      <c r="C433" s="0" t="n">
        <f aca="false">WEEKDAY(A433,2)</f>
        <v>1</v>
      </c>
      <c r="D433" s="0" t="n">
        <f aca="false">DAY(A433)</f>
        <v>10</v>
      </c>
      <c r="E433" s="0" t="n">
        <f aca="false">HOUR(A433)</f>
        <v>0</v>
      </c>
      <c r="F433" s="0" t="n">
        <f aca="false">IF(C433&gt;=6,0,1)</f>
        <v>1</v>
      </c>
      <c r="G433" s="0" t="n">
        <f aca="false">VLOOKUP(E433,Sheet1!$A$2:$B$25,2,0)</f>
        <v>0</v>
      </c>
    </row>
    <row r="434" customFormat="false" ht="15" hidden="false" customHeight="false" outlineLevel="0" collapsed="false">
      <c r="A434" s="13" t="n">
        <v>44571.0208333333</v>
      </c>
      <c r="B434" s="12" t="n">
        <v>300.86</v>
      </c>
      <c r="C434" s="0" t="n">
        <f aca="false">WEEKDAY(A434,2)</f>
        <v>1</v>
      </c>
      <c r="D434" s="0" t="n">
        <f aca="false">DAY(A434)</f>
        <v>10</v>
      </c>
      <c r="E434" s="0" t="n">
        <f aca="false">HOUR(A434)</f>
        <v>0</v>
      </c>
      <c r="F434" s="0" t="n">
        <f aca="false">IF(C434&gt;=6,0,1)</f>
        <v>1</v>
      </c>
      <c r="G434" s="0" t="n">
        <f aca="false">VLOOKUP(E434,Sheet1!$A$2:$B$25,2,0)</f>
        <v>0</v>
      </c>
    </row>
    <row r="435" customFormat="false" ht="15" hidden="false" customHeight="false" outlineLevel="0" collapsed="false">
      <c r="A435" s="13" t="n">
        <v>44571.0416666667</v>
      </c>
      <c r="B435" s="12" t="n">
        <v>302.161</v>
      </c>
      <c r="C435" s="0" t="n">
        <f aca="false">WEEKDAY(A435,2)</f>
        <v>1</v>
      </c>
      <c r="D435" s="0" t="n">
        <f aca="false">DAY(A435)</f>
        <v>10</v>
      </c>
      <c r="E435" s="0" t="n">
        <f aca="false">HOUR(A435)</f>
        <v>1</v>
      </c>
      <c r="F435" s="0" t="n">
        <f aca="false">IF(C435&gt;=6,0,1)</f>
        <v>1</v>
      </c>
      <c r="G435" s="0" t="n">
        <f aca="false">VLOOKUP(E435,Sheet1!$A$2:$B$25,2,0)</f>
        <v>0</v>
      </c>
    </row>
    <row r="436" customFormat="false" ht="15" hidden="false" customHeight="false" outlineLevel="0" collapsed="false">
      <c r="A436" s="13" t="n">
        <v>44571.0625</v>
      </c>
      <c r="B436" s="12" t="n">
        <v>301.436</v>
      </c>
      <c r="C436" s="0" t="n">
        <f aca="false">WEEKDAY(A436,2)</f>
        <v>1</v>
      </c>
      <c r="D436" s="0" t="n">
        <f aca="false">DAY(A436)</f>
        <v>10</v>
      </c>
      <c r="E436" s="0" t="n">
        <f aca="false">HOUR(A436)</f>
        <v>1</v>
      </c>
      <c r="F436" s="0" t="n">
        <f aca="false">IF(C436&gt;=6,0,1)</f>
        <v>1</v>
      </c>
      <c r="G436" s="0" t="n">
        <f aca="false">VLOOKUP(E436,Sheet1!$A$2:$B$25,2,0)</f>
        <v>0</v>
      </c>
    </row>
    <row r="437" customFormat="false" ht="15" hidden="false" customHeight="false" outlineLevel="0" collapsed="false">
      <c r="A437" s="13" t="n">
        <v>44571.0833333333</v>
      </c>
      <c r="B437" s="12" t="n">
        <v>296.905</v>
      </c>
      <c r="C437" s="0" t="n">
        <f aca="false">WEEKDAY(A437,2)</f>
        <v>1</v>
      </c>
      <c r="D437" s="0" t="n">
        <f aca="false">DAY(A437)</f>
        <v>10</v>
      </c>
      <c r="E437" s="0" t="n">
        <f aca="false">HOUR(A437)</f>
        <v>2</v>
      </c>
      <c r="F437" s="0" t="n">
        <f aca="false">IF(C437&gt;=6,0,1)</f>
        <v>1</v>
      </c>
      <c r="G437" s="0" t="n">
        <f aca="false">VLOOKUP(E437,Sheet1!$A$2:$B$25,2,0)</f>
        <v>0</v>
      </c>
    </row>
    <row r="438" customFormat="false" ht="15" hidden="false" customHeight="false" outlineLevel="0" collapsed="false">
      <c r="A438" s="13" t="n">
        <v>44571.1041666667</v>
      </c>
      <c r="B438" s="12" t="n">
        <v>301.556</v>
      </c>
      <c r="C438" s="0" t="n">
        <f aca="false">WEEKDAY(A438,2)</f>
        <v>1</v>
      </c>
      <c r="D438" s="0" t="n">
        <f aca="false">DAY(A438)</f>
        <v>10</v>
      </c>
      <c r="E438" s="0" t="n">
        <f aca="false">HOUR(A438)</f>
        <v>2</v>
      </c>
      <c r="F438" s="0" t="n">
        <f aca="false">IF(C438&gt;=6,0,1)</f>
        <v>1</v>
      </c>
      <c r="G438" s="0" t="n">
        <f aca="false">VLOOKUP(E438,Sheet1!$A$2:$B$25,2,0)</f>
        <v>0</v>
      </c>
    </row>
    <row r="439" customFormat="false" ht="15" hidden="false" customHeight="false" outlineLevel="0" collapsed="false">
      <c r="A439" s="13" t="n">
        <v>44571.125</v>
      </c>
      <c r="B439" s="12" t="n">
        <v>300.836</v>
      </c>
      <c r="C439" s="0" t="n">
        <f aca="false">WEEKDAY(A439,2)</f>
        <v>1</v>
      </c>
      <c r="D439" s="0" t="n">
        <f aca="false">DAY(A439)</f>
        <v>10</v>
      </c>
      <c r="E439" s="0" t="n">
        <f aca="false">HOUR(A439)</f>
        <v>3</v>
      </c>
      <c r="F439" s="0" t="n">
        <f aca="false">IF(C439&gt;=6,0,1)</f>
        <v>1</v>
      </c>
      <c r="G439" s="0" t="n">
        <f aca="false">VLOOKUP(E439,Sheet1!$A$2:$B$25,2,0)</f>
        <v>0</v>
      </c>
    </row>
    <row r="440" customFormat="false" ht="15" hidden="false" customHeight="false" outlineLevel="0" collapsed="false">
      <c r="A440" s="13" t="n">
        <v>44571.1458333333</v>
      </c>
      <c r="B440" s="12" t="n">
        <v>301.825</v>
      </c>
      <c r="C440" s="0" t="n">
        <f aca="false">WEEKDAY(A440,2)</f>
        <v>1</v>
      </c>
      <c r="D440" s="0" t="n">
        <f aca="false">DAY(A440)</f>
        <v>10</v>
      </c>
      <c r="E440" s="0" t="n">
        <f aca="false">HOUR(A440)</f>
        <v>3</v>
      </c>
      <c r="F440" s="0" t="n">
        <f aca="false">IF(C440&gt;=6,0,1)</f>
        <v>1</v>
      </c>
      <c r="G440" s="0" t="n">
        <f aca="false">VLOOKUP(E440,Sheet1!$A$2:$B$25,2,0)</f>
        <v>0</v>
      </c>
    </row>
    <row r="441" customFormat="false" ht="15" hidden="false" customHeight="false" outlineLevel="0" collapsed="false">
      <c r="A441" s="13" t="n">
        <v>44571.1666666667</v>
      </c>
      <c r="B441" s="12" t="n">
        <v>302.756</v>
      </c>
      <c r="C441" s="0" t="n">
        <f aca="false">WEEKDAY(A441,2)</f>
        <v>1</v>
      </c>
      <c r="D441" s="0" t="n">
        <f aca="false">DAY(A441)</f>
        <v>10</v>
      </c>
      <c r="E441" s="0" t="n">
        <f aca="false">HOUR(A441)</f>
        <v>4</v>
      </c>
      <c r="F441" s="0" t="n">
        <f aca="false">IF(C441&gt;=6,0,1)</f>
        <v>1</v>
      </c>
      <c r="G441" s="0" t="n">
        <f aca="false">VLOOKUP(E441,Sheet1!$A$2:$B$25,2,0)</f>
        <v>1</v>
      </c>
    </row>
    <row r="442" customFormat="false" ht="15" hidden="false" customHeight="false" outlineLevel="0" collapsed="false">
      <c r="A442" s="13" t="n">
        <v>44571.1875</v>
      </c>
      <c r="B442" s="12" t="n">
        <v>304.94</v>
      </c>
      <c r="C442" s="0" t="n">
        <f aca="false">WEEKDAY(A442,2)</f>
        <v>1</v>
      </c>
      <c r="D442" s="0" t="n">
        <f aca="false">DAY(A442)</f>
        <v>10</v>
      </c>
      <c r="E442" s="0" t="n">
        <f aca="false">HOUR(A442)</f>
        <v>4</v>
      </c>
      <c r="F442" s="0" t="n">
        <f aca="false">IF(C442&gt;=6,0,1)</f>
        <v>1</v>
      </c>
      <c r="G442" s="0" t="n">
        <f aca="false">VLOOKUP(E442,Sheet1!$A$2:$B$25,2,0)</f>
        <v>1</v>
      </c>
    </row>
    <row r="443" customFormat="false" ht="15" hidden="false" customHeight="false" outlineLevel="0" collapsed="false">
      <c r="A443" s="13" t="n">
        <v>44571.2083333333</v>
      </c>
      <c r="B443" s="12" t="n">
        <v>426.001</v>
      </c>
      <c r="C443" s="0" t="n">
        <f aca="false">WEEKDAY(A443,2)</f>
        <v>1</v>
      </c>
      <c r="D443" s="0" t="n">
        <f aca="false">DAY(A443)</f>
        <v>10</v>
      </c>
      <c r="E443" s="0" t="n">
        <f aca="false">HOUR(A443)</f>
        <v>5</v>
      </c>
      <c r="F443" s="0" t="n">
        <f aca="false">IF(C443&gt;=6,0,1)</f>
        <v>1</v>
      </c>
      <c r="G443" s="0" t="n">
        <f aca="false">VLOOKUP(E443,Sheet1!$A$2:$B$25,2,0)</f>
        <v>1</v>
      </c>
    </row>
    <row r="444" customFormat="false" ht="15" hidden="false" customHeight="false" outlineLevel="0" collapsed="false">
      <c r="A444" s="13" t="n">
        <v>44571.2291666667</v>
      </c>
      <c r="B444" s="12" t="n">
        <v>1062.38</v>
      </c>
      <c r="C444" s="0" t="n">
        <f aca="false">WEEKDAY(A444,2)</f>
        <v>1</v>
      </c>
      <c r="D444" s="0" t="n">
        <f aca="false">DAY(A444)</f>
        <v>10</v>
      </c>
      <c r="E444" s="0" t="n">
        <f aca="false">HOUR(A444)</f>
        <v>5</v>
      </c>
      <c r="F444" s="0" t="n">
        <f aca="false">IF(C444&gt;=6,0,1)</f>
        <v>1</v>
      </c>
      <c r="G444" s="0" t="n">
        <f aca="false">VLOOKUP(E444,Sheet1!$A$2:$B$25,2,0)</f>
        <v>1</v>
      </c>
    </row>
    <row r="445" customFormat="false" ht="15" hidden="false" customHeight="false" outlineLevel="0" collapsed="false">
      <c r="A445" s="13" t="n">
        <v>44571.25</v>
      </c>
      <c r="B445" s="12" t="n">
        <v>799.796</v>
      </c>
      <c r="C445" s="0" t="n">
        <f aca="false">WEEKDAY(A445,2)</f>
        <v>1</v>
      </c>
      <c r="D445" s="0" t="n">
        <f aca="false">DAY(A445)</f>
        <v>10</v>
      </c>
      <c r="E445" s="0" t="n">
        <f aca="false">HOUR(A445)</f>
        <v>6</v>
      </c>
      <c r="F445" s="0" t="n">
        <f aca="false">IF(C445&gt;=6,0,1)</f>
        <v>1</v>
      </c>
      <c r="G445" s="0" t="n">
        <f aca="false">VLOOKUP(E445,Sheet1!$A$2:$B$25,2,0)</f>
        <v>1</v>
      </c>
    </row>
    <row r="446" customFormat="false" ht="15" hidden="false" customHeight="false" outlineLevel="0" collapsed="false">
      <c r="A446" s="13" t="n">
        <v>44571.2708333333</v>
      </c>
      <c r="B446" s="12" t="n">
        <v>770.161</v>
      </c>
      <c r="C446" s="0" t="n">
        <f aca="false">WEEKDAY(A446,2)</f>
        <v>1</v>
      </c>
      <c r="D446" s="0" t="n">
        <f aca="false">DAY(A446)</f>
        <v>10</v>
      </c>
      <c r="E446" s="0" t="n">
        <f aca="false">HOUR(A446)</f>
        <v>6</v>
      </c>
      <c r="F446" s="0" t="n">
        <f aca="false">IF(C446&gt;=6,0,1)</f>
        <v>1</v>
      </c>
      <c r="G446" s="0" t="n">
        <f aca="false">VLOOKUP(E446,Sheet1!$A$2:$B$25,2,0)</f>
        <v>1</v>
      </c>
    </row>
    <row r="447" customFormat="false" ht="15" hidden="false" customHeight="false" outlineLevel="0" collapsed="false">
      <c r="A447" s="13" t="n">
        <v>44571.2916666667</v>
      </c>
      <c r="B447" s="12" t="n">
        <v>919.1</v>
      </c>
      <c r="C447" s="0" t="n">
        <f aca="false">WEEKDAY(A447,2)</f>
        <v>1</v>
      </c>
      <c r="D447" s="0" t="n">
        <f aca="false">DAY(A447)</f>
        <v>10</v>
      </c>
      <c r="E447" s="0" t="n">
        <f aca="false">HOUR(A447)</f>
        <v>7</v>
      </c>
      <c r="F447" s="0" t="n">
        <f aca="false">IF(C447&gt;=6,0,1)</f>
        <v>1</v>
      </c>
      <c r="G447" s="0" t="n">
        <f aca="false">VLOOKUP(E447,Sheet1!$A$2:$B$25,2,0)</f>
        <v>1</v>
      </c>
    </row>
    <row r="448" customFormat="false" ht="15" hidden="false" customHeight="false" outlineLevel="0" collapsed="false">
      <c r="A448" s="13" t="n">
        <v>44571.3125</v>
      </c>
      <c r="B448" s="12" t="n">
        <v>926.54</v>
      </c>
      <c r="C448" s="0" t="n">
        <f aca="false">WEEKDAY(A448,2)</f>
        <v>1</v>
      </c>
      <c r="D448" s="0" t="n">
        <f aca="false">DAY(A448)</f>
        <v>10</v>
      </c>
      <c r="E448" s="0" t="n">
        <f aca="false">HOUR(A448)</f>
        <v>7</v>
      </c>
      <c r="F448" s="0" t="n">
        <f aca="false">IF(C448&gt;=6,0,1)</f>
        <v>1</v>
      </c>
      <c r="G448" s="0" t="n">
        <f aca="false">VLOOKUP(E448,Sheet1!$A$2:$B$25,2,0)</f>
        <v>1</v>
      </c>
    </row>
    <row r="449" customFormat="false" ht="15" hidden="false" customHeight="false" outlineLevel="0" collapsed="false">
      <c r="A449" s="13" t="n">
        <v>44571.3333333333</v>
      </c>
      <c r="B449" s="12" t="n">
        <v>903.505</v>
      </c>
      <c r="C449" s="0" t="n">
        <f aca="false">WEEKDAY(A449,2)</f>
        <v>1</v>
      </c>
      <c r="D449" s="0" t="n">
        <f aca="false">DAY(A449)</f>
        <v>10</v>
      </c>
      <c r="E449" s="0" t="n">
        <f aca="false">HOUR(A449)</f>
        <v>8</v>
      </c>
      <c r="F449" s="0" t="n">
        <f aca="false">IF(C449&gt;=6,0,1)</f>
        <v>1</v>
      </c>
      <c r="G449" s="0" t="n">
        <f aca="false">VLOOKUP(E449,Sheet1!$A$2:$B$25,2,0)</f>
        <v>1</v>
      </c>
    </row>
    <row r="450" customFormat="false" ht="15" hidden="false" customHeight="false" outlineLevel="0" collapsed="false">
      <c r="A450" s="13" t="n">
        <v>44571.3541666667</v>
      </c>
      <c r="B450" s="12" t="n">
        <v>812.78</v>
      </c>
      <c r="C450" s="0" t="n">
        <f aca="false">WEEKDAY(A450,2)</f>
        <v>1</v>
      </c>
      <c r="D450" s="0" t="n">
        <f aca="false">DAY(A450)</f>
        <v>10</v>
      </c>
      <c r="E450" s="0" t="n">
        <f aca="false">HOUR(A450)</f>
        <v>8</v>
      </c>
      <c r="F450" s="0" t="n">
        <f aca="false">IF(C450&gt;=6,0,1)</f>
        <v>1</v>
      </c>
      <c r="G450" s="0" t="n">
        <f aca="false">VLOOKUP(E450,Sheet1!$A$2:$B$25,2,0)</f>
        <v>1</v>
      </c>
    </row>
    <row r="451" customFormat="false" ht="15" hidden="false" customHeight="false" outlineLevel="0" collapsed="false">
      <c r="A451" s="13" t="n">
        <v>44571.375</v>
      </c>
      <c r="B451" s="12" t="n">
        <v>872.876</v>
      </c>
      <c r="C451" s="0" t="n">
        <f aca="false">WEEKDAY(A451,2)</f>
        <v>1</v>
      </c>
      <c r="D451" s="0" t="n">
        <f aca="false">DAY(A451)</f>
        <v>10</v>
      </c>
      <c r="E451" s="0" t="n">
        <f aca="false">HOUR(A451)</f>
        <v>9</v>
      </c>
      <c r="F451" s="0" t="n">
        <f aca="false">IF(C451&gt;=6,0,1)</f>
        <v>1</v>
      </c>
      <c r="G451" s="0" t="n">
        <f aca="false">VLOOKUP(E451,Sheet1!$A$2:$B$25,2,0)</f>
        <v>1</v>
      </c>
    </row>
    <row r="452" customFormat="false" ht="15" hidden="false" customHeight="false" outlineLevel="0" collapsed="false">
      <c r="A452" s="13" t="n">
        <v>44571.3958333333</v>
      </c>
      <c r="B452" s="12" t="n">
        <v>791.041</v>
      </c>
      <c r="C452" s="0" t="n">
        <f aca="false">WEEKDAY(A452,2)</f>
        <v>1</v>
      </c>
      <c r="D452" s="0" t="n">
        <f aca="false">DAY(A452)</f>
        <v>10</v>
      </c>
      <c r="E452" s="0" t="n">
        <f aca="false">HOUR(A452)</f>
        <v>9</v>
      </c>
      <c r="F452" s="0" t="n">
        <f aca="false">IF(C452&gt;=6,0,1)</f>
        <v>1</v>
      </c>
      <c r="G452" s="0" t="n">
        <f aca="false">VLOOKUP(E452,Sheet1!$A$2:$B$25,2,0)</f>
        <v>1</v>
      </c>
    </row>
    <row r="453" customFormat="false" ht="15" hidden="false" customHeight="false" outlineLevel="0" collapsed="false">
      <c r="A453" s="13" t="n">
        <v>44571.4166666667</v>
      </c>
      <c r="B453" s="12" t="n">
        <v>821.156</v>
      </c>
      <c r="C453" s="0" t="n">
        <f aca="false">WEEKDAY(A453,2)</f>
        <v>1</v>
      </c>
      <c r="D453" s="0" t="n">
        <f aca="false">DAY(A453)</f>
        <v>10</v>
      </c>
      <c r="E453" s="0" t="n">
        <f aca="false">HOUR(A453)</f>
        <v>10</v>
      </c>
      <c r="F453" s="0" t="n">
        <f aca="false">IF(C453&gt;=6,0,1)</f>
        <v>1</v>
      </c>
      <c r="G453" s="0" t="n">
        <f aca="false">VLOOKUP(E453,Sheet1!$A$2:$B$25,2,0)</f>
        <v>1</v>
      </c>
    </row>
    <row r="454" customFormat="false" ht="15" hidden="false" customHeight="false" outlineLevel="0" collapsed="false">
      <c r="A454" s="13" t="n">
        <v>44571.4375</v>
      </c>
      <c r="B454" s="12" t="n">
        <v>817.436</v>
      </c>
      <c r="C454" s="0" t="n">
        <f aca="false">WEEKDAY(A454,2)</f>
        <v>1</v>
      </c>
      <c r="D454" s="0" t="n">
        <f aca="false">DAY(A454)</f>
        <v>10</v>
      </c>
      <c r="E454" s="0" t="n">
        <f aca="false">HOUR(A454)</f>
        <v>10</v>
      </c>
      <c r="F454" s="0" t="n">
        <f aca="false">IF(C454&gt;=6,0,1)</f>
        <v>1</v>
      </c>
      <c r="G454" s="0" t="n">
        <f aca="false">VLOOKUP(E454,Sheet1!$A$2:$B$25,2,0)</f>
        <v>1</v>
      </c>
    </row>
    <row r="455" customFormat="false" ht="15" hidden="false" customHeight="false" outlineLevel="0" collapsed="false">
      <c r="A455" s="13" t="n">
        <v>44571.4583333333</v>
      </c>
      <c r="B455" s="12" t="n">
        <v>833.305</v>
      </c>
      <c r="C455" s="0" t="n">
        <f aca="false">WEEKDAY(A455,2)</f>
        <v>1</v>
      </c>
      <c r="D455" s="0" t="n">
        <f aca="false">DAY(A455)</f>
        <v>10</v>
      </c>
      <c r="E455" s="0" t="n">
        <f aca="false">HOUR(A455)</f>
        <v>11</v>
      </c>
      <c r="F455" s="0" t="n">
        <f aca="false">IF(C455&gt;=6,0,1)</f>
        <v>1</v>
      </c>
      <c r="G455" s="0" t="n">
        <f aca="false">VLOOKUP(E455,Sheet1!$A$2:$B$25,2,0)</f>
        <v>1</v>
      </c>
    </row>
    <row r="456" customFormat="false" ht="15" hidden="false" customHeight="false" outlineLevel="0" collapsed="false">
      <c r="A456" s="13" t="n">
        <v>44571.4791666667</v>
      </c>
      <c r="B456" s="12" t="n">
        <v>855.02</v>
      </c>
      <c r="C456" s="0" t="n">
        <f aca="false">WEEKDAY(A456,2)</f>
        <v>1</v>
      </c>
      <c r="D456" s="0" t="n">
        <f aca="false">DAY(A456)</f>
        <v>10</v>
      </c>
      <c r="E456" s="0" t="n">
        <f aca="false">HOUR(A456)</f>
        <v>11</v>
      </c>
      <c r="F456" s="0" t="n">
        <f aca="false">IF(C456&gt;=6,0,1)</f>
        <v>1</v>
      </c>
      <c r="G456" s="0" t="n">
        <f aca="false">VLOOKUP(E456,Sheet1!$A$2:$B$25,2,0)</f>
        <v>1</v>
      </c>
    </row>
    <row r="457" customFormat="false" ht="15" hidden="false" customHeight="false" outlineLevel="0" collapsed="false">
      <c r="A457" s="13" t="n">
        <v>44571.5</v>
      </c>
      <c r="B457" s="12" t="n">
        <v>861.116</v>
      </c>
      <c r="C457" s="0" t="n">
        <f aca="false">WEEKDAY(A457,2)</f>
        <v>1</v>
      </c>
      <c r="D457" s="0" t="n">
        <f aca="false">DAY(A457)</f>
        <v>10</v>
      </c>
      <c r="E457" s="0" t="n">
        <f aca="false">HOUR(A457)</f>
        <v>12</v>
      </c>
      <c r="F457" s="0" t="n">
        <f aca="false">IF(C457&gt;=6,0,1)</f>
        <v>1</v>
      </c>
      <c r="G457" s="0" t="n">
        <f aca="false">VLOOKUP(E457,Sheet1!$A$2:$B$25,2,0)</f>
        <v>1</v>
      </c>
    </row>
    <row r="458" customFormat="false" ht="15" hidden="false" customHeight="false" outlineLevel="0" collapsed="false">
      <c r="A458" s="13" t="n">
        <v>44571.5208333333</v>
      </c>
      <c r="B458" s="12" t="n">
        <v>874.921</v>
      </c>
      <c r="C458" s="0" t="n">
        <f aca="false">WEEKDAY(A458,2)</f>
        <v>1</v>
      </c>
      <c r="D458" s="0" t="n">
        <f aca="false">DAY(A458)</f>
        <v>10</v>
      </c>
      <c r="E458" s="0" t="n">
        <f aca="false">HOUR(A458)</f>
        <v>12</v>
      </c>
      <c r="F458" s="0" t="n">
        <f aca="false">IF(C458&gt;=6,0,1)</f>
        <v>1</v>
      </c>
      <c r="G458" s="0" t="n">
        <f aca="false">VLOOKUP(E458,Sheet1!$A$2:$B$25,2,0)</f>
        <v>1</v>
      </c>
    </row>
    <row r="459" customFormat="false" ht="15" hidden="false" customHeight="false" outlineLevel="0" collapsed="false">
      <c r="A459" s="13" t="n">
        <v>44571.5416666667</v>
      </c>
      <c r="B459" s="12" t="n">
        <v>738.596</v>
      </c>
      <c r="C459" s="0" t="n">
        <f aca="false">WEEKDAY(A459,2)</f>
        <v>1</v>
      </c>
      <c r="D459" s="0" t="n">
        <f aca="false">DAY(A459)</f>
        <v>10</v>
      </c>
      <c r="E459" s="0" t="n">
        <f aca="false">HOUR(A459)</f>
        <v>13</v>
      </c>
      <c r="F459" s="0" t="n">
        <f aca="false">IF(C459&gt;=6,0,1)</f>
        <v>1</v>
      </c>
      <c r="G459" s="0" t="n">
        <f aca="false">VLOOKUP(E459,Sheet1!$A$2:$B$25,2,0)</f>
        <v>1</v>
      </c>
    </row>
    <row r="460" customFormat="false" ht="15" hidden="false" customHeight="false" outlineLevel="0" collapsed="false">
      <c r="A460" s="13" t="n">
        <v>44571.5625</v>
      </c>
      <c r="B460" s="12" t="n">
        <v>875.18</v>
      </c>
      <c r="C460" s="0" t="n">
        <f aca="false">WEEKDAY(A460,2)</f>
        <v>1</v>
      </c>
      <c r="D460" s="0" t="n">
        <f aca="false">DAY(A460)</f>
        <v>10</v>
      </c>
      <c r="E460" s="0" t="n">
        <f aca="false">HOUR(A460)</f>
        <v>13</v>
      </c>
      <c r="F460" s="0" t="n">
        <f aca="false">IF(C460&gt;=6,0,1)</f>
        <v>1</v>
      </c>
      <c r="G460" s="0" t="n">
        <f aca="false">VLOOKUP(E460,Sheet1!$A$2:$B$25,2,0)</f>
        <v>1</v>
      </c>
    </row>
    <row r="461" customFormat="false" ht="15" hidden="false" customHeight="false" outlineLevel="0" collapsed="false">
      <c r="A461" s="13" t="n">
        <v>44571.5833333333</v>
      </c>
      <c r="B461" s="12" t="n">
        <v>610.225</v>
      </c>
      <c r="C461" s="0" t="n">
        <f aca="false">WEEKDAY(A461,2)</f>
        <v>1</v>
      </c>
      <c r="D461" s="0" t="n">
        <f aca="false">DAY(A461)</f>
        <v>10</v>
      </c>
      <c r="E461" s="0" t="n">
        <f aca="false">HOUR(A461)</f>
        <v>14</v>
      </c>
      <c r="F461" s="0" t="n">
        <f aca="false">IF(C461&gt;=6,0,1)</f>
        <v>1</v>
      </c>
      <c r="G461" s="0" t="n">
        <f aca="false">VLOOKUP(E461,Sheet1!$A$2:$B$25,2,0)</f>
        <v>1</v>
      </c>
    </row>
    <row r="462" customFormat="false" ht="15" hidden="false" customHeight="false" outlineLevel="0" collapsed="false">
      <c r="A462" s="13" t="n">
        <v>44571.6041666667</v>
      </c>
      <c r="B462" s="12" t="n">
        <v>351.836</v>
      </c>
      <c r="C462" s="0" t="n">
        <f aca="false">WEEKDAY(A462,2)</f>
        <v>1</v>
      </c>
      <c r="D462" s="0" t="n">
        <f aca="false">DAY(A462)</f>
        <v>10</v>
      </c>
      <c r="E462" s="0" t="n">
        <f aca="false">HOUR(A462)</f>
        <v>14</v>
      </c>
      <c r="F462" s="0" t="n">
        <f aca="false">IF(C462&gt;=6,0,1)</f>
        <v>1</v>
      </c>
      <c r="G462" s="0" t="n">
        <f aca="false">VLOOKUP(E462,Sheet1!$A$2:$B$25,2,0)</f>
        <v>1</v>
      </c>
    </row>
    <row r="463" customFormat="false" ht="15" hidden="false" customHeight="false" outlineLevel="0" collapsed="false">
      <c r="A463" s="13" t="n">
        <v>44571.625</v>
      </c>
      <c r="B463" s="12" t="n">
        <v>347.156</v>
      </c>
      <c r="C463" s="0" t="n">
        <f aca="false">WEEKDAY(A463,2)</f>
        <v>1</v>
      </c>
      <c r="D463" s="0" t="n">
        <f aca="false">DAY(A463)</f>
        <v>10</v>
      </c>
      <c r="E463" s="0" t="n">
        <f aca="false">HOUR(A463)</f>
        <v>15</v>
      </c>
      <c r="F463" s="0" t="n">
        <f aca="false">IF(C463&gt;=6,0,1)</f>
        <v>1</v>
      </c>
      <c r="G463" s="0" t="n">
        <f aca="false">VLOOKUP(E463,Sheet1!$A$2:$B$25,2,0)</f>
        <v>1</v>
      </c>
    </row>
    <row r="464" customFormat="false" ht="15" hidden="false" customHeight="false" outlineLevel="0" collapsed="false">
      <c r="A464" s="13" t="n">
        <v>44571.6458333333</v>
      </c>
      <c r="B464" s="12" t="n">
        <v>341.305</v>
      </c>
      <c r="C464" s="0" t="n">
        <f aca="false">WEEKDAY(A464,2)</f>
        <v>1</v>
      </c>
      <c r="D464" s="0" t="n">
        <f aca="false">DAY(A464)</f>
        <v>10</v>
      </c>
      <c r="E464" s="0" t="n">
        <f aca="false">HOUR(A464)</f>
        <v>15</v>
      </c>
      <c r="F464" s="0" t="n">
        <f aca="false">IF(C464&gt;=6,0,1)</f>
        <v>1</v>
      </c>
      <c r="G464" s="0" t="n">
        <f aca="false">VLOOKUP(E464,Sheet1!$A$2:$B$25,2,0)</f>
        <v>1</v>
      </c>
    </row>
    <row r="465" customFormat="false" ht="15" hidden="false" customHeight="false" outlineLevel="0" collapsed="false">
      <c r="A465" s="13" t="n">
        <v>44571.6666666667</v>
      </c>
      <c r="B465" s="12" t="n">
        <v>342.716</v>
      </c>
      <c r="C465" s="0" t="n">
        <f aca="false">WEEKDAY(A465,2)</f>
        <v>1</v>
      </c>
      <c r="D465" s="0" t="n">
        <f aca="false">DAY(A465)</f>
        <v>10</v>
      </c>
      <c r="E465" s="0" t="n">
        <f aca="false">HOUR(A465)</f>
        <v>16</v>
      </c>
      <c r="F465" s="0" t="n">
        <f aca="false">IF(C465&gt;=6,0,1)</f>
        <v>1</v>
      </c>
      <c r="G465" s="0" t="n">
        <f aca="false">VLOOKUP(E465,Sheet1!$A$2:$B$25,2,0)</f>
        <v>0</v>
      </c>
    </row>
    <row r="466" customFormat="false" ht="15" hidden="false" customHeight="false" outlineLevel="0" collapsed="false">
      <c r="A466" s="13" t="n">
        <v>44571.6875</v>
      </c>
      <c r="B466" s="12" t="n">
        <v>344.516</v>
      </c>
      <c r="C466" s="0" t="n">
        <f aca="false">WEEKDAY(A466,2)</f>
        <v>1</v>
      </c>
      <c r="D466" s="0" t="n">
        <f aca="false">DAY(A466)</f>
        <v>10</v>
      </c>
      <c r="E466" s="0" t="n">
        <f aca="false">HOUR(A466)</f>
        <v>16</v>
      </c>
      <c r="F466" s="0" t="n">
        <f aca="false">IF(C466&gt;=6,0,1)</f>
        <v>1</v>
      </c>
      <c r="G466" s="0" t="n">
        <f aca="false">VLOOKUP(E466,Sheet1!$A$2:$B$25,2,0)</f>
        <v>0</v>
      </c>
    </row>
    <row r="467" customFormat="false" ht="15" hidden="false" customHeight="false" outlineLevel="0" collapsed="false">
      <c r="A467" s="13" t="n">
        <v>44571.7083333333</v>
      </c>
      <c r="B467" s="12" t="n">
        <v>327.745</v>
      </c>
      <c r="C467" s="0" t="n">
        <f aca="false">WEEKDAY(A467,2)</f>
        <v>1</v>
      </c>
      <c r="D467" s="0" t="n">
        <f aca="false">DAY(A467)</f>
        <v>10</v>
      </c>
      <c r="E467" s="0" t="n">
        <f aca="false">HOUR(A467)</f>
        <v>17</v>
      </c>
      <c r="F467" s="0" t="n">
        <f aca="false">IF(C467&gt;=6,0,1)</f>
        <v>1</v>
      </c>
      <c r="G467" s="0" t="n">
        <f aca="false">VLOOKUP(E467,Sheet1!$A$2:$B$25,2,0)</f>
        <v>0</v>
      </c>
    </row>
    <row r="468" customFormat="false" ht="15" hidden="false" customHeight="false" outlineLevel="0" collapsed="false">
      <c r="A468" s="13" t="n">
        <v>44571.7291666667</v>
      </c>
      <c r="B468" s="12" t="n">
        <v>338.276</v>
      </c>
      <c r="C468" s="0" t="n">
        <f aca="false">WEEKDAY(A468,2)</f>
        <v>1</v>
      </c>
      <c r="D468" s="0" t="n">
        <f aca="false">DAY(A468)</f>
        <v>10</v>
      </c>
      <c r="E468" s="0" t="n">
        <f aca="false">HOUR(A468)</f>
        <v>17</v>
      </c>
      <c r="F468" s="0" t="n">
        <f aca="false">IF(C468&gt;=6,0,1)</f>
        <v>1</v>
      </c>
      <c r="G468" s="0" t="n">
        <f aca="false">VLOOKUP(E468,Sheet1!$A$2:$B$25,2,0)</f>
        <v>0</v>
      </c>
    </row>
    <row r="469" customFormat="false" ht="15" hidden="false" customHeight="false" outlineLevel="0" collapsed="false">
      <c r="A469" s="13" t="n">
        <v>44571.75</v>
      </c>
      <c r="B469" s="12" t="n">
        <v>336.98</v>
      </c>
      <c r="C469" s="0" t="n">
        <f aca="false">WEEKDAY(A469,2)</f>
        <v>1</v>
      </c>
      <c r="D469" s="0" t="n">
        <f aca="false">DAY(A469)</f>
        <v>10</v>
      </c>
      <c r="E469" s="0" t="n">
        <f aca="false">HOUR(A469)</f>
        <v>18</v>
      </c>
      <c r="F469" s="0" t="n">
        <f aca="false">IF(C469&gt;=6,0,1)</f>
        <v>1</v>
      </c>
      <c r="G469" s="0" t="n">
        <f aca="false">VLOOKUP(E469,Sheet1!$A$2:$B$25,2,0)</f>
        <v>0</v>
      </c>
    </row>
    <row r="470" customFormat="false" ht="15" hidden="false" customHeight="false" outlineLevel="0" collapsed="false">
      <c r="A470" s="13" t="n">
        <v>44571.7708333333</v>
      </c>
      <c r="B470" s="12" t="n">
        <v>327.356</v>
      </c>
      <c r="C470" s="0" t="n">
        <f aca="false">WEEKDAY(A470,2)</f>
        <v>1</v>
      </c>
      <c r="D470" s="0" t="n">
        <f aca="false">DAY(A470)</f>
        <v>10</v>
      </c>
      <c r="E470" s="0" t="n">
        <f aca="false">HOUR(A470)</f>
        <v>18</v>
      </c>
      <c r="F470" s="0" t="n">
        <f aca="false">IF(C470&gt;=6,0,1)</f>
        <v>1</v>
      </c>
      <c r="G470" s="0" t="n">
        <f aca="false">VLOOKUP(E470,Sheet1!$A$2:$B$25,2,0)</f>
        <v>0</v>
      </c>
    </row>
    <row r="471" customFormat="false" ht="15" hidden="false" customHeight="false" outlineLevel="0" collapsed="false">
      <c r="A471" s="13" t="n">
        <v>44571.7916666667</v>
      </c>
      <c r="B471" s="12" t="n">
        <v>326.66</v>
      </c>
      <c r="C471" s="0" t="n">
        <f aca="false">WEEKDAY(A471,2)</f>
        <v>1</v>
      </c>
      <c r="D471" s="0" t="n">
        <f aca="false">DAY(A471)</f>
        <v>10</v>
      </c>
      <c r="E471" s="0" t="n">
        <f aca="false">HOUR(A471)</f>
        <v>19</v>
      </c>
      <c r="F471" s="0" t="n">
        <f aca="false">IF(C471&gt;=6,0,1)</f>
        <v>1</v>
      </c>
      <c r="G471" s="0" t="n">
        <f aca="false">VLOOKUP(E471,Sheet1!$A$2:$B$25,2,0)</f>
        <v>0</v>
      </c>
    </row>
    <row r="472" customFormat="false" ht="15" hidden="false" customHeight="false" outlineLevel="0" collapsed="false">
      <c r="A472" s="13" t="n">
        <v>44571.8125</v>
      </c>
      <c r="B472" s="12" t="n">
        <v>328.196</v>
      </c>
      <c r="C472" s="0" t="n">
        <f aca="false">WEEKDAY(A472,2)</f>
        <v>1</v>
      </c>
      <c r="D472" s="0" t="n">
        <f aca="false">DAY(A472)</f>
        <v>10</v>
      </c>
      <c r="E472" s="0" t="n">
        <f aca="false">HOUR(A472)</f>
        <v>19</v>
      </c>
      <c r="F472" s="0" t="n">
        <f aca="false">IF(C472&gt;=6,0,1)</f>
        <v>1</v>
      </c>
      <c r="G472" s="0" t="n">
        <f aca="false">VLOOKUP(E472,Sheet1!$A$2:$B$25,2,0)</f>
        <v>0</v>
      </c>
    </row>
    <row r="473" customFormat="false" ht="15" hidden="false" customHeight="false" outlineLevel="0" collapsed="false">
      <c r="A473" s="13" t="n">
        <v>44571.8333333333</v>
      </c>
      <c r="B473" s="12" t="n">
        <v>334.82</v>
      </c>
      <c r="C473" s="0" t="n">
        <f aca="false">WEEKDAY(A473,2)</f>
        <v>1</v>
      </c>
      <c r="D473" s="0" t="n">
        <f aca="false">DAY(A473)</f>
        <v>10</v>
      </c>
      <c r="E473" s="0" t="n">
        <f aca="false">HOUR(A473)</f>
        <v>20</v>
      </c>
      <c r="F473" s="0" t="n">
        <f aca="false">IF(C473&gt;=6,0,1)</f>
        <v>1</v>
      </c>
      <c r="G473" s="0" t="n">
        <f aca="false">VLOOKUP(E473,Sheet1!$A$2:$B$25,2,0)</f>
        <v>0</v>
      </c>
    </row>
    <row r="474" customFormat="false" ht="15" hidden="false" customHeight="false" outlineLevel="0" collapsed="false">
      <c r="A474" s="13" t="n">
        <v>44571.8541666667</v>
      </c>
      <c r="B474" s="12" t="n">
        <v>338.161</v>
      </c>
      <c r="C474" s="0" t="n">
        <f aca="false">WEEKDAY(A474,2)</f>
        <v>1</v>
      </c>
      <c r="D474" s="0" t="n">
        <f aca="false">DAY(A474)</f>
        <v>10</v>
      </c>
      <c r="E474" s="0" t="n">
        <f aca="false">HOUR(A474)</f>
        <v>20</v>
      </c>
      <c r="F474" s="0" t="n">
        <f aca="false">IF(C474&gt;=6,0,1)</f>
        <v>1</v>
      </c>
      <c r="G474" s="0" t="n">
        <f aca="false">VLOOKUP(E474,Sheet1!$A$2:$B$25,2,0)</f>
        <v>0</v>
      </c>
    </row>
    <row r="475" customFormat="false" ht="15" hidden="false" customHeight="false" outlineLevel="0" collapsed="false">
      <c r="A475" s="13" t="n">
        <v>44571.875</v>
      </c>
      <c r="B475" s="12" t="n">
        <v>341.156</v>
      </c>
      <c r="C475" s="0" t="n">
        <f aca="false">WEEKDAY(A475,2)</f>
        <v>1</v>
      </c>
      <c r="D475" s="0" t="n">
        <f aca="false">DAY(A475)</f>
        <v>10</v>
      </c>
      <c r="E475" s="0" t="n">
        <f aca="false">HOUR(A475)</f>
        <v>21</v>
      </c>
      <c r="F475" s="0" t="n">
        <f aca="false">IF(C475&gt;=6,0,1)</f>
        <v>1</v>
      </c>
      <c r="G475" s="0" t="n">
        <f aca="false">VLOOKUP(E475,Sheet1!$A$2:$B$25,2,0)</f>
        <v>0</v>
      </c>
    </row>
    <row r="476" customFormat="false" ht="15" hidden="false" customHeight="false" outlineLevel="0" collapsed="false">
      <c r="A476" s="13" t="n">
        <v>44571.8958333333</v>
      </c>
      <c r="B476" s="12" t="n">
        <v>323.636</v>
      </c>
      <c r="C476" s="0" t="n">
        <f aca="false">WEEKDAY(A476,2)</f>
        <v>1</v>
      </c>
      <c r="D476" s="0" t="n">
        <f aca="false">DAY(A476)</f>
        <v>10</v>
      </c>
      <c r="E476" s="0" t="n">
        <f aca="false">HOUR(A476)</f>
        <v>21</v>
      </c>
      <c r="F476" s="0" t="n">
        <f aca="false">IF(C476&gt;=6,0,1)</f>
        <v>1</v>
      </c>
      <c r="G476" s="0" t="n">
        <f aca="false">VLOOKUP(E476,Sheet1!$A$2:$B$25,2,0)</f>
        <v>0</v>
      </c>
    </row>
    <row r="477" customFormat="false" ht="15" hidden="false" customHeight="false" outlineLevel="0" collapsed="false">
      <c r="A477" s="13" t="n">
        <v>44571.9166666667</v>
      </c>
      <c r="B477" s="12" t="n">
        <v>321.02</v>
      </c>
      <c r="C477" s="0" t="n">
        <f aca="false">WEEKDAY(A477,2)</f>
        <v>1</v>
      </c>
      <c r="D477" s="0" t="n">
        <f aca="false">DAY(A477)</f>
        <v>10</v>
      </c>
      <c r="E477" s="0" t="n">
        <f aca="false">HOUR(A477)</f>
        <v>22</v>
      </c>
      <c r="F477" s="0" t="n">
        <f aca="false">IF(C477&gt;=6,0,1)</f>
        <v>1</v>
      </c>
      <c r="G477" s="0" t="n">
        <f aca="false">VLOOKUP(E477,Sheet1!$A$2:$B$25,2,0)</f>
        <v>0</v>
      </c>
    </row>
    <row r="478" customFormat="false" ht="15" hidden="false" customHeight="false" outlineLevel="0" collapsed="false">
      <c r="A478" s="13" t="n">
        <v>44571.9375</v>
      </c>
      <c r="B478" s="12" t="n">
        <v>322.081</v>
      </c>
      <c r="C478" s="0" t="n">
        <f aca="false">WEEKDAY(A478,2)</f>
        <v>1</v>
      </c>
      <c r="D478" s="0" t="n">
        <f aca="false">DAY(A478)</f>
        <v>10</v>
      </c>
      <c r="E478" s="0" t="n">
        <f aca="false">HOUR(A478)</f>
        <v>22</v>
      </c>
      <c r="F478" s="0" t="n">
        <f aca="false">IF(C478&gt;=6,0,1)</f>
        <v>1</v>
      </c>
      <c r="G478" s="0" t="n">
        <f aca="false">VLOOKUP(E478,Sheet1!$A$2:$B$25,2,0)</f>
        <v>0</v>
      </c>
    </row>
    <row r="479" customFormat="false" ht="15" hidden="false" customHeight="false" outlineLevel="0" collapsed="false">
      <c r="A479" s="13" t="n">
        <v>44571.9583333333</v>
      </c>
      <c r="B479" s="12" t="n">
        <v>327.86</v>
      </c>
      <c r="C479" s="0" t="n">
        <f aca="false">WEEKDAY(A479,2)</f>
        <v>1</v>
      </c>
      <c r="D479" s="0" t="n">
        <f aca="false">DAY(A479)</f>
        <v>10</v>
      </c>
      <c r="E479" s="0" t="n">
        <f aca="false">HOUR(A479)</f>
        <v>23</v>
      </c>
      <c r="F479" s="0" t="n">
        <f aca="false">IF(C479&gt;=6,0,1)</f>
        <v>1</v>
      </c>
      <c r="G479" s="0" t="n">
        <f aca="false">VLOOKUP(E479,Sheet1!$A$2:$B$25,2,0)</f>
        <v>0</v>
      </c>
    </row>
    <row r="480" customFormat="false" ht="15" hidden="false" customHeight="false" outlineLevel="0" collapsed="false">
      <c r="A480" s="13" t="n">
        <v>44571.9791666667</v>
      </c>
      <c r="B480" s="12" t="n">
        <v>328.796</v>
      </c>
      <c r="C480" s="0" t="n">
        <f aca="false">WEEKDAY(A480,2)</f>
        <v>1</v>
      </c>
      <c r="D480" s="0" t="n">
        <f aca="false">DAY(A480)</f>
        <v>10</v>
      </c>
      <c r="E480" s="0" t="n">
        <f aca="false">HOUR(A480)</f>
        <v>23</v>
      </c>
      <c r="F480" s="0" t="n">
        <f aca="false">IF(C480&gt;=6,0,1)</f>
        <v>1</v>
      </c>
      <c r="G480" s="0" t="n">
        <f aca="false">VLOOKUP(E480,Sheet1!$A$2:$B$25,2,0)</f>
        <v>0</v>
      </c>
    </row>
    <row r="481" customFormat="false" ht="15" hidden="false" customHeight="false" outlineLevel="0" collapsed="false">
      <c r="A481" s="13" t="n">
        <v>44572</v>
      </c>
      <c r="B481" s="12" t="n">
        <v>329.281</v>
      </c>
      <c r="C481" s="0" t="n">
        <f aca="false">WEEKDAY(A481,2)</f>
        <v>2</v>
      </c>
      <c r="D481" s="0" t="n">
        <f aca="false">DAY(A481)</f>
        <v>11</v>
      </c>
      <c r="E481" s="0" t="n">
        <f aca="false">HOUR(A481)</f>
        <v>0</v>
      </c>
      <c r="F481" s="0" t="n">
        <f aca="false">IF(C481&gt;=6,0,1)</f>
        <v>1</v>
      </c>
      <c r="G481" s="0" t="n">
        <f aca="false">VLOOKUP(E481,Sheet1!$A$2:$B$25,2,0)</f>
        <v>0</v>
      </c>
    </row>
    <row r="482" customFormat="false" ht="15" hidden="false" customHeight="false" outlineLevel="0" collapsed="false">
      <c r="A482" s="13" t="n">
        <v>44572.0208333333</v>
      </c>
      <c r="B482" s="12" t="n">
        <v>330.836</v>
      </c>
      <c r="C482" s="0" t="n">
        <f aca="false">WEEKDAY(A482,2)</f>
        <v>2</v>
      </c>
      <c r="D482" s="0" t="n">
        <f aca="false">DAY(A482)</f>
        <v>11</v>
      </c>
      <c r="E482" s="0" t="n">
        <f aca="false">HOUR(A482)</f>
        <v>0</v>
      </c>
      <c r="F482" s="0" t="n">
        <f aca="false">IF(C482&gt;=6,0,1)</f>
        <v>1</v>
      </c>
      <c r="G482" s="0" t="n">
        <f aca="false">VLOOKUP(E482,Sheet1!$A$2:$B$25,2,0)</f>
        <v>0</v>
      </c>
    </row>
    <row r="483" customFormat="false" ht="15" hidden="false" customHeight="false" outlineLevel="0" collapsed="false">
      <c r="A483" s="13" t="n">
        <v>44572.0416666667</v>
      </c>
      <c r="B483" s="12" t="n">
        <v>326.756</v>
      </c>
      <c r="C483" s="0" t="n">
        <f aca="false">WEEKDAY(A483,2)</f>
        <v>2</v>
      </c>
      <c r="D483" s="0" t="n">
        <f aca="false">DAY(A483)</f>
        <v>11</v>
      </c>
      <c r="E483" s="0" t="n">
        <f aca="false">HOUR(A483)</f>
        <v>1</v>
      </c>
      <c r="F483" s="0" t="n">
        <f aca="false">IF(C483&gt;=6,0,1)</f>
        <v>1</v>
      </c>
      <c r="G483" s="0" t="n">
        <f aca="false">VLOOKUP(E483,Sheet1!$A$2:$B$25,2,0)</f>
        <v>0</v>
      </c>
    </row>
    <row r="484" customFormat="false" ht="15" hidden="false" customHeight="false" outlineLevel="0" collapsed="false">
      <c r="A484" s="13" t="n">
        <v>44572.0625</v>
      </c>
      <c r="B484" s="12" t="n">
        <v>324.356</v>
      </c>
      <c r="C484" s="0" t="n">
        <f aca="false">WEEKDAY(A484,2)</f>
        <v>2</v>
      </c>
      <c r="D484" s="0" t="n">
        <f aca="false">DAY(A484)</f>
        <v>11</v>
      </c>
      <c r="E484" s="0" t="n">
        <f aca="false">HOUR(A484)</f>
        <v>1</v>
      </c>
      <c r="F484" s="0" t="n">
        <f aca="false">IF(C484&gt;=6,0,1)</f>
        <v>1</v>
      </c>
      <c r="G484" s="0" t="n">
        <f aca="false">VLOOKUP(E484,Sheet1!$A$2:$B$25,2,0)</f>
        <v>0</v>
      </c>
    </row>
    <row r="485" customFormat="false" ht="15" hidden="false" customHeight="false" outlineLevel="0" collapsed="false">
      <c r="A485" s="13" t="n">
        <v>44572.0833333333</v>
      </c>
      <c r="B485" s="12" t="n">
        <v>323.876</v>
      </c>
      <c r="C485" s="0" t="n">
        <f aca="false">WEEKDAY(A485,2)</f>
        <v>2</v>
      </c>
      <c r="D485" s="0" t="n">
        <f aca="false">DAY(A485)</f>
        <v>11</v>
      </c>
      <c r="E485" s="0" t="n">
        <f aca="false">HOUR(A485)</f>
        <v>2</v>
      </c>
      <c r="F485" s="0" t="n">
        <f aca="false">IF(C485&gt;=6,0,1)</f>
        <v>1</v>
      </c>
      <c r="G485" s="0" t="n">
        <f aca="false">VLOOKUP(E485,Sheet1!$A$2:$B$25,2,0)</f>
        <v>0</v>
      </c>
    </row>
    <row r="486" customFormat="false" ht="15" hidden="false" customHeight="false" outlineLevel="0" collapsed="false">
      <c r="A486" s="13" t="n">
        <v>44572.1041666667</v>
      </c>
      <c r="B486" s="12" t="n">
        <v>322.825</v>
      </c>
      <c r="C486" s="0" t="n">
        <f aca="false">WEEKDAY(A486,2)</f>
        <v>2</v>
      </c>
      <c r="D486" s="0" t="n">
        <f aca="false">DAY(A486)</f>
        <v>11</v>
      </c>
      <c r="E486" s="0" t="n">
        <f aca="false">HOUR(A486)</f>
        <v>2</v>
      </c>
      <c r="F486" s="0" t="n">
        <f aca="false">IF(C486&gt;=6,0,1)</f>
        <v>1</v>
      </c>
      <c r="G486" s="0" t="n">
        <f aca="false">VLOOKUP(E486,Sheet1!$A$2:$B$25,2,0)</f>
        <v>0</v>
      </c>
    </row>
    <row r="487" customFormat="false" ht="15" hidden="false" customHeight="false" outlineLevel="0" collapsed="false">
      <c r="A487" s="13" t="n">
        <v>44572.125</v>
      </c>
      <c r="B487" s="12" t="n">
        <v>326.06</v>
      </c>
      <c r="C487" s="0" t="n">
        <f aca="false">WEEKDAY(A487,2)</f>
        <v>2</v>
      </c>
      <c r="D487" s="0" t="n">
        <f aca="false">DAY(A487)</f>
        <v>11</v>
      </c>
      <c r="E487" s="0" t="n">
        <f aca="false">HOUR(A487)</f>
        <v>3</v>
      </c>
      <c r="F487" s="0" t="n">
        <f aca="false">IF(C487&gt;=6,0,1)</f>
        <v>1</v>
      </c>
      <c r="G487" s="0" t="n">
        <f aca="false">VLOOKUP(E487,Sheet1!$A$2:$B$25,2,0)</f>
        <v>0</v>
      </c>
    </row>
    <row r="488" customFormat="false" ht="15" hidden="false" customHeight="false" outlineLevel="0" collapsed="false">
      <c r="A488" s="13" t="n">
        <v>44572.1458333333</v>
      </c>
      <c r="B488" s="12" t="n">
        <v>325.796</v>
      </c>
      <c r="C488" s="0" t="n">
        <f aca="false">WEEKDAY(A488,2)</f>
        <v>2</v>
      </c>
      <c r="D488" s="0" t="n">
        <f aca="false">DAY(A488)</f>
        <v>11</v>
      </c>
      <c r="E488" s="0" t="n">
        <f aca="false">HOUR(A488)</f>
        <v>3</v>
      </c>
      <c r="F488" s="0" t="n">
        <f aca="false">IF(C488&gt;=6,0,1)</f>
        <v>1</v>
      </c>
      <c r="G488" s="0" t="n">
        <f aca="false">VLOOKUP(E488,Sheet1!$A$2:$B$25,2,0)</f>
        <v>0</v>
      </c>
    </row>
    <row r="489" customFormat="false" ht="15" hidden="false" customHeight="false" outlineLevel="0" collapsed="false">
      <c r="A489" s="13" t="n">
        <v>44572.1666666667</v>
      </c>
      <c r="B489" s="12" t="n">
        <v>329.18</v>
      </c>
      <c r="C489" s="0" t="n">
        <f aca="false">WEEKDAY(A489,2)</f>
        <v>2</v>
      </c>
      <c r="D489" s="0" t="n">
        <f aca="false">DAY(A489)</f>
        <v>11</v>
      </c>
      <c r="E489" s="0" t="n">
        <f aca="false">HOUR(A489)</f>
        <v>4</v>
      </c>
      <c r="F489" s="0" t="n">
        <f aca="false">IF(C489&gt;=6,0,1)</f>
        <v>1</v>
      </c>
      <c r="G489" s="0" t="n">
        <f aca="false">VLOOKUP(E489,Sheet1!$A$2:$B$25,2,0)</f>
        <v>1</v>
      </c>
    </row>
    <row r="490" customFormat="false" ht="15" hidden="false" customHeight="false" outlineLevel="0" collapsed="false">
      <c r="A490" s="13" t="n">
        <v>44572.1875</v>
      </c>
      <c r="B490" s="12" t="n">
        <v>331.916</v>
      </c>
      <c r="C490" s="0" t="n">
        <f aca="false">WEEKDAY(A490,2)</f>
        <v>2</v>
      </c>
      <c r="D490" s="0" t="n">
        <f aca="false">DAY(A490)</f>
        <v>11</v>
      </c>
      <c r="E490" s="0" t="n">
        <f aca="false">HOUR(A490)</f>
        <v>4</v>
      </c>
      <c r="F490" s="0" t="n">
        <f aca="false">IF(C490&gt;=6,0,1)</f>
        <v>1</v>
      </c>
      <c r="G490" s="0" t="n">
        <f aca="false">VLOOKUP(E490,Sheet1!$A$2:$B$25,2,0)</f>
        <v>1</v>
      </c>
    </row>
    <row r="491" customFormat="false" ht="15" hidden="false" customHeight="false" outlineLevel="0" collapsed="false">
      <c r="A491" s="13" t="n">
        <v>44572.2083333333</v>
      </c>
      <c r="B491" s="12" t="n">
        <v>372.721</v>
      </c>
      <c r="C491" s="0" t="n">
        <f aca="false">WEEKDAY(A491,2)</f>
        <v>2</v>
      </c>
      <c r="D491" s="0" t="n">
        <f aca="false">DAY(A491)</f>
        <v>11</v>
      </c>
      <c r="E491" s="0" t="n">
        <f aca="false">HOUR(A491)</f>
        <v>5</v>
      </c>
      <c r="F491" s="0" t="n">
        <f aca="false">IF(C491&gt;=6,0,1)</f>
        <v>1</v>
      </c>
      <c r="G491" s="0" t="n">
        <f aca="false">VLOOKUP(E491,Sheet1!$A$2:$B$25,2,0)</f>
        <v>1</v>
      </c>
    </row>
    <row r="492" customFormat="false" ht="15" hidden="false" customHeight="false" outlineLevel="0" collapsed="false">
      <c r="A492" s="13" t="n">
        <v>44572.2291666667</v>
      </c>
      <c r="B492" s="12" t="n">
        <v>978.02</v>
      </c>
      <c r="C492" s="0" t="n">
        <f aca="false">WEEKDAY(A492,2)</f>
        <v>2</v>
      </c>
      <c r="D492" s="0" t="n">
        <f aca="false">DAY(A492)</f>
        <v>11</v>
      </c>
      <c r="E492" s="0" t="n">
        <f aca="false">HOUR(A492)</f>
        <v>5</v>
      </c>
      <c r="F492" s="0" t="n">
        <f aca="false">IF(C492&gt;=6,0,1)</f>
        <v>1</v>
      </c>
      <c r="G492" s="0" t="n">
        <f aca="false">VLOOKUP(E492,Sheet1!$A$2:$B$25,2,0)</f>
        <v>1</v>
      </c>
    </row>
    <row r="493" customFormat="false" ht="15" hidden="false" customHeight="false" outlineLevel="0" collapsed="false">
      <c r="A493" s="13" t="n">
        <v>44572.25</v>
      </c>
      <c r="B493" s="12" t="n">
        <v>723.956</v>
      </c>
      <c r="C493" s="0" t="n">
        <f aca="false">WEEKDAY(A493,2)</f>
        <v>2</v>
      </c>
      <c r="D493" s="0" t="n">
        <f aca="false">DAY(A493)</f>
        <v>11</v>
      </c>
      <c r="E493" s="0" t="n">
        <f aca="false">HOUR(A493)</f>
        <v>6</v>
      </c>
      <c r="F493" s="0" t="n">
        <f aca="false">IF(C493&gt;=6,0,1)</f>
        <v>1</v>
      </c>
      <c r="G493" s="0" t="n">
        <f aca="false">VLOOKUP(E493,Sheet1!$A$2:$B$25,2,0)</f>
        <v>1</v>
      </c>
    </row>
    <row r="494" customFormat="false" ht="15" hidden="false" customHeight="false" outlineLevel="0" collapsed="false">
      <c r="A494" s="13" t="n">
        <v>44572.2708333333</v>
      </c>
      <c r="B494" s="12" t="n">
        <v>814.82</v>
      </c>
      <c r="C494" s="0" t="n">
        <f aca="false">WEEKDAY(A494,2)</f>
        <v>2</v>
      </c>
      <c r="D494" s="0" t="n">
        <f aca="false">DAY(A494)</f>
        <v>11</v>
      </c>
      <c r="E494" s="0" t="n">
        <f aca="false">HOUR(A494)</f>
        <v>6</v>
      </c>
      <c r="F494" s="0" t="n">
        <f aca="false">IF(C494&gt;=6,0,1)</f>
        <v>1</v>
      </c>
      <c r="G494" s="0" t="n">
        <f aca="false">VLOOKUP(E494,Sheet1!$A$2:$B$25,2,0)</f>
        <v>1</v>
      </c>
    </row>
    <row r="495" customFormat="false" ht="15" hidden="false" customHeight="false" outlineLevel="0" collapsed="false">
      <c r="A495" s="13" t="n">
        <v>44572.2916666667</v>
      </c>
      <c r="B495" s="12" t="n">
        <v>900.025</v>
      </c>
      <c r="C495" s="0" t="n">
        <f aca="false">WEEKDAY(A495,2)</f>
        <v>2</v>
      </c>
      <c r="D495" s="0" t="n">
        <f aca="false">DAY(A495)</f>
        <v>11</v>
      </c>
      <c r="E495" s="0" t="n">
        <f aca="false">HOUR(A495)</f>
        <v>7</v>
      </c>
      <c r="F495" s="0" t="n">
        <f aca="false">IF(C495&gt;=6,0,1)</f>
        <v>1</v>
      </c>
      <c r="G495" s="0" t="n">
        <f aca="false">VLOOKUP(E495,Sheet1!$A$2:$B$25,2,0)</f>
        <v>1</v>
      </c>
    </row>
    <row r="496" customFormat="false" ht="15" hidden="false" customHeight="false" outlineLevel="0" collapsed="false">
      <c r="A496" s="13" t="n">
        <v>44572.3125</v>
      </c>
      <c r="B496" s="12" t="n">
        <v>885.26</v>
      </c>
      <c r="C496" s="0" t="n">
        <f aca="false">WEEKDAY(A496,2)</f>
        <v>2</v>
      </c>
      <c r="D496" s="0" t="n">
        <f aca="false">DAY(A496)</f>
        <v>11</v>
      </c>
      <c r="E496" s="0" t="n">
        <f aca="false">HOUR(A496)</f>
        <v>7</v>
      </c>
      <c r="F496" s="0" t="n">
        <f aca="false">IF(C496&gt;=6,0,1)</f>
        <v>1</v>
      </c>
      <c r="G496" s="0" t="n">
        <f aca="false">VLOOKUP(E496,Sheet1!$A$2:$B$25,2,0)</f>
        <v>1</v>
      </c>
    </row>
    <row r="497" customFormat="false" ht="15" hidden="false" customHeight="false" outlineLevel="0" collapsed="false">
      <c r="A497" s="13" t="n">
        <v>44572.3333333333</v>
      </c>
      <c r="B497" s="12" t="n">
        <v>836.78</v>
      </c>
      <c r="C497" s="0" t="n">
        <f aca="false">WEEKDAY(A497,2)</f>
        <v>2</v>
      </c>
      <c r="D497" s="0" t="n">
        <f aca="false">DAY(A497)</f>
        <v>11</v>
      </c>
      <c r="E497" s="0" t="n">
        <f aca="false">HOUR(A497)</f>
        <v>8</v>
      </c>
      <c r="F497" s="0" t="n">
        <f aca="false">IF(C497&gt;=6,0,1)</f>
        <v>1</v>
      </c>
      <c r="G497" s="0" t="n">
        <f aca="false">VLOOKUP(E497,Sheet1!$A$2:$B$25,2,0)</f>
        <v>1</v>
      </c>
    </row>
    <row r="498" customFormat="false" ht="15" hidden="false" customHeight="false" outlineLevel="0" collapsed="false">
      <c r="A498" s="13" t="n">
        <v>44572.3541666667</v>
      </c>
      <c r="B498" s="12" t="n">
        <v>864.836</v>
      </c>
      <c r="C498" s="0" t="n">
        <f aca="false">WEEKDAY(A498,2)</f>
        <v>2</v>
      </c>
      <c r="D498" s="0" t="n">
        <f aca="false">DAY(A498)</f>
        <v>11</v>
      </c>
      <c r="E498" s="0" t="n">
        <f aca="false">HOUR(A498)</f>
        <v>8</v>
      </c>
      <c r="F498" s="0" t="n">
        <f aca="false">IF(C498&gt;=6,0,1)</f>
        <v>1</v>
      </c>
      <c r="G498" s="0" t="n">
        <f aca="false">VLOOKUP(E498,Sheet1!$A$2:$B$25,2,0)</f>
        <v>1</v>
      </c>
    </row>
    <row r="499" customFormat="false" ht="15" hidden="false" customHeight="false" outlineLevel="0" collapsed="false">
      <c r="A499" s="13" t="n">
        <v>44572.375</v>
      </c>
      <c r="B499" s="12" t="n">
        <v>880.82</v>
      </c>
      <c r="C499" s="0" t="n">
        <f aca="false">WEEKDAY(A499,2)</f>
        <v>2</v>
      </c>
      <c r="D499" s="0" t="n">
        <f aca="false">DAY(A499)</f>
        <v>11</v>
      </c>
      <c r="E499" s="0" t="n">
        <f aca="false">HOUR(A499)</f>
        <v>9</v>
      </c>
      <c r="F499" s="0" t="n">
        <f aca="false">IF(C499&gt;=6,0,1)</f>
        <v>1</v>
      </c>
      <c r="G499" s="0" t="n">
        <f aca="false">VLOOKUP(E499,Sheet1!$A$2:$B$25,2,0)</f>
        <v>1</v>
      </c>
    </row>
    <row r="500" customFormat="false" ht="15" hidden="false" customHeight="false" outlineLevel="0" collapsed="false">
      <c r="A500" s="13" t="n">
        <v>44572.3958333333</v>
      </c>
      <c r="B500" s="12" t="n">
        <v>876.476</v>
      </c>
      <c r="C500" s="0" t="n">
        <f aca="false">WEEKDAY(A500,2)</f>
        <v>2</v>
      </c>
      <c r="D500" s="0" t="n">
        <f aca="false">DAY(A500)</f>
        <v>11</v>
      </c>
      <c r="E500" s="0" t="n">
        <f aca="false">HOUR(A500)</f>
        <v>9</v>
      </c>
      <c r="F500" s="0" t="n">
        <f aca="false">IF(C500&gt;=6,0,1)</f>
        <v>1</v>
      </c>
      <c r="G500" s="0" t="n">
        <f aca="false">VLOOKUP(E500,Sheet1!$A$2:$B$25,2,0)</f>
        <v>1</v>
      </c>
    </row>
    <row r="501" customFormat="false" ht="15" hidden="false" customHeight="false" outlineLevel="0" collapsed="false">
      <c r="A501" s="13" t="n">
        <v>44572.4166666667</v>
      </c>
      <c r="B501" s="12" t="n">
        <v>887.041</v>
      </c>
      <c r="C501" s="0" t="n">
        <f aca="false">WEEKDAY(A501,2)</f>
        <v>2</v>
      </c>
      <c r="D501" s="0" t="n">
        <f aca="false">DAY(A501)</f>
        <v>11</v>
      </c>
      <c r="E501" s="0" t="n">
        <f aca="false">HOUR(A501)</f>
        <v>10</v>
      </c>
      <c r="F501" s="0" t="n">
        <f aca="false">IF(C501&gt;=6,0,1)</f>
        <v>1</v>
      </c>
      <c r="G501" s="0" t="n">
        <f aca="false">VLOOKUP(E501,Sheet1!$A$2:$B$25,2,0)</f>
        <v>1</v>
      </c>
    </row>
    <row r="502" customFormat="false" ht="15" hidden="false" customHeight="false" outlineLevel="0" collapsed="false">
      <c r="A502" s="13" t="n">
        <v>44572.4375</v>
      </c>
      <c r="B502" s="12" t="n">
        <v>881.42</v>
      </c>
      <c r="C502" s="0" t="n">
        <f aca="false">WEEKDAY(A502,2)</f>
        <v>2</v>
      </c>
      <c r="D502" s="0" t="n">
        <f aca="false">DAY(A502)</f>
        <v>11</v>
      </c>
      <c r="E502" s="0" t="n">
        <f aca="false">HOUR(A502)</f>
        <v>10</v>
      </c>
      <c r="F502" s="0" t="n">
        <f aca="false">IF(C502&gt;=6,0,1)</f>
        <v>1</v>
      </c>
      <c r="G502" s="0" t="n">
        <f aca="false">VLOOKUP(E502,Sheet1!$A$2:$B$25,2,0)</f>
        <v>1</v>
      </c>
    </row>
    <row r="503" customFormat="false" ht="15" hidden="false" customHeight="false" outlineLevel="0" collapsed="false">
      <c r="A503" s="13" t="n">
        <v>44572.4583333333</v>
      </c>
      <c r="B503" s="12" t="n">
        <v>841.796</v>
      </c>
      <c r="C503" s="0" t="n">
        <f aca="false">WEEKDAY(A503,2)</f>
        <v>2</v>
      </c>
      <c r="D503" s="0" t="n">
        <f aca="false">DAY(A503)</f>
        <v>11</v>
      </c>
      <c r="E503" s="0" t="n">
        <f aca="false">HOUR(A503)</f>
        <v>11</v>
      </c>
      <c r="F503" s="0" t="n">
        <f aca="false">IF(C503&gt;=6,0,1)</f>
        <v>1</v>
      </c>
      <c r="G503" s="0" t="n">
        <f aca="false">VLOOKUP(E503,Sheet1!$A$2:$B$25,2,0)</f>
        <v>1</v>
      </c>
    </row>
    <row r="504" customFormat="false" ht="15" hidden="false" customHeight="false" outlineLevel="0" collapsed="false">
      <c r="A504" s="13" t="n">
        <v>44572.4791666667</v>
      </c>
      <c r="B504" s="12" t="n">
        <v>744.961</v>
      </c>
      <c r="C504" s="0" t="n">
        <f aca="false">WEEKDAY(A504,2)</f>
        <v>2</v>
      </c>
      <c r="D504" s="0" t="n">
        <f aca="false">DAY(A504)</f>
        <v>11</v>
      </c>
      <c r="E504" s="0" t="n">
        <f aca="false">HOUR(A504)</f>
        <v>11</v>
      </c>
      <c r="F504" s="0" t="n">
        <f aca="false">IF(C504&gt;=6,0,1)</f>
        <v>1</v>
      </c>
      <c r="G504" s="0" t="n">
        <f aca="false">VLOOKUP(E504,Sheet1!$A$2:$B$25,2,0)</f>
        <v>1</v>
      </c>
    </row>
    <row r="505" customFormat="false" ht="15" hidden="false" customHeight="false" outlineLevel="0" collapsed="false">
      <c r="A505" s="13" t="n">
        <v>44572.5</v>
      </c>
      <c r="B505" s="12" t="n">
        <v>855.356</v>
      </c>
      <c r="C505" s="0" t="n">
        <f aca="false">WEEKDAY(A505,2)</f>
        <v>2</v>
      </c>
      <c r="D505" s="0" t="n">
        <f aca="false">DAY(A505)</f>
        <v>11</v>
      </c>
      <c r="E505" s="0" t="n">
        <f aca="false">HOUR(A505)</f>
        <v>12</v>
      </c>
      <c r="F505" s="0" t="n">
        <f aca="false">IF(C505&gt;=6,0,1)</f>
        <v>1</v>
      </c>
      <c r="G505" s="0" t="n">
        <f aca="false">VLOOKUP(E505,Sheet1!$A$2:$B$25,2,0)</f>
        <v>1</v>
      </c>
    </row>
    <row r="506" customFormat="false" ht="15" hidden="false" customHeight="false" outlineLevel="0" collapsed="false">
      <c r="A506" s="13" t="n">
        <v>44572.5208333333</v>
      </c>
      <c r="B506" s="12" t="n">
        <v>821.516</v>
      </c>
      <c r="C506" s="0" t="n">
        <f aca="false">WEEKDAY(A506,2)</f>
        <v>2</v>
      </c>
      <c r="D506" s="0" t="n">
        <f aca="false">DAY(A506)</f>
        <v>11</v>
      </c>
      <c r="E506" s="0" t="n">
        <f aca="false">HOUR(A506)</f>
        <v>12</v>
      </c>
      <c r="F506" s="0" t="n">
        <f aca="false">IF(C506&gt;=6,0,1)</f>
        <v>1</v>
      </c>
      <c r="G506" s="0" t="n">
        <f aca="false">VLOOKUP(E506,Sheet1!$A$2:$B$25,2,0)</f>
        <v>1</v>
      </c>
    </row>
    <row r="507" customFormat="false" ht="15" hidden="false" customHeight="false" outlineLevel="0" collapsed="false">
      <c r="A507" s="13" t="n">
        <v>44572.5416666667</v>
      </c>
      <c r="B507" s="12" t="n">
        <v>758.9</v>
      </c>
      <c r="C507" s="0" t="n">
        <f aca="false">WEEKDAY(A507,2)</f>
        <v>2</v>
      </c>
      <c r="D507" s="0" t="n">
        <f aca="false">DAY(A507)</f>
        <v>11</v>
      </c>
      <c r="E507" s="0" t="n">
        <f aca="false">HOUR(A507)</f>
        <v>13</v>
      </c>
      <c r="F507" s="0" t="n">
        <f aca="false">IF(C507&gt;=6,0,1)</f>
        <v>1</v>
      </c>
      <c r="G507" s="0" t="n">
        <f aca="false">VLOOKUP(E507,Sheet1!$A$2:$B$25,2,0)</f>
        <v>1</v>
      </c>
    </row>
    <row r="508" customFormat="false" ht="15" hidden="false" customHeight="false" outlineLevel="0" collapsed="false">
      <c r="A508" s="13" t="n">
        <v>44572.5625</v>
      </c>
      <c r="B508" s="12" t="n">
        <v>682.705</v>
      </c>
      <c r="C508" s="0" t="n">
        <f aca="false">WEEKDAY(A508,2)</f>
        <v>2</v>
      </c>
      <c r="D508" s="0" t="n">
        <f aca="false">DAY(A508)</f>
        <v>11</v>
      </c>
      <c r="E508" s="0" t="n">
        <f aca="false">HOUR(A508)</f>
        <v>13</v>
      </c>
      <c r="F508" s="0" t="n">
        <f aca="false">IF(C508&gt;=6,0,1)</f>
        <v>1</v>
      </c>
      <c r="G508" s="0" t="n">
        <f aca="false">VLOOKUP(E508,Sheet1!$A$2:$B$25,2,0)</f>
        <v>1</v>
      </c>
    </row>
    <row r="509" customFormat="false" ht="15" hidden="false" customHeight="false" outlineLevel="0" collapsed="false">
      <c r="A509" s="13" t="n">
        <v>44572.5833333333</v>
      </c>
      <c r="B509" s="12" t="n">
        <v>354.38</v>
      </c>
      <c r="C509" s="0" t="n">
        <f aca="false">WEEKDAY(A509,2)</f>
        <v>2</v>
      </c>
      <c r="D509" s="0" t="n">
        <f aca="false">DAY(A509)</f>
        <v>11</v>
      </c>
      <c r="E509" s="0" t="n">
        <f aca="false">HOUR(A509)</f>
        <v>14</v>
      </c>
      <c r="F509" s="0" t="n">
        <f aca="false">IF(C509&gt;=6,0,1)</f>
        <v>1</v>
      </c>
      <c r="G509" s="0" t="n">
        <f aca="false">VLOOKUP(E509,Sheet1!$A$2:$B$25,2,0)</f>
        <v>1</v>
      </c>
    </row>
    <row r="510" customFormat="false" ht="15" hidden="false" customHeight="false" outlineLevel="0" collapsed="false">
      <c r="A510" s="13" t="n">
        <v>44572.6041666667</v>
      </c>
      <c r="B510" s="12" t="n">
        <v>353.18</v>
      </c>
      <c r="C510" s="0" t="n">
        <f aca="false">WEEKDAY(A510,2)</f>
        <v>2</v>
      </c>
      <c r="D510" s="0" t="n">
        <f aca="false">DAY(A510)</f>
        <v>11</v>
      </c>
      <c r="E510" s="0" t="n">
        <f aca="false">HOUR(A510)</f>
        <v>14</v>
      </c>
      <c r="F510" s="0" t="n">
        <f aca="false">IF(C510&gt;=6,0,1)</f>
        <v>1</v>
      </c>
      <c r="G510" s="0" t="n">
        <f aca="false">VLOOKUP(E510,Sheet1!$A$2:$B$25,2,0)</f>
        <v>1</v>
      </c>
    </row>
    <row r="511" customFormat="false" ht="15" hidden="false" customHeight="false" outlineLevel="0" collapsed="false">
      <c r="A511" s="13" t="n">
        <v>44572.625</v>
      </c>
      <c r="B511" s="12" t="n">
        <v>348.241</v>
      </c>
      <c r="C511" s="0" t="n">
        <f aca="false">WEEKDAY(A511,2)</f>
        <v>2</v>
      </c>
      <c r="D511" s="0" t="n">
        <f aca="false">DAY(A511)</f>
        <v>11</v>
      </c>
      <c r="E511" s="0" t="n">
        <f aca="false">HOUR(A511)</f>
        <v>15</v>
      </c>
      <c r="F511" s="0" t="n">
        <f aca="false">IF(C511&gt;=6,0,1)</f>
        <v>1</v>
      </c>
      <c r="G511" s="0" t="n">
        <f aca="false">VLOOKUP(E511,Sheet1!$A$2:$B$25,2,0)</f>
        <v>1</v>
      </c>
    </row>
    <row r="512" customFormat="false" ht="15" hidden="false" customHeight="false" outlineLevel="0" collapsed="false">
      <c r="A512" s="13" t="n">
        <v>44572.6458333333</v>
      </c>
      <c r="B512" s="12" t="n">
        <v>348.5</v>
      </c>
      <c r="C512" s="0" t="n">
        <f aca="false">WEEKDAY(A512,2)</f>
        <v>2</v>
      </c>
      <c r="D512" s="0" t="n">
        <f aca="false">DAY(A512)</f>
        <v>11</v>
      </c>
      <c r="E512" s="0" t="n">
        <f aca="false">HOUR(A512)</f>
        <v>15</v>
      </c>
      <c r="F512" s="0" t="n">
        <f aca="false">IF(C512&gt;=6,0,1)</f>
        <v>1</v>
      </c>
      <c r="G512" s="0" t="n">
        <f aca="false">VLOOKUP(E512,Sheet1!$A$2:$B$25,2,0)</f>
        <v>1</v>
      </c>
    </row>
    <row r="513" customFormat="false" ht="15" hidden="false" customHeight="false" outlineLevel="0" collapsed="false">
      <c r="A513" s="13" t="n">
        <v>44572.6666666667</v>
      </c>
      <c r="B513" s="12" t="n">
        <v>335.761</v>
      </c>
      <c r="C513" s="0" t="n">
        <f aca="false">WEEKDAY(A513,2)</f>
        <v>2</v>
      </c>
      <c r="D513" s="0" t="n">
        <f aca="false">DAY(A513)</f>
        <v>11</v>
      </c>
      <c r="E513" s="0" t="n">
        <f aca="false">HOUR(A513)</f>
        <v>16</v>
      </c>
      <c r="F513" s="0" t="n">
        <f aca="false">IF(C513&gt;=6,0,1)</f>
        <v>1</v>
      </c>
      <c r="G513" s="0" t="n">
        <f aca="false">VLOOKUP(E513,Sheet1!$A$2:$B$25,2,0)</f>
        <v>0</v>
      </c>
    </row>
    <row r="514" customFormat="false" ht="15" hidden="false" customHeight="false" outlineLevel="0" collapsed="false">
      <c r="A514" s="13" t="n">
        <v>44572.6875</v>
      </c>
      <c r="B514" s="12" t="n">
        <v>325.916</v>
      </c>
      <c r="C514" s="0" t="n">
        <f aca="false">WEEKDAY(A514,2)</f>
        <v>2</v>
      </c>
      <c r="D514" s="0" t="n">
        <f aca="false">DAY(A514)</f>
        <v>11</v>
      </c>
      <c r="E514" s="0" t="n">
        <f aca="false">HOUR(A514)</f>
        <v>16</v>
      </c>
      <c r="F514" s="0" t="n">
        <f aca="false">IF(C514&gt;=6,0,1)</f>
        <v>1</v>
      </c>
      <c r="G514" s="0" t="n">
        <f aca="false">VLOOKUP(E514,Sheet1!$A$2:$B$25,2,0)</f>
        <v>0</v>
      </c>
    </row>
    <row r="515" customFormat="false" ht="15" hidden="false" customHeight="false" outlineLevel="0" collapsed="false">
      <c r="A515" s="13" t="n">
        <v>44572.7083333333</v>
      </c>
      <c r="B515" s="12" t="n">
        <v>329.996</v>
      </c>
      <c r="C515" s="0" t="n">
        <f aca="false">WEEKDAY(A515,2)</f>
        <v>2</v>
      </c>
      <c r="D515" s="0" t="n">
        <f aca="false">DAY(A515)</f>
        <v>11</v>
      </c>
      <c r="E515" s="0" t="n">
        <f aca="false">HOUR(A515)</f>
        <v>17</v>
      </c>
      <c r="F515" s="0" t="n">
        <f aca="false">IF(C515&gt;=6,0,1)</f>
        <v>1</v>
      </c>
      <c r="G515" s="0" t="n">
        <f aca="false">VLOOKUP(E515,Sheet1!$A$2:$B$25,2,0)</f>
        <v>0</v>
      </c>
    </row>
    <row r="516" customFormat="false" ht="15" hidden="false" customHeight="false" outlineLevel="0" collapsed="false">
      <c r="A516" s="13" t="n">
        <v>44572.7291666667</v>
      </c>
      <c r="B516" s="12" t="n">
        <v>328.316</v>
      </c>
      <c r="C516" s="0" t="n">
        <f aca="false">WEEKDAY(A516,2)</f>
        <v>2</v>
      </c>
      <c r="D516" s="0" t="n">
        <f aca="false">DAY(A516)</f>
        <v>11</v>
      </c>
      <c r="E516" s="0" t="n">
        <f aca="false">HOUR(A516)</f>
        <v>17</v>
      </c>
      <c r="F516" s="0" t="n">
        <f aca="false">IF(C516&gt;=6,0,1)</f>
        <v>1</v>
      </c>
      <c r="G516" s="0" t="n">
        <f aca="false">VLOOKUP(E516,Sheet1!$A$2:$B$25,2,0)</f>
        <v>0</v>
      </c>
    </row>
    <row r="517" customFormat="false" ht="15" hidden="false" customHeight="false" outlineLevel="0" collapsed="false">
      <c r="A517" s="13" t="n">
        <v>44572.75</v>
      </c>
      <c r="B517" s="12" t="n">
        <v>335.785</v>
      </c>
      <c r="C517" s="0" t="n">
        <f aca="false">WEEKDAY(A517,2)</f>
        <v>2</v>
      </c>
      <c r="D517" s="0" t="n">
        <f aca="false">DAY(A517)</f>
        <v>11</v>
      </c>
      <c r="E517" s="0" t="n">
        <f aca="false">HOUR(A517)</f>
        <v>18</v>
      </c>
      <c r="F517" s="0" t="n">
        <f aca="false">IF(C517&gt;=6,0,1)</f>
        <v>1</v>
      </c>
      <c r="G517" s="0" t="n">
        <f aca="false">VLOOKUP(E517,Sheet1!$A$2:$B$25,2,0)</f>
        <v>0</v>
      </c>
    </row>
    <row r="518" customFormat="false" ht="15" hidden="false" customHeight="false" outlineLevel="0" collapsed="false">
      <c r="A518" s="13" t="n">
        <v>44572.7708333333</v>
      </c>
      <c r="B518" s="12" t="n">
        <v>315.476</v>
      </c>
      <c r="C518" s="0" t="n">
        <f aca="false">WEEKDAY(A518,2)</f>
        <v>2</v>
      </c>
      <c r="D518" s="0" t="n">
        <f aca="false">DAY(A518)</f>
        <v>11</v>
      </c>
      <c r="E518" s="0" t="n">
        <f aca="false">HOUR(A518)</f>
        <v>18</v>
      </c>
      <c r="F518" s="0" t="n">
        <f aca="false">IF(C518&gt;=6,0,1)</f>
        <v>1</v>
      </c>
      <c r="G518" s="0" t="n">
        <f aca="false">VLOOKUP(E518,Sheet1!$A$2:$B$25,2,0)</f>
        <v>0</v>
      </c>
    </row>
    <row r="519" customFormat="false" ht="15" hidden="false" customHeight="false" outlineLevel="0" collapsed="false">
      <c r="A519" s="13" t="n">
        <v>44572.7916666667</v>
      </c>
      <c r="B519" s="12" t="n">
        <v>313.436</v>
      </c>
      <c r="C519" s="0" t="n">
        <f aca="false">WEEKDAY(A519,2)</f>
        <v>2</v>
      </c>
      <c r="D519" s="0" t="n">
        <f aca="false">DAY(A519)</f>
        <v>11</v>
      </c>
      <c r="E519" s="0" t="n">
        <f aca="false">HOUR(A519)</f>
        <v>19</v>
      </c>
      <c r="F519" s="0" t="n">
        <f aca="false">IF(C519&gt;=6,0,1)</f>
        <v>1</v>
      </c>
      <c r="G519" s="0" t="n">
        <f aca="false">VLOOKUP(E519,Sheet1!$A$2:$B$25,2,0)</f>
        <v>0</v>
      </c>
    </row>
    <row r="520" customFormat="false" ht="15" hidden="false" customHeight="false" outlineLevel="0" collapsed="false">
      <c r="A520" s="13" t="n">
        <v>44572.8125</v>
      </c>
      <c r="B520" s="12" t="n">
        <v>321.5</v>
      </c>
      <c r="C520" s="0" t="n">
        <f aca="false">WEEKDAY(A520,2)</f>
        <v>2</v>
      </c>
      <c r="D520" s="0" t="n">
        <f aca="false">DAY(A520)</f>
        <v>11</v>
      </c>
      <c r="E520" s="0" t="n">
        <f aca="false">HOUR(A520)</f>
        <v>19</v>
      </c>
      <c r="F520" s="0" t="n">
        <f aca="false">IF(C520&gt;=6,0,1)</f>
        <v>1</v>
      </c>
      <c r="G520" s="0" t="n">
        <f aca="false">VLOOKUP(E520,Sheet1!$A$2:$B$25,2,0)</f>
        <v>0</v>
      </c>
    </row>
    <row r="521" customFormat="false" ht="15" hidden="false" customHeight="false" outlineLevel="0" collapsed="false">
      <c r="A521" s="13" t="n">
        <v>44572.8333333333</v>
      </c>
      <c r="B521" s="12" t="n">
        <v>310.945</v>
      </c>
      <c r="C521" s="0" t="n">
        <f aca="false">WEEKDAY(A521,2)</f>
        <v>2</v>
      </c>
      <c r="D521" s="0" t="n">
        <f aca="false">DAY(A521)</f>
        <v>11</v>
      </c>
      <c r="E521" s="0" t="n">
        <f aca="false">HOUR(A521)</f>
        <v>20</v>
      </c>
      <c r="F521" s="0" t="n">
        <f aca="false">IF(C521&gt;=6,0,1)</f>
        <v>1</v>
      </c>
      <c r="G521" s="0" t="n">
        <f aca="false">VLOOKUP(E521,Sheet1!$A$2:$B$25,2,0)</f>
        <v>0</v>
      </c>
    </row>
    <row r="522" customFormat="false" ht="15" hidden="false" customHeight="false" outlineLevel="0" collapsed="false">
      <c r="A522" s="13" t="n">
        <v>44572.8541666667</v>
      </c>
      <c r="B522" s="12" t="n">
        <v>309.716</v>
      </c>
      <c r="C522" s="0" t="n">
        <f aca="false">WEEKDAY(A522,2)</f>
        <v>2</v>
      </c>
      <c r="D522" s="0" t="n">
        <f aca="false">DAY(A522)</f>
        <v>11</v>
      </c>
      <c r="E522" s="0" t="n">
        <f aca="false">HOUR(A522)</f>
        <v>20</v>
      </c>
      <c r="F522" s="0" t="n">
        <f aca="false">IF(C522&gt;=6,0,1)</f>
        <v>1</v>
      </c>
      <c r="G522" s="0" t="n">
        <f aca="false">VLOOKUP(E522,Sheet1!$A$2:$B$25,2,0)</f>
        <v>0</v>
      </c>
    </row>
    <row r="523" customFormat="false" ht="15" hidden="false" customHeight="false" outlineLevel="0" collapsed="false">
      <c r="A523" s="13" t="n">
        <v>44572.875</v>
      </c>
      <c r="B523" s="12" t="n">
        <v>305.66</v>
      </c>
      <c r="C523" s="0" t="n">
        <f aca="false">WEEKDAY(A523,2)</f>
        <v>2</v>
      </c>
      <c r="D523" s="0" t="n">
        <f aca="false">DAY(A523)</f>
        <v>11</v>
      </c>
      <c r="E523" s="0" t="n">
        <f aca="false">HOUR(A523)</f>
        <v>21</v>
      </c>
      <c r="F523" s="0" t="n">
        <f aca="false">IF(C523&gt;=6,0,1)</f>
        <v>1</v>
      </c>
      <c r="G523" s="0" t="n">
        <f aca="false">VLOOKUP(E523,Sheet1!$A$2:$B$25,2,0)</f>
        <v>0</v>
      </c>
    </row>
    <row r="524" customFormat="false" ht="15" hidden="false" customHeight="false" outlineLevel="0" collapsed="false">
      <c r="A524" s="13" t="n">
        <v>44572.8958333333</v>
      </c>
      <c r="B524" s="12" t="n">
        <v>302.876</v>
      </c>
      <c r="C524" s="0" t="n">
        <f aca="false">WEEKDAY(A524,2)</f>
        <v>2</v>
      </c>
      <c r="D524" s="0" t="n">
        <f aca="false">DAY(A524)</f>
        <v>11</v>
      </c>
      <c r="E524" s="0" t="n">
        <f aca="false">HOUR(A524)</f>
        <v>21</v>
      </c>
      <c r="F524" s="0" t="n">
        <f aca="false">IF(C524&gt;=6,0,1)</f>
        <v>1</v>
      </c>
      <c r="G524" s="0" t="n">
        <f aca="false">VLOOKUP(E524,Sheet1!$A$2:$B$25,2,0)</f>
        <v>0</v>
      </c>
    </row>
    <row r="525" customFormat="false" ht="15" hidden="false" customHeight="false" outlineLevel="0" collapsed="false">
      <c r="A525" s="13" t="n">
        <v>44572.9166666667</v>
      </c>
      <c r="B525" s="12" t="n">
        <v>305.281</v>
      </c>
      <c r="C525" s="0" t="n">
        <f aca="false">WEEKDAY(A525,2)</f>
        <v>2</v>
      </c>
      <c r="D525" s="0" t="n">
        <f aca="false">DAY(A525)</f>
        <v>11</v>
      </c>
      <c r="E525" s="0" t="n">
        <f aca="false">HOUR(A525)</f>
        <v>22</v>
      </c>
      <c r="F525" s="0" t="n">
        <f aca="false">IF(C525&gt;=6,0,1)</f>
        <v>1</v>
      </c>
      <c r="G525" s="0" t="n">
        <f aca="false">VLOOKUP(E525,Sheet1!$A$2:$B$25,2,0)</f>
        <v>0</v>
      </c>
    </row>
    <row r="526" customFormat="false" ht="15" hidden="false" customHeight="false" outlineLevel="0" collapsed="false">
      <c r="A526" s="13" t="n">
        <v>44572.9375</v>
      </c>
      <c r="B526" s="12" t="n">
        <v>304.22</v>
      </c>
      <c r="C526" s="0" t="n">
        <f aca="false">WEEKDAY(A526,2)</f>
        <v>2</v>
      </c>
      <c r="D526" s="0" t="n">
        <f aca="false">DAY(A526)</f>
        <v>11</v>
      </c>
      <c r="E526" s="0" t="n">
        <f aca="false">HOUR(A526)</f>
        <v>22</v>
      </c>
      <c r="F526" s="0" t="n">
        <f aca="false">IF(C526&gt;=6,0,1)</f>
        <v>1</v>
      </c>
      <c r="G526" s="0" t="n">
        <f aca="false">VLOOKUP(E526,Sheet1!$A$2:$B$25,2,0)</f>
        <v>0</v>
      </c>
    </row>
    <row r="527" customFormat="false" ht="15" hidden="false" customHeight="false" outlineLevel="0" collapsed="false">
      <c r="A527" s="13" t="n">
        <v>44572.9583333333</v>
      </c>
      <c r="B527" s="12" t="n">
        <v>301.22</v>
      </c>
      <c r="C527" s="0" t="n">
        <f aca="false">WEEKDAY(A527,2)</f>
        <v>2</v>
      </c>
      <c r="D527" s="0" t="n">
        <f aca="false">DAY(A527)</f>
        <v>11</v>
      </c>
      <c r="E527" s="0" t="n">
        <f aca="false">HOUR(A527)</f>
        <v>23</v>
      </c>
      <c r="F527" s="0" t="n">
        <f aca="false">IF(C527&gt;=6,0,1)</f>
        <v>1</v>
      </c>
      <c r="G527" s="0" t="n">
        <f aca="false">VLOOKUP(E527,Sheet1!$A$2:$B$25,2,0)</f>
        <v>0</v>
      </c>
    </row>
    <row r="528" customFormat="false" ht="15" hidden="false" customHeight="false" outlineLevel="0" collapsed="false">
      <c r="A528" s="13" t="n">
        <v>44572.9791666667</v>
      </c>
      <c r="B528" s="12" t="n">
        <v>300.476</v>
      </c>
      <c r="C528" s="0" t="n">
        <f aca="false">WEEKDAY(A528,2)</f>
        <v>2</v>
      </c>
      <c r="D528" s="0" t="n">
        <f aca="false">DAY(A528)</f>
        <v>11</v>
      </c>
      <c r="E528" s="0" t="n">
        <f aca="false">HOUR(A528)</f>
        <v>23</v>
      </c>
      <c r="F528" s="0" t="n">
        <f aca="false">IF(C528&gt;=6,0,1)</f>
        <v>1</v>
      </c>
      <c r="G528" s="0" t="n">
        <f aca="false">VLOOKUP(E528,Sheet1!$A$2:$B$25,2,0)</f>
        <v>0</v>
      </c>
    </row>
    <row r="529" customFormat="false" ht="15" hidden="false" customHeight="false" outlineLevel="0" collapsed="false">
      <c r="A529" s="13" t="n">
        <v>44573</v>
      </c>
      <c r="B529" s="12" t="n">
        <v>302.185</v>
      </c>
      <c r="C529" s="0" t="n">
        <f aca="false">WEEKDAY(A529,2)</f>
        <v>3</v>
      </c>
      <c r="D529" s="0" t="n">
        <f aca="false">DAY(A529)</f>
        <v>12</v>
      </c>
      <c r="E529" s="0" t="n">
        <f aca="false">HOUR(A529)</f>
        <v>0</v>
      </c>
      <c r="F529" s="0" t="n">
        <f aca="false">IF(C529&gt;=6,0,1)</f>
        <v>1</v>
      </c>
      <c r="G529" s="0" t="n">
        <f aca="false">VLOOKUP(E529,Sheet1!$A$2:$B$25,2,0)</f>
        <v>0</v>
      </c>
    </row>
    <row r="530" customFormat="false" ht="15" hidden="false" customHeight="false" outlineLevel="0" collapsed="false">
      <c r="A530" s="13" t="n">
        <v>44573.0208333333</v>
      </c>
      <c r="B530" s="12" t="n">
        <v>309.62</v>
      </c>
      <c r="C530" s="0" t="n">
        <f aca="false">WEEKDAY(A530,2)</f>
        <v>3</v>
      </c>
      <c r="D530" s="0" t="n">
        <f aca="false">DAY(A530)</f>
        <v>12</v>
      </c>
      <c r="E530" s="0" t="n">
        <f aca="false">HOUR(A530)</f>
        <v>0</v>
      </c>
      <c r="F530" s="0" t="n">
        <f aca="false">IF(C530&gt;=6,0,1)</f>
        <v>1</v>
      </c>
      <c r="G530" s="0" t="n">
        <f aca="false">VLOOKUP(E530,Sheet1!$A$2:$B$25,2,0)</f>
        <v>0</v>
      </c>
    </row>
    <row r="531" customFormat="false" ht="15" hidden="false" customHeight="false" outlineLevel="0" collapsed="false">
      <c r="A531" s="13" t="n">
        <v>44573.0416666667</v>
      </c>
      <c r="B531" s="12" t="n">
        <v>303.38</v>
      </c>
      <c r="C531" s="0" t="n">
        <f aca="false">WEEKDAY(A531,2)</f>
        <v>3</v>
      </c>
      <c r="D531" s="0" t="n">
        <f aca="false">DAY(A531)</f>
        <v>12</v>
      </c>
      <c r="E531" s="0" t="n">
        <f aca="false">HOUR(A531)</f>
        <v>1</v>
      </c>
      <c r="F531" s="0" t="n">
        <f aca="false">IF(C531&gt;=6,0,1)</f>
        <v>1</v>
      </c>
      <c r="G531" s="0" t="n">
        <f aca="false">VLOOKUP(E531,Sheet1!$A$2:$B$25,2,0)</f>
        <v>0</v>
      </c>
    </row>
    <row r="532" customFormat="false" ht="15" hidden="false" customHeight="false" outlineLevel="0" collapsed="false">
      <c r="A532" s="13" t="n">
        <v>44573.0625</v>
      </c>
      <c r="B532" s="12" t="n">
        <v>303.86</v>
      </c>
      <c r="C532" s="0" t="n">
        <f aca="false">WEEKDAY(A532,2)</f>
        <v>3</v>
      </c>
      <c r="D532" s="0" t="n">
        <f aca="false">DAY(A532)</f>
        <v>12</v>
      </c>
      <c r="E532" s="0" t="n">
        <f aca="false">HOUR(A532)</f>
        <v>1</v>
      </c>
      <c r="F532" s="0" t="n">
        <f aca="false">IF(C532&gt;=6,0,1)</f>
        <v>1</v>
      </c>
      <c r="G532" s="0" t="n">
        <f aca="false">VLOOKUP(E532,Sheet1!$A$2:$B$25,2,0)</f>
        <v>0</v>
      </c>
    </row>
    <row r="533" customFormat="false" ht="15" hidden="false" customHeight="false" outlineLevel="0" collapsed="false">
      <c r="A533" s="13" t="n">
        <v>44573.0833333333</v>
      </c>
      <c r="B533" s="12" t="n">
        <v>303.745</v>
      </c>
      <c r="C533" s="0" t="n">
        <f aca="false">WEEKDAY(A533,2)</f>
        <v>3</v>
      </c>
      <c r="D533" s="0" t="n">
        <f aca="false">DAY(A533)</f>
        <v>12</v>
      </c>
      <c r="E533" s="0" t="n">
        <f aca="false">HOUR(A533)</f>
        <v>2</v>
      </c>
      <c r="F533" s="0" t="n">
        <f aca="false">IF(C533&gt;=6,0,1)</f>
        <v>1</v>
      </c>
      <c r="G533" s="0" t="n">
        <f aca="false">VLOOKUP(E533,Sheet1!$A$2:$B$25,2,0)</f>
        <v>0</v>
      </c>
    </row>
    <row r="534" customFormat="false" ht="15" hidden="false" customHeight="false" outlineLevel="0" collapsed="false">
      <c r="A534" s="13" t="n">
        <v>44573.1041666667</v>
      </c>
      <c r="B534" s="12" t="n">
        <v>303.38</v>
      </c>
      <c r="C534" s="0" t="n">
        <f aca="false">WEEKDAY(A534,2)</f>
        <v>3</v>
      </c>
      <c r="D534" s="0" t="n">
        <f aca="false">DAY(A534)</f>
        <v>12</v>
      </c>
      <c r="E534" s="0" t="n">
        <f aca="false">HOUR(A534)</f>
        <v>2</v>
      </c>
      <c r="F534" s="0" t="n">
        <f aca="false">IF(C534&gt;=6,0,1)</f>
        <v>1</v>
      </c>
      <c r="G534" s="0" t="n">
        <f aca="false">VLOOKUP(E534,Sheet1!$A$2:$B$25,2,0)</f>
        <v>0</v>
      </c>
    </row>
    <row r="535" customFormat="false" ht="15" hidden="false" customHeight="false" outlineLevel="0" collapsed="false">
      <c r="A535" s="13" t="n">
        <v>44573.125</v>
      </c>
      <c r="B535" s="12" t="n">
        <v>303.26</v>
      </c>
      <c r="C535" s="0" t="n">
        <f aca="false">WEEKDAY(A535,2)</f>
        <v>3</v>
      </c>
      <c r="D535" s="0" t="n">
        <f aca="false">DAY(A535)</f>
        <v>12</v>
      </c>
      <c r="E535" s="0" t="n">
        <f aca="false">HOUR(A535)</f>
        <v>3</v>
      </c>
      <c r="F535" s="0" t="n">
        <f aca="false">IF(C535&gt;=6,0,1)</f>
        <v>1</v>
      </c>
      <c r="G535" s="0" t="n">
        <f aca="false">VLOOKUP(E535,Sheet1!$A$2:$B$25,2,0)</f>
        <v>0</v>
      </c>
    </row>
    <row r="536" customFormat="false" ht="15" hidden="false" customHeight="false" outlineLevel="0" collapsed="false">
      <c r="A536" s="13" t="n">
        <v>44573.1458333333</v>
      </c>
      <c r="B536" s="12" t="n">
        <v>384.596</v>
      </c>
      <c r="C536" s="0" t="n">
        <f aca="false">WEEKDAY(A536,2)</f>
        <v>3</v>
      </c>
      <c r="D536" s="0" t="n">
        <f aca="false">DAY(A536)</f>
        <v>12</v>
      </c>
      <c r="E536" s="0" t="n">
        <f aca="false">HOUR(A536)</f>
        <v>3</v>
      </c>
      <c r="F536" s="0" t="n">
        <f aca="false">IF(C536&gt;=6,0,1)</f>
        <v>1</v>
      </c>
      <c r="G536" s="0" t="n">
        <f aca="false">VLOOKUP(E536,Sheet1!$A$2:$B$25,2,0)</f>
        <v>0</v>
      </c>
    </row>
    <row r="537" customFormat="false" ht="15" hidden="false" customHeight="false" outlineLevel="0" collapsed="false">
      <c r="A537" s="13" t="n">
        <v>44573.1666666667</v>
      </c>
      <c r="B537" s="12" t="n">
        <v>319.1</v>
      </c>
      <c r="C537" s="0" t="n">
        <f aca="false">WEEKDAY(A537,2)</f>
        <v>3</v>
      </c>
      <c r="D537" s="0" t="n">
        <f aca="false">DAY(A537)</f>
        <v>12</v>
      </c>
      <c r="E537" s="0" t="n">
        <f aca="false">HOUR(A537)</f>
        <v>4</v>
      </c>
      <c r="F537" s="0" t="n">
        <f aca="false">IF(C537&gt;=6,0,1)</f>
        <v>1</v>
      </c>
      <c r="G537" s="0" t="n">
        <f aca="false">VLOOKUP(E537,Sheet1!$A$2:$B$25,2,0)</f>
        <v>1</v>
      </c>
    </row>
    <row r="538" customFormat="false" ht="15" hidden="false" customHeight="false" outlineLevel="0" collapsed="false">
      <c r="A538" s="13" t="n">
        <v>44573.1875</v>
      </c>
      <c r="B538" s="12" t="n">
        <v>317.036</v>
      </c>
      <c r="C538" s="0" t="n">
        <f aca="false">WEEKDAY(A538,2)</f>
        <v>3</v>
      </c>
      <c r="D538" s="0" t="n">
        <f aca="false">DAY(A538)</f>
        <v>12</v>
      </c>
      <c r="E538" s="0" t="n">
        <f aca="false">HOUR(A538)</f>
        <v>4</v>
      </c>
      <c r="F538" s="0" t="n">
        <f aca="false">IF(C538&gt;=6,0,1)</f>
        <v>1</v>
      </c>
      <c r="G538" s="0" t="n">
        <f aca="false">VLOOKUP(E538,Sheet1!$A$2:$B$25,2,0)</f>
        <v>1</v>
      </c>
    </row>
    <row r="539" customFormat="false" ht="15" hidden="false" customHeight="false" outlineLevel="0" collapsed="false">
      <c r="A539" s="13" t="n">
        <v>44573.2083333333</v>
      </c>
      <c r="B539" s="12" t="n">
        <v>329.401</v>
      </c>
      <c r="C539" s="0" t="n">
        <f aca="false">WEEKDAY(A539,2)</f>
        <v>3</v>
      </c>
      <c r="D539" s="0" t="n">
        <f aca="false">DAY(A539)</f>
        <v>12</v>
      </c>
      <c r="E539" s="0" t="n">
        <f aca="false">HOUR(A539)</f>
        <v>5</v>
      </c>
      <c r="F539" s="0" t="n">
        <f aca="false">IF(C539&gt;=6,0,1)</f>
        <v>1</v>
      </c>
      <c r="G539" s="0" t="n">
        <f aca="false">VLOOKUP(E539,Sheet1!$A$2:$B$25,2,0)</f>
        <v>1</v>
      </c>
    </row>
    <row r="540" customFormat="false" ht="15" hidden="false" customHeight="false" outlineLevel="0" collapsed="false">
      <c r="A540" s="13" t="n">
        <v>44573.2291666667</v>
      </c>
      <c r="B540" s="12" t="n">
        <v>752.3</v>
      </c>
      <c r="C540" s="0" t="n">
        <f aca="false">WEEKDAY(A540,2)</f>
        <v>3</v>
      </c>
      <c r="D540" s="0" t="n">
        <f aca="false">DAY(A540)</f>
        <v>12</v>
      </c>
      <c r="E540" s="0" t="n">
        <f aca="false">HOUR(A540)</f>
        <v>5</v>
      </c>
      <c r="F540" s="0" t="n">
        <f aca="false">IF(C540&gt;=6,0,1)</f>
        <v>1</v>
      </c>
      <c r="G540" s="0" t="n">
        <f aca="false">VLOOKUP(E540,Sheet1!$A$2:$B$25,2,0)</f>
        <v>1</v>
      </c>
    </row>
    <row r="541" customFormat="false" ht="15" hidden="false" customHeight="false" outlineLevel="0" collapsed="false">
      <c r="A541" s="13" t="n">
        <v>44573.25</v>
      </c>
      <c r="B541" s="12" t="n">
        <v>730.46</v>
      </c>
      <c r="C541" s="0" t="n">
        <f aca="false">WEEKDAY(A541,2)</f>
        <v>3</v>
      </c>
      <c r="D541" s="0" t="n">
        <f aca="false">DAY(A541)</f>
        <v>12</v>
      </c>
      <c r="E541" s="0" t="n">
        <f aca="false">HOUR(A541)</f>
        <v>6</v>
      </c>
      <c r="F541" s="0" t="n">
        <f aca="false">IF(C541&gt;=6,0,1)</f>
        <v>1</v>
      </c>
      <c r="G541" s="0" t="n">
        <f aca="false">VLOOKUP(E541,Sheet1!$A$2:$B$25,2,0)</f>
        <v>1</v>
      </c>
    </row>
    <row r="542" customFormat="false" ht="15" hidden="false" customHeight="false" outlineLevel="0" collapsed="false">
      <c r="A542" s="13" t="n">
        <v>44573.2708333333</v>
      </c>
      <c r="B542" s="12" t="n">
        <v>766.34</v>
      </c>
      <c r="C542" s="0" t="n">
        <f aca="false">WEEKDAY(A542,2)</f>
        <v>3</v>
      </c>
      <c r="D542" s="0" t="n">
        <f aca="false">DAY(A542)</f>
        <v>12</v>
      </c>
      <c r="E542" s="0" t="n">
        <f aca="false">HOUR(A542)</f>
        <v>6</v>
      </c>
      <c r="F542" s="0" t="n">
        <f aca="false">IF(C542&gt;=6,0,1)</f>
        <v>1</v>
      </c>
      <c r="G542" s="0" t="n">
        <f aca="false">VLOOKUP(E542,Sheet1!$A$2:$B$25,2,0)</f>
        <v>1</v>
      </c>
    </row>
    <row r="543" customFormat="false" ht="15" hidden="false" customHeight="false" outlineLevel="0" collapsed="false">
      <c r="A543" s="13" t="n">
        <v>44573.2916666667</v>
      </c>
      <c r="B543" s="12" t="n">
        <v>916.34</v>
      </c>
      <c r="C543" s="0" t="n">
        <f aca="false">WEEKDAY(A543,2)</f>
        <v>3</v>
      </c>
      <c r="D543" s="0" t="n">
        <f aca="false">DAY(A543)</f>
        <v>12</v>
      </c>
      <c r="E543" s="0" t="n">
        <f aca="false">HOUR(A543)</f>
        <v>7</v>
      </c>
      <c r="F543" s="0" t="n">
        <f aca="false">IF(C543&gt;=6,0,1)</f>
        <v>1</v>
      </c>
      <c r="G543" s="0" t="n">
        <f aca="false">VLOOKUP(E543,Sheet1!$A$2:$B$25,2,0)</f>
        <v>1</v>
      </c>
    </row>
    <row r="544" customFormat="false" ht="15" hidden="false" customHeight="false" outlineLevel="0" collapsed="false">
      <c r="A544" s="13" t="n">
        <v>44573.3125</v>
      </c>
      <c r="B544" s="12" t="n">
        <v>842.636</v>
      </c>
      <c r="C544" s="0" t="n">
        <f aca="false">WEEKDAY(A544,2)</f>
        <v>3</v>
      </c>
      <c r="D544" s="0" t="n">
        <f aca="false">DAY(A544)</f>
        <v>12</v>
      </c>
      <c r="E544" s="0" t="n">
        <f aca="false">HOUR(A544)</f>
        <v>7</v>
      </c>
      <c r="F544" s="0" t="n">
        <f aca="false">IF(C544&gt;=6,0,1)</f>
        <v>1</v>
      </c>
      <c r="G544" s="0" t="n">
        <f aca="false">VLOOKUP(E544,Sheet1!$A$2:$B$25,2,0)</f>
        <v>1</v>
      </c>
    </row>
    <row r="545" customFormat="false" ht="15" hidden="false" customHeight="false" outlineLevel="0" collapsed="false">
      <c r="A545" s="13" t="n">
        <v>44573.3333333333</v>
      </c>
      <c r="B545" s="12" t="n">
        <v>869.036</v>
      </c>
      <c r="C545" s="0" t="n">
        <f aca="false">WEEKDAY(A545,2)</f>
        <v>3</v>
      </c>
      <c r="D545" s="0" t="n">
        <f aca="false">DAY(A545)</f>
        <v>12</v>
      </c>
      <c r="E545" s="0" t="n">
        <f aca="false">HOUR(A545)</f>
        <v>8</v>
      </c>
      <c r="F545" s="0" t="n">
        <f aca="false">IF(C545&gt;=6,0,1)</f>
        <v>1</v>
      </c>
      <c r="G545" s="0" t="n">
        <f aca="false">VLOOKUP(E545,Sheet1!$A$2:$B$25,2,0)</f>
        <v>1</v>
      </c>
    </row>
    <row r="546" customFormat="false" ht="15" hidden="false" customHeight="false" outlineLevel="0" collapsed="false">
      <c r="A546" s="13" t="n">
        <v>44573.3541666667</v>
      </c>
      <c r="B546" s="12" t="n">
        <v>859.316</v>
      </c>
      <c r="C546" s="0" t="n">
        <f aca="false">WEEKDAY(A546,2)</f>
        <v>3</v>
      </c>
      <c r="D546" s="0" t="n">
        <f aca="false">DAY(A546)</f>
        <v>12</v>
      </c>
      <c r="E546" s="0" t="n">
        <f aca="false">HOUR(A546)</f>
        <v>8</v>
      </c>
      <c r="F546" s="0" t="n">
        <f aca="false">IF(C546&gt;=6,0,1)</f>
        <v>1</v>
      </c>
      <c r="G546" s="0" t="n">
        <f aca="false">VLOOKUP(E546,Sheet1!$A$2:$B$25,2,0)</f>
        <v>1</v>
      </c>
    </row>
    <row r="547" customFormat="false" ht="15" hidden="false" customHeight="false" outlineLevel="0" collapsed="false">
      <c r="A547" s="13" t="n">
        <v>44573.375</v>
      </c>
      <c r="B547" s="12" t="n">
        <v>840.5</v>
      </c>
      <c r="C547" s="0" t="n">
        <f aca="false">WEEKDAY(A547,2)</f>
        <v>3</v>
      </c>
      <c r="D547" s="0" t="n">
        <f aca="false">DAY(A547)</f>
        <v>12</v>
      </c>
      <c r="E547" s="0" t="n">
        <f aca="false">HOUR(A547)</f>
        <v>9</v>
      </c>
      <c r="F547" s="0" t="n">
        <f aca="false">IF(C547&gt;=6,0,1)</f>
        <v>1</v>
      </c>
      <c r="G547" s="0" t="n">
        <f aca="false">VLOOKUP(E547,Sheet1!$A$2:$B$25,2,0)</f>
        <v>1</v>
      </c>
    </row>
    <row r="548" customFormat="false" ht="15" hidden="false" customHeight="false" outlineLevel="0" collapsed="false">
      <c r="A548" s="13" t="n">
        <v>44573.3958333333</v>
      </c>
      <c r="B548" s="12" t="n">
        <v>816.961</v>
      </c>
      <c r="C548" s="0" t="n">
        <f aca="false">WEEKDAY(A548,2)</f>
        <v>3</v>
      </c>
      <c r="D548" s="0" t="n">
        <f aca="false">DAY(A548)</f>
        <v>12</v>
      </c>
      <c r="E548" s="0" t="n">
        <f aca="false">HOUR(A548)</f>
        <v>9</v>
      </c>
      <c r="F548" s="0" t="n">
        <f aca="false">IF(C548&gt;=6,0,1)</f>
        <v>1</v>
      </c>
      <c r="G548" s="0" t="n">
        <f aca="false">VLOOKUP(E548,Sheet1!$A$2:$B$25,2,0)</f>
        <v>1</v>
      </c>
    </row>
    <row r="549" customFormat="false" ht="15" hidden="false" customHeight="false" outlineLevel="0" collapsed="false">
      <c r="A549" s="13" t="n">
        <v>44573.4166666667</v>
      </c>
      <c r="B549" s="12" t="n">
        <v>813.14</v>
      </c>
      <c r="C549" s="0" t="n">
        <f aca="false">WEEKDAY(A549,2)</f>
        <v>3</v>
      </c>
      <c r="D549" s="0" t="n">
        <f aca="false">DAY(A549)</f>
        <v>12</v>
      </c>
      <c r="E549" s="0" t="n">
        <f aca="false">HOUR(A549)</f>
        <v>10</v>
      </c>
      <c r="F549" s="0" t="n">
        <f aca="false">IF(C549&gt;=6,0,1)</f>
        <v>1</v>
      </c>
      <c r="G549" s="0" t="n">
        <f aca="false">VLOOKUP(E549,Sheet1!$A$2:$B$25,2,0)</f>
        <v>1</v>
      </c>
    </row>
    <row r="550" customFormat="false" ht="15" hidden="false" customHeight="false" outlineLevel="0" collapsed="false">
      <c r="A550" s="13" t="n">
        <v>44573.4375</v>
      </c>
      <c r="B550" s="12" t="n">
        <v>798.116</v>
      </c>
      <c r="C550" s="0" t="n">
        <f aca="false">WEEKDAY(A550,2)</f>
        <v>3</v>
      </c>
      <c r="D550" s="0" t="n">
        <f aca="false">DAY(A550)</f>
        <v>12</v>
      </c>
      <c r="E550" s="0" t="n">
        <f aca="false">HOUR(A550)</f>
        <v>10</v>
      </c>
      <c r="F550" s="0" t="n">
        <f aca="false">IF(C550&gt;=6,0,1)</f>
        <v>1</v>
      </c>
      <c r="G550" s="0" t="n">
        <f aca="false">VLOOKUP(E550,Sheet1!$A$2:$B$25,2,0)</f>
        <v>1</v>
      </c>
    </row>
    <row r="551" customFormat="false" ht="15" hidden="false" customHeight="false" outlineLevel="0" collapsed="false">
      <c r="A551" s="13" t="n">
        <v>44573.4583333333</v>
      </c>
      <c r="B551" s="12" t="n">
        <v>817.921</v>
      </c>
      <c r="C551" s="0" t="n">
        <f aca="false">WEEKDAY(A551,2)</f>
        <v>3</v>
      </c>
      <c r="D551" s="0" t="n">
        <f aca="false">DAY(A551)</f>
        <v>12</v>
      </c>
      <c r="E551" s="0" t="n">
        <f aca="false">HOUR(A551)</f>
        <v>11</v>
      </c>
      <c r="F551" s="0" t="n">
        <f aca="false">IF(C551&gt;=6,0,1)</f>
        <v>1</v>
      </c>
      <c r="G551" s="0" t="n">
        <f aca="false">VLOOKUP(E551,Sheet1!$A$2:$B$25,2,0)</f>
        <v>1</v>
      </c>
    </row>
    <row r="552" customFormat="false" ht="15" hidden="false" customHeight="false" outlineLevel="0" collapsed="false">
      <c r="A552" s="13" t="n">
        <v>44573.4791666667</v>
      </c>
      <c r="B552" s="12" t="n">
        <v>791.996</v>
      </c>
      <c r="C552" s="0" t="n">
        <f aca="false">WEEKDAY(A552,2)</f>
        <v>3</v>
      </c>
      <c r="D552" s="0" t="n">
        <f aca="false">DAY(A552)</f>
        <v>12</v>
      </c>
      <c r="E552" s="0" t="n">
        <f aca="false">HOUR(A552)</f>
        <v>11</v>
      </c>
      <c r="F552" s="0" t="n">
        <f aca="false">IF(C552&gt;=6,0,1)</f>
        <v>1</v>
      </c>
      <c r="G552" s="0" t="n">
        <f aca="false">VLOOKUP(E552,Sheet1!$A$2:$B$25,2,0)</f>
        <v>1</v>
      </c>
    </row>
    <row r="553" customFormat="false" ht="15" hidden="false" customHeight="false" outlineLevel="0" collapsed="false">
      <c r="A553" s="13" t="n">
        <v>44573.5</v>
      </c>
      <c r="B553" s="12" t="n">
        <v>764.516</v>
      </c>
      <c r="C553" s="0" t="n">
        <f aca="false">WEEKDAY(A553,2)</f>
        <v>3</v>
      </c>
      <c r="D553" s="0" t="n">
        <f aca="false">DAY(A553)</f>
        <v>12</v>
      </c>
      <c r="E553" s="0" t="n">
        <f aca="false">HOUR(A553)</f>
        <v>12</v>
      </c>
      <c r="F553" s="0" t="n">
        <f aca="false">IF(C553&gt;=6,0,1)</f>
        <v>1</v>
      </c>
      <c r="G553" s="0" t="n">
        <f aca="false">VLOOKUP(E553,Sheet1!$A$2:$B$25,2,0)</f>
        <v>1</v>
      </c>
    </row>
    <row r="554" customFormat="false" ht="15" hidden="false" customHeight="false" outlineLevel="0" collapsed="false">
      <c r="A554" s="13" t="n">
        <v>44573.5208333333</v>
      </c>
      <c r="B554" s="12" t="n">
        <v>775.58</v>
      </c>
      <c r="C554" s="0" t="n">
        <f aca="false">WEEKDAY(A554,2)</f>
        <v>3</v>
      </c>
      <c r="D554" s="0" t="n">
        <f aca="false">DAY(A554)</f>
        <v>12</v>
      </c>
      <c r="E554" s="0" t="n">
        <f aca="false">HOUR(A554)</f>
        <v>12</v>
      </c>
      <c r="F554" s="0" t="n">
        <f aca="false">IF(C554&gt;=6,0,1)</f>
        <v>1</v>
      </c>
      <c r="G554" s="0" t="n">
        <f aca="false">VLOOKUP(E554,Sheet1!$A$2:$B$25,2,0)</f>
        <v>1</v>
      </c>
    </row>
    <row r="555" customFormat="false" ht="15" hidden="false" customHeight="false" outlineLevel="0" collapsed="false">
      <c r="A555" s="13" t="n">
        <v>44573.5416666667</v>
      </c>
      <c r="B555" s="12" t="n">
        <v>805.825</v>
      </c>
      <c r="C555" s="0" t="n">
        <f aca="false">WEEKDAY(A555,2)</f>
        <v>3</v>
      </c>
      <c r="D555" s="0" t="n">
        <f aca="false">DAY(A555)</f>
        <v>12</v>
      </c>
      <c r="E555" s="0" t="n">
        <f aca="false">HOUR(A555)</f>
        <v>13</v>
      </c>
      <c r="F555" s="0" t="n">
        <f aca="false">IF(C555&gt;=6,0,1)</f>
        <v>1</v>
      </c>
      <c r="G555" s="0" t="n">
        <f aca="false">VLOOKUP(E555,Sheet1!$A$2:$B$25,2,0)</f>
        <v>1</v>
      </c>
    </row>
    <row r="556" customFormat="false" ht="15" hidden="false" customHeight="false" outlineLevel="0" collapsed="false">
      <c r="A556" s="13" t="n">
        <v>44573.5625</v>
      </c>
      <c r="B556" s="12" t="n">
        <v>805.58</v>
      </c>
      <c r="C556" s="0" t="n">
        <f aca="false">WEEKDAY(A556,2)</f>
        <v>3</v>
      </c>
      <c r="D556" s="0" t="n">
        <f aca="false">DAY(A556)</f>
        <v>12</v>
      </c>
      <c r="E556" s="0" t="n">
        <f aca="false">HOUR(A556)</f>
        <v>13</v>
      </c>
      <c r="F556" s="0" t="n">
        <f aca="false">IF(C556&gt;=6,0,1)</f>
        <v>1</v>
      </c>
      <c r="G556" s="0" t="n">
        <f aca="false">VLOOKUP(E556,Sheet1!$A$2:$B$25,2,0)</f>
        <v>1</v>
      </c>
    </row>
    <row r="557" customFormat="false" ht="15" hidden="false" customHeight="false" outlineLevel="0" collapsed="false">
      <c r="A557" s="13" t="n">
        <v>44573.5833333333</v>
      </c>
      <c r="B557" s="12" t="n">
        <v>635.756</v>
      </c>
      <c r="C557" s="0" t="n">
        <f aca="false">WEEKDAY(A557,2)</f>
        <v>3</v>
      </c>
      <c r="D557" s="0" t="n">
        <f aca="false">DAY(A557)</f>
        <v>12</v>
      </c>
      <c r="E557" s="0" t="n">
        <f aca="false">HOUR(A557)</f>
        <v>14</v>
      </c>
      <c r="F557" s="0" t="n">
        <f aca="false">IF(C557&gt;=6,0,1)</f>
        <v>1</v>
      </c>
      <c r="G557" s="0" t="n">
        <f aca="false">VLOOKUP(E557,Sheet1!$A$2:$B$25,2,0)</f>
        <v>1</v>
      </c>
    </row>
    <row r="558" customFormat="false" ht="15" hidden="false" customHeight="false" outlineLevel="0" collapsed="false">
      <c r="A558" s="13" t="n">
        <v>44573.6041666667</v>
      </c>
      <c r="B558" s="12" t="n">
        <v>336.145</v>
      </c>
      <c r="C558" s="0" t="n">
        <f aca="false">WEEKDAY(A558,2)</f>
        <v>3</v>
      </c>
      <c r="D558" s="0" t="n">
        <f aca="false">DAY(A558)</f>
        <v>12</v>
      </c>
      <c r="E558" s="0" t="n">
        <f aca="false">HOUR(A558)</f>
        <v>14</v>
      </c>
      <c r="F558" s="0" t="n">
        <f aca="false">IF(C558&gt;=6,0,1)</f>
        <v>1</v>
      </c>
      <c r="G558" s="0" t="n">
        <f aca="false">VLOOKUP(E558,Sheet1!$A$2:$B$25,2,0)</f>
        <v>1</v>
      </c>
    </row>
    <row r="559" customFormat="false" ht="15" hidden="false" customHeight="false" outlineLevel="0" collapsed="false">
      <c r="A559" s="13" t="n">
        <v>44573.625</v>
      </c>
      <c r="B559" s="12" t="n">
        <v>331.916</v>
      </c>
      <c r="C559" s="0" t="n">
        <f aca="false">WEEKDAY(A559,2)</f>
        <v>3</v>
      </c>
      <c r="D559" s="0" t="n">
        <f aca="false">DAY(A559)</f>
        <v>12</v>
      </c>
      <c r="E559" s="0" t="n">
        <f aca="false">HOUR(A559)</f>
        <v>15</v>
      </c>
      <c r="F559" s="0" t="n">
        <f aca="false">IF(C559&gt;=6,0,1)</f>
        <v>1</v>
      </c>
      <c r="G559" s="0" t="n">
        <f aca="false">VLOOKUP(E559,Sheet1!$A$2:$B$25,2,0)</f>
        <v>1</v>
      </c>
    </row>
    <row r="560" customFormat="false" ht="15" hidden="false" customHeight="false" outlineLevel="0" collapsed="false">
      <c r="A560" s="13" t="n">
        <v>44573.6458333333</v>
      </c>
      <c r="B560" s="12" t="n">
        <v>333.236</v>
      </c>
      <c r="C560" s="0" t="n">
        <f aca="false">WEEKDAY(A560,2)</f>
        <v>3</v>
      </c>
      <c r="D560" s="0" t="n">
        <f aca="false">DAY(A560)</f>
        <v>12</v>
      </c>
      <c r="E560" s="0" t="n">
        <f aca="false">HOUR(A560)</f>
        <v>15</v>
      </c>
      <c r="F560" s="0" t="n">
        <f aca="false">IF(C560&gt;=6,0,1)</f>
        <v>1</v>
      </c>
      <c r="G560" s="0" t="n">
        <f aca="false">VLOOKUP(E560,Sheet1!$A$2:$B$25,2,0)</f>
        <v>1</v>
      </c>
    </row>
    <row r="561" customFormat="false" ht="15" hidden="false" customHeight="false" outlineLevel="0" collapsed="false">
      <c r="A561" s="13" t="n">
        <v>44573.6666666667</v>
      </c>
      <c r="B561" s="12" t="n">
        <v>327.476</v>
      </c>
      <c r="C561" s="0" t="n">
        <f aca="false">WEEKDAY(A561,2)</f>
        <v>3</v>
      </c>
      <c r="D561" s="0" t="n">
        <f aca="false">DAY(A561)</f>
        <v>12</v>
      </c>
      <c r="E561" s="0" t="n">
        <f aca="false">HOUR(A561)</f>
        <v>16</v>
      </c>
      <c r="F561" s="0" t="n">
        <f aca="false">IF(C561&gt;=6,0,1)</f>
        <v>1</v>
      </c>
      <c r="G561" s="0" t="n">
        <f aca="false">VLOOKUP(E561,Sheet1!$A$2:$B$25,2,0)</f>
        <v>0</v>
      </c>
    </row>
    <row r="562" customFormat="false" ht="15" hidden="false" customHeight="false" outlineLevel="0" collapsed="false">
      <c r="A562" s="13" t="n">
        <v>44573.6875</v>
      </c>
      <c r="B562" s="12" t="n">
        <v>324.5</v>
      </c>
      <c r="C562" s="0" t="n">
        <f aca="false">WEEKDAY(A562,2)</f>
        <v>3</v>
      </c>
      <c r="D562" s="0" t="n">
        <f aca="false">DAY(A562)</f>
        <v>12</v>
      </c>
      <c r="E562" s="0" t="n">
        <f aca="false">HOUR(A562)</f>
        <v>16</v>
      </c>
      <c r="F562" s="0" t="n">
        <f aca="false">IF(C562&gt;=6,0,1)</f>
        <v>1</v>
      </c>
      <c r="G562" s="0" t="n">
        <f aca="false">VLOOKUP(E562,Sheet1!$A$2:$B$25,2,0)</f>
        <v>0</v>
      </c>
    </row>
    <row r="563" customFormat="false" ht="15" hidden="false" customHeight="false" outlineLevel="0" collapsed="false">
      <c r="A563" s="13" t="n">
        <v>44573.7083333333</v>
      </c>
      <c r="B563" s="12" t="n">
        <v>309.121</v>
      </c>
      <c r="C563" s="0" t="n">
        <f aca="false">WEEKDAY(A563,2)</f>
        <v>3</v>
      </c>
      <c r="D563" s="0" t="n">
        <f aca="false">DAY(A563)</f>
        <v>12</v>
      </c>
      <c r="E563" s="0" t="n">
        <f aca="false">HOUR(A563)</f>
        <v>17</v>
      </c>
      <c r="F563" s="0" t="n">
        <f aca="false">IF(C563&gt;=6,0,1)</f>
        <v>1</v>
      </c>
      <c r="G563" s="0" t="n">
        <f aca="false">VLOOKUP(E563,Sheet1!$A$2:$B$25,2,0)</f>
        <v>0</v>
      </c>
    </row>
    <row r="564" customFormat="false" ht="15" hidden="false" customHeight="false" outlineLevel="0" collapsed="false">
      <c r="A564" s="13" t="n">
        <v>44573.7291666667</v>
      </c>
      <c r="B564" s="12" t="n">
        <v>317.3</v>
      </c>
      <c r="C564" s="0" t="n">
        <f aca="false">WEEKDAY(A564,2)</f>
        <v>3</v>
      </c>
      <c r="D564" s="0" t="n">
        <f aca="false">DAY(A564)</f>
        <v>12</v>
      </c>
      <c r="E564" s="0" t="n">
        <f aca="false">HOUR(A564)</f>
        <v>17</v>
      </c>
      <c r="F564" s="0" t="n">
        <f aca="false">IF(C564&gt;=6,0,1)</f>
        <v>1</v>
      </c>
      <c r="G564" s="0" t="n">
        <f aca="false">VLOOKUP(E564,Sheet1!$A$2:$B$25,2,0)</f>
        <v>0</v>
      </c>
    </row>
    <row r="565" customFormat="false" ht="15" hidden="false" customHeight="false" outlineLevel="0" collapsed="false">
      <c r="A565" s="13" t="n">
        <v>44573.75</v>
      </c>
      <c r="B565" s="12" t="n">
        <v>309.98</v>
      </c>
      <c r="C565" s="0" t="n">
        <f aca="false">WEEKDAY(A565,2)</f>
        <v>3</v>
      </c>
      <c r="D565" s="0" t="n">
        <f aca="false">DAY(A565)</f>
        <v>12</v>
      </c>
      <c r="E565" s="0" t="n">
        <f aca="false">HOUR(A565)</f>
        <v>18</v>
      </c>
      <c r="F565" s="0" t="n">
        <f aca="false">IF(C565&gt;=6,0,1)</f>
        <v>1</v>
      </c>
      <c r="G565" s="0" t="n">
        <f aca="false">VLOOKUP(E565,Sheet1!$A$2:$B$25,2,0)</f>
        <v>0</v>
      </c>
    </row>
    <row r="566" customFormat="false" ht="15" hidden="false" customHeight="false" outlineLevel="0" collapsed="false">
      <c r="A566" s="13" t="n">
        <v>44573.7708333333</v>
      </c>
      <c r="B566" s="12" t="n">
        <v>315.025</v>
      </c>
      <c r="C566" s="0" t="n">
        <f aca="false">WEEKDAY(A566,2)</f>
        <v>3</v>
      </c>
      <c r="D566" s="0" t="n">
        <f aca="false">DAY(A566)</f>
        <v>12</v>
      </c>
      <c r="E566" s="0" t="n">
        <f aca="false">HOUR(A566)</f>
        <v>18</v>
      </c>
      <c r="F566" s="0" t="n">
        <f aca="false">IF(C566&gt;=6,0,1)</f>
        <v>1</v>
      </c>
      <c r="G566" s="0" t="n">
        <f aca="false">VLOOKUP(E566,Sheet1!$A$2:$B$25,2,0)</f>
        <v>0</v>
      </c>
    </row>
    <row r="567" customFormat="false" ht="15" hidden="false" customHeight="false" outlineLevel="0" collapsed="false">
      <c r="A567" s="13" t="n">
        <v>44573.7916666667</v>
      </c>
      <c r="B567" s="12" t="n">
        <v>312.236</v>
      </c>
      <c r="C567" s="0" t="n">
        <f aca="false">WEEKDAY(A567,2)</f>
        <v>3</v>
      </c>
      <c r="D567" s="0" t="n">
        <f aca="false">DAY(A567)</f>
        <v>12</v>
      </c>
      <c r="E567" s="0" t="n">
        <f aca="false">HOUR(A567)</f>
        <v>19</v>
      </c>
      <c r="F567" s="0" t="n">
        <f aca="false">IF(C567&gt;=6,0,1)</f>
        <v>1</v>
      </c>
      <c r="G567" s="0" t="n">
        <f aca="false">VLOOKUP(E567,Sheet1!$A$2:$B$25,2,0)</f>
        <v>0</v>
      </c>
    </row>
    <row r="568" customFormat="false" ht="15" hidden="false" customHeight="false" outlineLevel="0" collapsed="false">
      <c r="A568" s="13" t="n">
        <v>44573.8125</v>
      </c>
      <c r="B568" s="12" t="n">
        <v>310.94</v>
      </c>
      <c r="C568" s="0" t="n">
        <f aca="false">WEEKDAY(A568,2)</f>
        <v>3</v>
      </c>
      <c r="D568" s="0" t="n">
        <f aca="false">DAY(A568)</f>
        <v>12</v>
      </c>
      <c r="E568" s="0" t="n">
        <f aca="false">HOUR(A568)</f>
        <v>19</v>
      </c>
      <c r="F568" s="0" t="n">
        <f aca="false">IF(C568&gt;=6,0,1)</f>
        <v>1</v>
      </c>
      <c r="G568" s="0" t="n">
        <f aca="false">VLOOKUP(E568,Sheet1!$A$2:$B$25,2,0)</f>
        <v>0</v>
      </c>
    </row>
    <row r="569" customFormat="false" ht="15" hidden="false" customHeight="false" outlineLevel="0" collapsed="false">
      <c r="A569" s="13" t="n">
        <v>44573.8333333333</v>
      </c>
      <c r="B569" s="12" t="n">
        <v>313.105</v>
      </c>
      <c r="C569" s="0" t="n">
        <f aca="false">WEEKDAY(A569,2)</f>
        <v>3</v>
      </c>
      <c r="D569" s="0" t="n">
        <f aca="false">DAY(A569)</f>
        <v>12</v>
      </c>
      <c r="E569" s="0" t="n">
        <f aca="false">HOUR(A569)</f>
        <v>20</v>
      </c>
      <c r="F569" s="0" t="n">
        <f aca="false">IF(C569&gt;=6,0,1)</f>
        <v>1</v>
      </c>
      <c r="G569" s="0" t="n">
        <f aca="false">VLOOKUP(E569,Sheet1!$A$2:$B$25,2,0)</f>
        <v>0</v>
      </c>
    </row>
    <row r="570" customFormat="false" ht="15" hidden="false" customHeight="false" outlineLevel="0" collapsed="false">
      <c r="A570" s="13" t="n">
        <v>44573.8541666667</v>
      </c>
      <c r="B570" s="12" t="n">
        <v>318.26</v>
      </c>
      <c r="C570" s="0" t="n">
        <f aca="false">WEEKDAY(A570,2)</f>
        <v>3</v>
      </c>
      <c r="D570" s="0" t="n">
        <f aca="false">DAY(A570)</f>
        <v>12</v>
      </c>
      <c r="E570" s="0" t="n">
        <f aca="false">HOUR(A570)</f>
        <v>20</v>
      </c>
      <c r="F570" s="0" t="n">
        <f aca="false">IF(C570&gt;=6,0,1)</f>
        <v>1</v>
      </c>
      <c r="G570" s="0" t="n">
        <f aca="false">VLOOKUP(E570,Sheet1!$A$2:$B$25,2,0)</f>
        <v>0</v>
      </c>
    </row>
    <row r="571" customFormat="false" ht="15" hidden="false" customHeight="false" outlineLevel="0" collapsed="false">
      <c r="A571" s="13" t="n">
        <v>44573.875</v>
      </c>
      <c r="B571" s="12" t="n">
        <v>306.836</v>
      </c>
      <c r="C571" s="0" t="n">
        <f aca="false">WEEKDAY(A571,2)</f>
        <v>3</v>
      </c>
      <c r="D571" s="0" t="n">
        <f aca="false">DAY(A571)</f>
        <v>12</v>
      </c>
      <c r="E571" s="0" t="n">
        <f aca="false">HOUR(A571)</f>
        <v>21</v>
      </c>
      <c r="F571" s="0" t="n">
        <f aca="false">IF(C571&gt;=6,0,1)</f>
        <v>1</v>
      </c>
      <c r="G571" s="0" t="n">
        <f aca="false">VLOOKUP(E571,Sheet1!$A$2:$B$25,2,0)</f>
        <v>0</v>
      </c>
    </row>
    <row r="572" customFormat="false" ht="15" hidden="false" customHeight="false" outlineLevel="0" collapsed="false">
      <c r="A572" s="13" t="n">
        <v>44573.8958333333</v>
      </c>
      <c r="B572" s="12" t="n">
        <v>304.1</v>
      </c>
      <c r="C572" s="0" t="n">
        <f aca="false">WEEKDAY(A572,2)</f>
        <v>3</v>
      </c>
      <c r="D572" s="0" t="n">
        <f aca="false">DAY(A572)</f>
        <v>12</v>
      </c>
      <c r="E572" s="0" t="n">
        <f aca="false">HOUR(A572)</f>
        <v>21</v>
      </c>
      <c r="F572" s="0" t="n">
        <f aca="false">IF(C572&gt;=6,0,1)</f>
        <v>1</v>
      </c>
      <c r="G572" s="0" t="n">
        <f aca="false">VLOOKUP(E572,Sheet1!$A$2:$B$25,2,0)</f>
        <v>0</v>
      </c>
    </row>
    <row r="573" customFormat="false" ht="15" hidden="false" customHeight="false" outlineLevel="0" collapsed="false">
      <c r="A573" s="13" t="n">
        <v>44573.9166666667</v>
      </c>
      <c r="B573" s="12" t="n">
        <v>298.081</v>
      </c>
      <c r="C573" s="0" t="n">
        <f aca="false">WEEKDAY(A573,2)</f>
        <v>3</v>
      </c>
      <c r="D573" s="0" t="n">
        <f aca="false">DAY(A573)</f>
        <v>12</v>
      </c>
      <c r="E573" s="0" t="n">
        <f aca="false">HOUR(A573)</f>
        <v>22</v>
      </c>
      <c r="F573" s="0" t="n">
        <f aca="false">IF(C573&gt;=6,0,1)</f>
        <v>1</v>
      </c>
      <c r="G573" s="0" t="n">
        <f aca="false">VLOOKUP(E573,Sheet1!$A$2:$B$25,2,0)</f>
        <v>0</v>
      </c>
    </row>
    <row r="574" customFormat="false" ht="15" hidden="false" customHeight="false" outlineLevel="0" collapsed="false">
      <c r="A574" s="13" t="n">
        <v>44573.9375</v>
      </c>
      <c r="B574" s="12" t="n">
        <v>292.916</v>
      </c>
      <c r="C574" s="0" t="n">
        <f aca="false">WEEKDAY(A574,2)</f>
        <v>3</v>
      </c>
      <c r="D574" s="0" t="n">
        <f aca="false">DAY(A574)</f>
        <v>12</v>
      </c>
      <c r="E574" s="0" t="n">
        <f aca="false">HOUR(A574)</f>
        <v>22</v>
      </c>
      <c r="F574" s="0" t="n">
        <f aca="false">IF(C574&gt;=6,0,1)</f>
        <v>1</v>
      </c>
      <c r="G574" s="0" t="n">
        <f aca="false">VLOOKUP(E574,Sheet1!$A$2:$B$25,2,0)</f>
        <v>0</v>
      </c>
    </row>
    <row r="575" customFormat="false" ht="15" hidden="false" customHeight="false" outlineLevel="0" collapsed="false">
      <c r="A575" s="13" t="n">
        <v>44573.9583333333</v>
      </c>
      <c r="B575" s="12" t="n">
        <v>297.476</v>
      </c>
      <c r="C575" s="0" t="n">
        <f aca="false">WEEKDAY(A575,2)</f>
        <v>3</v>
      </c>
      <c r="D575" s="0" t="n">
        <f aca="false">DAY(A575)</f>
        <v>12</v>
      </c>
      <c r="E575" s="0" t="n">
        <f aca="false">HOUR(A575)</f>
        <v>23</v>
      </c>
      <c r="F575" s="0" t="n">
        <f aca="false">IF(C575&gt;=6,0,1)</f>
        <v>1</v>
      </c>
      <c r="G575" s="0" t="n">
        <f aca="false">VLOOKUP(E575,Sheet1!$A$2:$B$25,2,0)</f>
        <v>0</v>
      </c>
    </row>
    <row r="576" customFormat="false" ht="15" hidden="false" customHeight="false" outlineLevel="0" collapsed="false">
      <c r="A576" s="13" t="n">
        <v>44573.9791666667</v>
      </c>
      <c r="B576" s="12" t="n">
        <v>301.556</v>
      </c>
      <c r="C576" s="0" t="n">
        <f aca="false">WEEKDAY(A576,2)</f>
        <v>3</v>
      </c>
      <c r="D576" s="0" t="n">
        <f aca="false">DAY(A576)</f>
        <v>12</v>
      </c>
      <c r="E576" s="0" t="n">
        <f aca="false">HOUR(A576)</f>
        <v>23</v>
      </c>
      <c r="F576" s="0" t="n">
        <f aca="false">IF(C576&gt;=6,0,1)</f>
        <v>1</v>
      </c>
      <c r="G576" s="0" t="n">
        <f aca="false">VLOOKUP(E576,Sheet1!$A$2:$B$25,2,0)</f>
        <v>0</v>
      </c>
    </row>
    <row r="577" customFormat="false" ht="15" hidden="false" customHeight="false" outlineLevel="0" collapsed="false">
      <c r="A577" s="13" t="n">
        <v>44574</v>
      </c>
      <c r="B577" s="12" t="n">
        <v>302.42</v>
      </c>
      <c r="C577" s="0" t="n">
        <f aca="false">WEEKDAY(A577,2)</f>
        <v>4</v>
      </c>
      <c r="D577" s="0" t="n">
        <f aca="false">DAY(A577)</f>
        <v>13</v>
      </c>
      <c r="E577" s="0" t="n">
        <f aca="false">HOUR(A577)</f>
        <v>0</v>
      </c>
      <c r="F577" s="0" t="n">
        <f aca="false">IF(C577&gt;=6,0,1)</f>
        <v>1</v>
      </c>
      <c r="G577" s="0" t="n">
        <f aca="false">VLOOKUP(E577,Sheet1!$A$2:$B$25,2,0)</f>
        <v>0</v>
      </c>
    </row>
    <row r="578" customFormat="false" ht="15" hidden="false" customHeight="false" outlineLevel="0" collapsed="false">
      <c r="A578" s="13" t="n">
        <v>44574.0208333333</v>
      </c>
      <c r="B578" s="12" t="n">
        <v>302.42</v>
      </c>
      <c r="C578" s="0" t="n">
        <f aca="false">WEEKDAY(A578,2)</f>
        <v>4</v>
      </c>
      <c r="D578" s="0" t="n">
        <f aca="false">DAY(A578)</f>
        <v>13</v>
      </c>
      <c r="E578" s="0" t="n">
        <f aca="false">HOUR(A578)</f>
        <v>0</v>
      </c>
      <c r="F578" s="0" t="n">
        <f aca="false">IF(C578&gt;=6,0,1)</f>
        <v>1</v>
      </c>
      <c r="G578" s="0" t="n">
        <f aca="false">VLOOKUP(E578,Sheet1!$A$2:$B$25,2,0)</f>
        <v>0</v>
      </c>
    </row>
    <row r="579" customFormat="false" ht="15" hidden="false" customHeight="false" outlineLevel="0" collapsed="false">
      <c r="A579" s="13" t="n">
        <v>44574.0416666667</v>
      </c>
      <c r="B579" s="12" t="n">
        <v>302.54</v>
      </c>
      <c r="C579" s="0" t="n">
        <f aca="false">WEEKDAY(A579,2)</f>
        <v>4</v>
      </c>
      <c r="D579" s="0" t="n">
        <f aca="false">DAY(A579)</f>
        <v>13</v>
      </c>
      <c r="E579" s="0" t="n">
        <f aca="false">HOUR(A579)</f>
        <v>1</v>
      </c>
      <c r="F579" s="0" t="n">
        <f aca="false">IF(C579&gt;=6,0,1)</f>
        <v>1</v>
      </c>
      <c r="G579" s="0" t="n">
        <f aca="false">VLOOKUP(E579,Sheet1!$A$2:$B$25,2,0)</f>
        <v>0</v>
      </c>
    </row>
    <row r="580" customFormat="false" ht="15" hidden="false" customHeight="false" outlineLevel="0" collapsed="false">
      <c r="A580" s="13" t="n">
        <v>44574.0625</v>
      </c>
      <c r="B580" s="12" t="n">
        <v>300.836</v>
      </c>
      <c r="C580" s="0" t="n">
        <f aca="false">WEEKDAY(A580,2)</f>
        <v>4</v>
      </c>
      <c r="D580" s="0" t="n">
        <f aca="false">DAY(A580)</f>
        <v>13</v>
      </c>
      <c r="E580" s="0" t="n">
        <f aca="false">HOUR(A580)</f>
        <v>1</v>
      </c>
      <c r="F580" s="0" t="n">
        <f aca="false">IF(C580&gt;=6,0,1)</f>
        <v>1</v>
      </c>
      <c r="G580" s="0" t="n">
        <f aca="false">VLOOKUP(E580,Sheet1!$A$2:$B$25,2,0)</f>
        <v>0</v>
      </c>
    </row>
    <row r="581" customFormat="false" ht="15" hidden="false" customHeight="false" outlineLevel="0" collapsed="false">
      <c r="A581" s="13" t="n">
        <v>44574.0833333333</v>
      </c>
      <c r="B581" s="12" t="n">
        <v>300.841</v>
      </c>
      <c r="C581" s="0" t="n">
        <f aca="false">WEEKDAY(A581,2)</f>
        <v>4</v>
      </c>
      <c r="D581" s="0" t="n">
        <f aca="false">DAY(A581)</f>
        <v>13</v>
      </c>
      <c r="E581" s="0" t="n">
        <f aca="false">HOUR(A581)</f>
        <v>2</v>
      </c>
      <c r="F581" s="0" t="n">
        <f aca="false">IF(C581&gt;=6,0,1)</f>
        <v>1</v>
      </c>
      <c r="G581" s="0" t="n">
        <f aca="false">VLOOKUP(E581,Sheet1!$A$2:$B$25,2,0)</f>
        <v>0</v>
      </c>
    </row>
    <row r="582" customFormat="false" ht="15" hidden="false" customHeight="false" outlineLevel="0" collapsed="false">
      <c r="A582" s="13" t="n">
        <v>44574.1041666667</v>
      </c>
      <c r="B582" s="12" t="n">
        <v>301.58</v>
      </c>
      <c r="C582" s="0" t="n">
        <f aca="false">WEEKDAY(A582,2)</f>
        <v>4</v>
      </c>
      <c r="D582" s="0" t="n">
        <f aca="false">DAY(A582)</f>
        <v>13</v>
      </c>
      <c r="E582" s="0" t="n">
        <f aca="false">HOUR(A582)</f>
        <v>2</v>
      </c>
      <c r="F582" s="0" t="n">
        <f aca="false">IF(C582&gt;=6,0,1)</f>
        <v>1</v>
      </c>
      <c r="G582" s="0" t="n">
        <f aca="false">VLOOKUP(E582,Sheet1!$A$2:$B$25,2,0)</f>
        <v>0</v>
      </c>
    </row>
    <row r="583" customFormat="false" ht="15" hidden="false" customHeight="false" outlineLevel="0" collapsed="false">
      <c r="A583" s="13" t="n">
        <v>44574.125</v>
      </c>
      <c r="B583" s="12" t="n">
        <v>299.636</v>
      </c>
      <c r="C583" s="0" t="n">
        <f aca="false">WEEKDAY(A583,2)</f>
        <v>4</v>
      </c>
      <c r="D583" s="0" t="n">
        <f aca="false">DAY(A583)</f>
        <v>13</v>
      </c>
      <c r="E583" s="0" t="n">
        <f aca="false">HOUR(A583)</f>
        <v>3</v>
      </c>
      <c r="F583" s="0" t="n">
        <f aca="false">IF(C583&gt;=6,0,1)</f>
        <v>1</v>
      </c>
      <c r="G583" s="0" t="n">
        <f aca="false">VLOOKUP(E583,Sheet1!$A$2:$B$25,2,0)</f>
        <v>0</v>
      </c>
    </row>
    <row r="584" customFormat="false" ht="15" hidden="false" customHeight="false" outlineLevel="0" collapsed="false">
      <c r="A584" s="13" t="n">
        <v>44574.1458333333</v>
      </c>
      <c r="B584" s="12" t="n">
        <v>302.54</v>
      </c>
      <c r="C584" s="0" t="n">
        <f aca="false">WEEKDAY(A584,2)</f>
        <v>4</v>
      </c>
      <c r="D584" s="0" t="n">
        <f aca="false">DAY(A584)</f>
        <v>13</v>
      </c>
      <c r="E584" s="0" t="n">
        <f aca="false">HOUR(A584)</f>
        <v>3</v>
      </c>
      <c r="F584" s="0" t="n">
        <f aca="false">IF(C584&gt;=6,0,1)</f>
        <v>1</v>
      </c>
      <c r="G584" s="0" t="n">
        <f aca="false">VLOOKUP(E584,Sheet1!$A$2:$B$25,2,0)</f>
        <v>0</v>
      </c>
    </row>
    <row r="585" customFormat="false" ht="15" hidden="false" customHeight="false" outlineLevel="0" collapsed="false">
      <c r="A585" s="13" t="n">
        <v>44574.1666666667</v>
      </c>
      <c r="B585" s="12" t="n">
        <v>303.74</v>
      </c>
      <c r="C585" s="0" t="n">
        <f aca="false">WEEKDAY(A585,2)</f>
        <v>4</v>
      </c>
      <c r="D585" s="0" t="n">
        <f aca="false">DAY(A585)</f>
        <v>13</v>
      </c>
      <c r="E585" s="0" t="n">
        <f aca="false">HOUR(A585)</f>
        <v>4</v>
      </c>
      <c r="F585" s="0" t="n">
        <f aca="false">IF(C585&gt;=6,0,1)</f>
        <v>1</v>
      </c>
      <c r="G585" s="0" t="n">
        <f aca="false">VLOOKUP(E585,Sheet1!$A$2:$B$25,2,0)</f>
        <v>1</v>
      </c>
    </row>
    <row r="586" customFormat="false" ht="15" hidden="false" customHeight="false" outlineLevel="0" collapsed="false">
      <c r="A586" s="13" t="n">
        <v>44574.1875</v>
      </c>
      <c r="B586" s="12" t="n">
        <v>311.54</v>
      </c>
      <c r="C586" s="0" t="n">
        <f aca="false">WEEKDAY(A586,2)</f>
        <v>4</v>
      </c>
      <c r="D586" s="0" t="n">
        <f aca="false">DAY(A586)</f>
        <v>13</v>
      </c>
      <c r="E586" s="0" t="n">
        <f aca="false">HOUR(A586)</f>
        <v>4</v>
      </c>
      <c r="F586" s="0" t="n">
        <f aca="false">IF(C586&gt;=6,0,1)</f>
        <v>1</v>
      </c>
      <c r="G586" s="0" t="n">
        <f aca="false">VLOOKUP(E586,Sheet1!$A$2:$B$25,2,0)</f>
        <v>1</v>
      </c>
    </row>
    <row r="587" customFormat="false" ht="15" hidden="false" customHeight="false" outlineLevel="0" collapsed="false">
      <c r="A587" s="13" t="n">
        <v>44574.2083333333</v>
      </c>
      <c r="B587" s="12" t="n">
        <v>330.505</v>
      </c>
      <c r="C587" s="0" t="n">
        <f aca="false">WEEKDAY(A587,2)</f>
        <v>4</v>
      </c>
      <c r="D587" s="0" t="n">
        <f aca="false">DAY(A587)</f>
        <v>13</v>
      </c>
      <c r="E587" s="0" t="n">
        <f aca="false">HOUR(A587)</f>
        <v>5</v>
      </c>
      <c r="F587" s="0" t="n">
        <f aca="false">IF(C587&gt;=6,0,1)</f>
        <v>1</v>
      </c>
      <c r="G587" s="0" t="n">
        <f aca="false">VLOOKUP(E587,Sheet1!$A$2:$B$25,2,0)</f>
        <v>1</v>
      </c>
    </row>
    <row r="588" customFormat="false" ht="15" hidden="false" customHeight="false" outlineLevel="0" collapsed="false">
      <c r="A588" s="13" t="n">
        <v>44574.2291666667</v>
      </c>
      <c r="B588" s="12" t="n">
        <v>746.06</v>
      </c>
      <c r="C588" s="0" t="n">
        <f aca="false">WEEKDAY(A588,2)</f>
        <v>4</v>
      </c>
      <c r="D588" s="0" t="n">
        <f aca="false">DAY(A588)</f>
        <v>13</v>
      </c>
      <c r="E588" s="0" t="n">
        <f aca="false">HOUR(A588)</f>
        <v>5</v>
      </c>
      <c r="F588" s="0" t="n">
        <f aca="false">IF(C588&gt;=6,0,1)</f>
        <v>1</v>
      </c>
      <c r="G588" s="0" t="n">
        <f aca="false">VLOOKUP(E588,Sheet1!$A$2:$B$25,2,0)</f>
        <v>1</v>
      </c>
    </row>
    <row r="589" customFormat="false" ht="15" hidden="false" customHeight="false" outlineLevel="0" collapsed="false">
      <c r="A589" s="13" t="n">
        <v>44574.25</v>
      </c>
      <c r="B589" s="12" t="n">
        <v>644.276</v>
      </c>
      <c r="C589" s="0" t="n">
        <f aca="false">WEEKDAY(A589,2)</f>
        <v>4</v>
      </c>
      <c r="D589" s="0" t="n">
        <f aca="false">DAY(A589)</f>
        <v>13</v>
      </c>
      <c r="E589" s="0" t="n">
        <f aca="false">HOUR(A589)</f>
        <v>6</v>
      </c>
      <c r="F589" s="0" t="n">
        <f aca="false">IF(C589&gt;=6,0,1)</f>
        <v>1</v>
      </c>
      <c r="G589" s="0" t="n">
        <f aca="false">VLOOKUP(E589,Sheet1!$A$2:$B$25,2,0)</f>
        <v>1</v>
      </c>
    </row>
    <row r="590" customFormat="false" ht="15" hidden="false" customHeight="false" outlineLevel="0" collapsed="false">
      <c r="A590" s="13" t="n">
        <v>44574.2708333333</v>
      </c>
      <c r="B590" s="12" t="n">
        <v>652.945</v>
      </c>
      <c r="C590" s="0" t="n">
        <f aca="false">WEEKDAY(A590,2)</f>
        <v>4</v>
      </c>
      <c r="D590" s="0" t="n">
        <f aca="false">DAY(A590)</f>
        <v>13</v>
      </c>
      <c r="E590" s="0" t="n">
        <f aca="false">HOUR(A590)</f>
        <v>6</v>
      </c>
      <c r="F590" s="0" t="n">
        <f aca="false">IF(C590&gt;=6,0,1)</f>
        <v>1</v>
      </c>
      <c r="G590" s="0" t="n">
        <f aca="false">VLOOKUP(E590,Sheet1!$A$2:$B$25,2,0)</f>
        <v>1</v>
      </c>
    </row>
    <row r="591" customFormat="false" ht="15" hidden="false" customHeight="false" outlineLevel="0" collapsed="false">
      <c r="A591" s="13" t="n">
        <v>44574.2916666667</v>
      </c>
      <c r="B591" s="12" t="n">
        <v>620.996</v>
      </c>
      <c r="C591" s="0" t="n">
        <f aca="false">WEEKDAY(A591,2)</f>
        <v>4</v>
      </c>
      <c r="D591" s="0" t="n">
        <f aca="false">DAY(A591)</f>
        <v>13</v>
      </c>
      <c r="E591" s="0" t="n">
        <f aca="false">HOUR(A591)</f>
        <v>7</v>
      </c>
      <c r="F591" s="0" t="n">
        <f aca="false">IF(C591&gt;=6,0,1)</f>
        <v>1</v>
      </c>
      <c r="G591" s="0" t="n">
        <f aca="false">VLOOKUP(E591,Sheet1!$A$2:$B$25,2,0)</f>
        <v>1</v>
      </c>
    </row>
    <row r="592" customFormat="false" ht="15" hidden="false" customHeight="false" outlineLevel="0" collapsed="false">
      <c r="A592" s="13" t="n">
        <v>44574.3125</v>
      </c>
      <c r="B592" s="12" t="n">
        <v>551.9</v>
      </c>
      <c r="C592" s="0" t="n">
        <f aca="false">WEEKDAY(A592,2)</f>
        <v>4</v>
      </c>
      <c r="D592" s="0" t="n">
        <f aca="false">DAY(A592)</f>
        <v>13</v>
      </c>
      <c r="E592" s="0" t="n">
        <f aca="false">HOUR(A592)</f>
        <v>7</v>
      </c>
      <c r="F592" s="0" t="n">
        <f aca="false">IF(C592&gt;=6,0,1)</f>
        <v>1</v>
      </c>
      <c r="G592" s="0" t="n">
        <f aca="false">VLOOKUP(E592,Sheet1!$A$2:$B$25,2,0)</f>
        <v>1</v>
      </c>
    </row>
    <row r="593" customFormat="false" ht="15" hidden="false" customHeight="false" outlineLevel="0" collapsed="false">
      <c r="A593" s="13" t="n">
        <v>44574.3333333333</v>
      </c>
      <c r="B593" s="12" t="n">
        <v>543.62</v>
      </c>
      <c r="C593" s="0" t="n">
        <f aca="false">WEEKDAY(A593,2)</f>
        <v>4</v>
      </c>
      <c r="D593" s="0" t="n">
        <f aca="false">DAY(A593)</f>
        <v>13</v>
      </c>
      <c r="E593" s="0" t="n">
        <f aca="false">HOUR(A593)</f>
        <v>8</v>
      </c>
      <c r="F593" s="0" t="n">
        <f aca="false">IF(C593&gt;=6,0,1)</f>
        <v>1</v>
      </c>
      <c r="G593" s="0" t="n">
        <f aca="false">VLOOKUP(E593,Sheet1!$A$2:$B$25,2,0)</f>
        <v>1</v>
      </c>
    </row>
    <row r="594" customFormat="false" ht="15" hidden="false" customHeight="false" outlineLevel="0" collapsed="false">
      <c r="A594" s="13" t="n">
        <v>44574.3541666667</v>
      </c>
      <c r="B594" s="12" t="n">
        <v>569.756</v>
      </c>
      <c r="C594" s="0" t="n">
        <f aca="false">WEEKDAY(A594,2)</f>
        <v>4</v>
      </c>
      <c r="D594" s="0" t="n">
        <f aca="false">DAY(A594)</f>
        <v>13</v>
      </c>
      <c r="E594" s="0" t="n">
        <f aca="false">HOUR(A594)</f>
        <v>8</v>
      </c>
      <c r="F594" s="0" t="n">
        <f aca="false">IF(C594&gt;=6,0,1)</f>
        <v>1</v>
      </c>
      <c r="G594" s="0" t="n">
        <f aca="false">VLOOKUP(E594,Sheet1!$A$2:$B$25,2,0)</f>
        <v>1</v>
      </c>
    </row>
    <row r="595" customFormat="false" ht="15" hidden="false" customHeight="false" outlineLevel="0" collapsed="false">
      <c r="A595" s="13" t="n">
        <v>44574.375</v>
      </c>
      <c r="B595" s="12" t="n">
        <v>558.716</v>
      </c>
      <c r="C595" s="0" t="n">
        <f aca="false">WEEKDAY(A595,2)</f>
        <v>4</v>
      </c>
      <c r="D595" s="0" t="n">
        <f aca="false">DAY(A595)</f>
        <v>13</v>
      </c>
      <c r="E595" s="0" t="n">
        <f aca="false">HOUR(A595)</f>
        <v>9</v>
      </c>
      <c r="F595" s="0" t="n">
        <f aca="false">IF(C595&gt;=6,0,1)</f>
        <v>1</v>
      </c>
      <c r="G595" s="0" t="n">
        <f aca="false">VLOOKUP(E595,Sheet1!$A$2:$B$25,2,0)</f>
        <v>1</v>
      </c>
    </row>
    <row r="596" customFormat="false" ht="15" hidden="false" customHeight="false" outlineLevel="0" collapsed="false">
      <c r="A596" s="13" t="n">
        <v>44574.3958333333</v>
      </c>
      <c r="B596" s="12" t="n">
        <v>557.756</v>
      </c>
      <c r="C596" s="0" t="n">
        <f aca="false">WEEKDAY(A596,2)</f>
        <v>4</v>
      </c>
      <c r="D596" s="0" t="n">
        <f aca="false">DAY(A596)</f>
        <v>13</v>
      </c>
      <c r="E596" s="0" t="n">
        <f aca="false">HOUR(A596)</f>
        <v>9</v>
      </c>
      <c r="F596" s="0" t="n">
        <f aca="false">IF(C596&gt;=6,0,1)</f>
        <v>1</v>
      </c>
      <c r="G596" s="0" t="n">
        <f aca="false">VLOOKUP(E596,Sheet1!$A$2:$B$25,2,0)</f>
        <v>1</v>
      </c>
    </row>
    <row r="597" customFormat="false" ht="15" hidden="false" customHeight="false" outlineLevel="0" collapsed="false">
      <c r="A597" s="13" t="n">
        <v>44574.4166666667</v>
      </c>
      <c r="B597" s="12" t="n">
        <v>556.916</v>
      </c>
      <c r="C597" s="0" t="n">
        <f aca="false">WEEKDAY(A597,2)</f>
        <v>4</v>
      </c>
      <c r="D597" s="0" t="n">
        <f aca="false">DAY(A597)</f>
        <v>13</v>
      </c>
      <c r="E597" s="0" t="n">
        <f aca="false">HOUR(A597)</f>
        <v>10</v>
      </c>
      <c r="F597" s="0" t="n">
        <f aca="false">IF(C597&gt;=6,0,1)</f>
        <v>1</v>
      </c>
      <c r="G597" s="0" t="n">
        <f aca="false">VLOOKUP(E597,Sheet1!$A$2:$B$25,2,0)</f>
        <v>1</v>
      </c>
    </row>
    <row r="598" customFormat="false" ht="15" hidden="false" customHeight="false" outlineLevel="0" collapsed="false">
      <c r="A598" s="13" t="n">
        <v>44574.4375</v>
      </c>
      <c r="B598" s="12" t="n">
        <v>559.081</v>
      </c>
      <c r="C598" s="0" t="n">
        <f aca="false">WEEKDAY(A598,2)</f>
        <v>4</v>
      </c>
      <c r="D598" s="0" t="n">
        <f aca="false">DAY(A598)</f>
        <v>13</v>
      </c>
      <c r="E598" s="0" t="n">
        <f aca="false">HOUR(A598)</f>
        <v>10</v>
      </c>
      <c r="F598" s="0" t="n">
        <f aca="false">IF(C598&gt;=6,0,1)</f>
        <v>1</v>
      </c>
      <c r="G598" s="0" t="n">
        <f aca="false">VLOOKUP(E598,Sheet1!$A$2:$B$25,2,0)</f>
        <v>1</v>
      </c>
    </row>
    <row r="599" customFormat="false" ht="15" hidden="false" customHeight="false" outlineLevel="0" collapsed="false">
      <c r="A599" s="13" t="n">
        <v>44574.4583333333</v>
      </c>
      <c r="B599" s="12" t="n">
        <v>565.22</v>
      </c>
      <c r="C599" s="0" t="n">
        <f aca="false">WEEKDAY(A599,2)</f>
        <v>4</v>
      </c>
      <c r="D599" s="0" t="n">
        <f aca="false">DAY(A599)</f>
        <v>13</v>
      </c>
      <c r="E599" s="0" t="n">
        <f aca="false">HOUR(A599)</f>
        <v>11</v>
      </c>
      <c r="F599" s="0" t="n">
        <f aca="false">IF(C599&gt;=6,0,1)</f>
        <v>1</v>
      </c>
      <c r="G599" s="0" t="n">
        <f aca="false">VLOOKUP(E599,Sheet1!$A$2:$B$25,2,0)</f>
        <v>1</v>
      </c>
    </row>
    <row r="600" customFormat="false" ht="15" hidden="false" customHeight="false" outlineLevel="0" collapsed="false">
      <c r="A600" s="13" t="n">
        <v>44574.4791666667</v>
      </c>
      <c r="B600" s="12" t="n">
        <v>554.66</v>
      </c>
      <c r="C600" s="0" t="n">
        <f aca="false">WEEKDAY(A600,2)</f>
        <v>4</v>
      </c>
      <c r="D600" s="0" t="n">
        <f aca="false">DAY(A600)</f>
        <v>13</v>
      </c>
      <c r="E600" s="0" t="n">
        <f aca="false">HOUR(A600)</f>
        <v>11</v>
      </c>
      <c r="F600" s="0" t="n">
        <f aca="false">IF(C600&gt;=6,0,1)</f>
        <v>1</v>
      </c>
      <c r="G600" s="0" t="n">
        <f aca="false">VLOOKUP(E600,Sheet1!$A$2:$B$25,2,0)</f>
        <v>1</v>
      </c>
    </row>
    <row r="601" customFormat="false" ht="15" hidden="false" customHeight="false" outlineLevel="0" collapsed="false">
      <c r="A601" s="13" t="n">
        <v>44574.5</v>
      </c>
      <c r="B601" s="12" t="n">
        <v>546.865</v>
      </c>
      <c r="C601" s="0" t="n">
        <f aca="false">WEEKDAY(A601,2)</f>
        <v>4</v>
      </c>
      <c r="D601" s="0" t="n">
        <f aca="false">DAY(A601)</f>
        <v>13</v>
      </c>
      <c r="E601" s="0" t="n">
        <f aca="false">HOUR(A601)</f>
        <v>12</v>
      </c>
      <c r="F601" s="0" t="n">
        <f aca="false">IF(C601&gt;=6,0,1)</f>
        <v>1</v>
      </c>
      <c r="G601" s="0" t="n">
        <f aca="false">VLOOKUP(E601,Sheet1!$A$2:$B$25,2,0)</f>
        <v>1</v>
      </c>
    </row>
    <row r="602" customFormat="false" ht="15" hidden="false" customHeight="false" outlineLevel="0" collapsed="false">
      <c r="A602" s="13" t="n">
        <v>44574.5208333333</v>
      </c>
      <c r="B602" s="12" t="n">
        <v>544.316</v>
      </c>
      <c r="C602" s="0" t="n">
        <f aca="false">WEEKDAY(A602,2)</f>
        <v>4</v>
      </c>
      <c r="D602" s="0" t="n">
        <f aca="false">DAY(A602)</f>
        <v>13</v>
      </c>
      <c r="E602" s="0" t="n">
        <f aca="false">HOUR(A602)</f>
        <v>12</v>
      </c>
      <c r="F602" s="0" t="n">
        <f aca="false">IF(C602&gt;=6,0,1)</f>
        <v>1</v>
      </c>
      <c r="G602" s="0" t="n">
        <f aca="false">VLOOKUP(E602,Sheet1!$A$2:$B$25,2,0)</f>
        <v>1</v>
      </c>
    </row>
    <row r="603" customFormat="false" ht="15" hidden="false" customHeight="false" outlineLevel="0" collapsed="false">
      <c r="A603" s="13" t="n">
        <v>44574.5416666667</v>
      </c>
      <c r="B603" s="12" t="n">
        <v>506.396</v>
      </c>
      <c r="C603" s="0" t="n">
        <f aca="false">WEEKDAY(A603,2)</f>
        <v>4</v>
      </c>
      <c r="D603" s="0" t="n">
        <f aca="false">DAY(A603)</f>
        <v>13</v>
      </c>
      <c r="E603" s="0" t="n">
        <f aca="false">HOUR(A603)</f>
        <v>13</v>
      </c>
      <c r="F603" s="0" t="n">
        <f aca="false">IF(C603&gt;=6,0,1)</f>
        <v>1</v>
      </c>
      <c r="G603" s="0" t="n">
        <f aca="false">VLOOKUP(E603,Sheet1!$A$2:$B$25,2,0)</f>
        <v>1</v>
      </c>
    </row>
    <row r="604" customFormat="false" ht="15" hidden="false" customHeight="false" outlineLevel="0" collapsed="false">
      <c r="A604" s="13" t="n">
        <v>44574.5625</v>
      </c>
      <c r="B604" s="12" t="n">
        <v>486.02</v>
      </c>
      <c r="C604" s="0" t="n">
        <f aca="false">WEEKDAY(A604,2)</f>
        <v>4</v>
      </c>
      <c r="D604" s="0" t="n">
        <f aca="false">DAY(A604)</f>
        <v>13</v>
      </c>
      <c r="E604" s="0" t="n">
        <f aca="false">HOUR(A604)</f>
        <v>13</v>
      </c>
      <c r="F604" s="0" t="n">
        <f aca="false">IF(C604&gt;=6,0,1)</f>
        <v>1</v>
      </c>
      <c r="G604" s="0" t="n">
        <f aca="false">VLOOKUP(E604,Sheet1!$A$2:$B$25,2,0)</f>
        <v>1</v>
      </c>
    </row>
    <row r="605" customFormat="false" ht="15" hidden="false" customHeight="false" outlineLevel="0" collapsed="false">
      <c r="A605" s="13" t="n">
        <v>44574.5833333333</v>
      </c>
      <c r="B605" s="12" t="n">
        <v>399.481</v>
      </c>
      <c r="C605" s="0" t="n">
        <f aca="false">WEEKDAY(A605,2)</f>
        <v>4</v>
      </c>
      <c r="D605" s="0" t="n">
        <f aca="false">DAY(A605)</f>
        <v>13</v>
      </c>
      <c r="E605" s="0" t="n">
        <f aca="false">HOUR(A605)</f>
        <v>14</v>
      </c>
      <c r="F605" s="0" t="n">
        <f aca="false">IF(C605&gt;=6,0,1)</f>
        <v>1</v>
      </c>
      <c r="G605" s="0" t="n">
        <f aca="false">VLOOKUP(E605,Sheet1!$A$2:$B$25,2,0)</f>
        <v>1</v>
      </c>
    </row>
    <row r="606" customFormat="false" ht="15" hidden="false" customHeight="false" outlineLevel="0" collapsed="false">
      <c r="A606" s="13" t="n">
        <v>44574.6041666667</v>
      </c>
      <c r="B606" s="12" t="n">
        <v>338.78</v>
      </c>
      <c r="C606" s="0" t="n">
        <f aca="false">WEEKDAY(A606,2)</f>
        <v>4</v>
      </c>
      <c r="D606" s="0" t="n">
        <f aca="false">DAY(A606)</f>
        <v>13</v>
      </c>
      <c r="E606" s="0" t="n">
        <f aca="false">HOUR(A606)</f>
        <v>14</v>
      </c>
      <c r="F606" s="0" t="n">
        <f aca="false">IF(C606&gt;=6,0,1)</f>
        <v>1</v>
      </c>
      <c r="G606" s="0" t="n">
        <f aca="false">VLOOKUP(E606,Sheet1!$A$2:$B$25,2,0)</f>
        <v>1</v>
      </c>
    </row>
    <row r="607" customFormat="false" ht="15" hidden="false" customHeight="false" outlineLevel="0" collapsed="false">
      <c r="A607" s="13" t="n">
        <v>44574.625</v>
      </c>
      <c r="B607" s="12" t="n">
        <v>313.196</v>
      </c>
      <c r="C607" s="0" t="n">
        <f aca="false">WEEKDAY(A607,2)</f>
        <v>4</v>
      </c>
      <c r="D607" s="0" t="n">
        <f aca="false">DAY(A607)</f>
        <v>13</v>
      </c>
      <c r="E607" s="0" t="n">
        <f aca="false">HOUR(A607)</f>
        <v>15</v>
      </c>
      <c r="F607" s="0" t="n">
        <f aca="false">IF(C607&gt;=6,0,1)</f>
        <v>1</v>
      </c>
      <c r="G607" s="0" t="n">
        <f aca="false">VLOOKUP(E607,Sheet1!$A$2:$B$25,2,0)</f>
        <v>1</v>
      </c>
    </row>
    <row r="608" customFormat="false" ht="15" hidden="false" customHeight="false" outlineLevel="0" collapsed="false">
      <c r="A608" s="13" t="n">
        <v>44574.6458333333</v>
      </c>
      <c r="B608" s="12" t="n">
        <v>307.225</v>
      </c>
      <c r="C608" s="0" t="n">
        <f aca="false">WEEKDAY(A608,2)</f>
        <v>4</v>
      </c>
      <c r="D608" s="0" t="n">
        <f aca="false">DAY(A608)</f>
        <v>13</v>
      </c>
      <c r="E608" s="0" t="n">
        <f aca="false">HOUR(A608)</f>
        <v>15</v>
      </c>
      <c r="F608" s="0" t="n">
        <f aca="false">IF(C608&gt;=6,0,1)</f>
        <v>1</v>
      </c>
      <c r="G608" s="0" t="n">
        <f aca="false">VLOOKUP(E608,Sheet1!$A$2:$B$25,2,0)</f>
        <v>1</v>
      </c>
    </row>
    <row r="609" customFormat="false" ht="15" hidden="false" customHeight="false" outlineLevel="0" collapsed="false">
      <c r="A609" s="13" t="n">
        <v>44574.6666666667</v>
      </c>
      <c r="B609" s="12" t="n">
        <v>310.58</v>
      </c>
      <c r="C609" s="0" t="n">
        <f aca="false">WEEKDAY(A609,2)</f>
        <v>4</v>
      </c>
      <c r="D609" s="0" t="n">
        <f aca="false">DAY(A609)</f>
        <v>13</v>
      </c>
      <c r="E609" s="0" t="n">
        <f aca="false">HOUR(A609)</f>
        <v>16</v>
      </c>
      <c r="F609" s="0" t="n">
        <f aca="false">IF(C609&gt;=6,0,1)</f>
        <v>1</v>
      </c>
      <c r="G609" s="0" t="n">
        <f aca="false">VLOOKUP(E609,Sheet1!$A$2:$B$25,2,0)</f>
        <v>0</v>
      </c>
    </row>
    <row r="610" customFormat="false" ht="15" hidden="false" customHeight="false" outlineLevel="0" collapsed="false">
      <c r="A610" s="13" t="n">
        <v>44574.6875</v>
      </c>
      <c r="B610" s="12" t="n">
        <v>306.356</v>
      </c>
      <c r="C610" s="0" t="n">
        <f aca="false">WEEKDAY(A610,2)</f>
        <v>4</v>
      </c>
      <c r="D610" s="0" t="n">
        <f aca="false">DAY(A610)</f>
        <v>13</v>
      </c>
      <c r="E610" s="0" t="n">
        <f aca="false">HOUR(A610)</f>
        <v>16</v>
      </c>
      <c r="F610" s="0" t="n">
        <f aca="false">IF(C610&gt;=6,0,1)</f>
        <v>1</v>
      </c>
      <c r="G610" s="0" t="n">
        <f aca="false">VLOOKUP(E610,Sheet1!$A$2:$B$25,2,0)</f>
        <v>0</v>
      </c>
    </row>
    <row r="611" customFormat="false" ht="15" hidden="false" customHeight="false" outlineLevel="0" collapsed="false">
      <c r="A611" s="13" t="n">
        <v>44574.7083333333</v>
      </c>
      <c r="B611" s="12" t="n">
        <v>295.196</v>
      </c>
      <c r="C611" s="0" t="n">
        <f aca="false">WEEKDAY(A611,2)</f>
        <v>4</v>
      </c>
      <c r="D611" s="0" t="n">
        <f aca="false">DAY(A611)</f>
        <v>13</v>
      </c>
      <c r="E611" s="0" t="n">
        <f aca="false">HOUR(A611)</f>
        <v>17</v>
      </c>
      <c r="F611" s="0" t="n">
        <f aca="false">IF(C611&gt;=6,0,1)</f>
        <v>1</v>
      </c>
      <c r="G611" s="0" t="n">
        <f aca="false">VLOOKUP(E611,Sheet1!$A$2:$B$25,2,0)</f>
        <v>0</v>
      </c>
    </row>
    <row r="612" customFormat="false" ht="15" hidden="false" customHeight="false" outlineLevel="0" collapsed="false">
      <c r="A612" s="13" t="n">
        <v>44574.7291666667</v>
      </c>
      <c r="B612" s="12" t="n">
        <v>305.425</v>
      </c>
      <c r="C612" s="0" t="n">
        <f aca="false">WEEKDAY(A612,2)</f>
        <v>4</v>
      </c>
      <c r="D612" s="0" t="n">
        <f aca="false">DAY(A612)</f>
        <v>13</v>
      </c>
      <c r="E612" s="0" t="n">
        <f aca="false">HOUR(A612)</f>
        <v>17</v>
      </c>
      <c r="F612" s="0" t="n">
        <f aca="false">IF(C612&gt;=6,0,1)</f>
        <v>1</v>
      </c>
      <c r="G612" s="0" t="n">
        <f aca="false">VLOOKUP(E612,Sheet1!$A$2:$B$25,2,0)</f>
        <v>0</v>
      </c>
    </row>
    <row r="613" customFormat="false" ht="15" hidden="false" customHeight="false" outlineLevel="0" collapsed="false">
      <c r="A613" s="13" t="n">
        <v>44574.75</v>
      </c>
      <c r="B613" s="12" t="n">
        <v>307.46</v>
      </c>
      <c r="C613" s="0" t="n">
        <f aca="false">WEEKDAY(A613,2)</f>
        <v>4</v>
      </c>
      <c r="D613" s="0" t="n">
        <f aca="false">DAY(A613)</f>
        <v>13</v>
      </c>
      <c r="E613" s="0" t="n">
        <f aca="false">HOUR(A613)</f>
        <v>18</v>
      </c>
      <c r="F613" s="0" t="n">
        <f aca="false">IF(C613&gt;=6,0,1)</f>
        <v>1</v>
      </c>
      <c r="G613" s="0" t="n">
        <f aca="false">VLOOKUP(E613,Sheet1!$A$2:$B$25,2,0)</f>
        <v>0</v>
      </c>
    </row>
    <row r="614" customFormat="false" ht="15" hidden="false" customHeight="false" outlineLevel="0" collapsed="false">
      <c r="A614" s="13" t="n">
        <v>44574.7708333333</v>
      </c>
      <c r="B614" s="12" t="n">
        <v>287.9</v>
      </c>
      <c r="C614" s="0" t="n">
        <f aca="false">WEEKDAY(A614,2)</f>
        <v>4</v>
      </c>
      <c r="D614" s="0" t="n">
        <f aca="false">DAY(A614)</f>
        <v>13</v>
      </c>
      <c r="E614" s="0" t="n">
        <f aca="false">HOUR(A614)</f>
        <v>18</v>
      </c>
      <c r="F614" s="0" t="n">
        <f aca="false">IF(C614&gt;=6,0,1)</f>
        <v>1</v>
      </c>
      <c r="G614" s="0" t="n">
        <f aca="false">VLOOKUP(E614,Sheet1!$A$2:$B$25,2,0)</f>
        <v>0</v>
      </c>
    </row>
    <row r="615" customFormat="false" ht="15" hidden="false" customHeight="false" outlineLevel="0" collapsed="false">
      <c r="A615" s="13" t="n">
        <v>44574.7916666667</v>
      </c>
      <c r="B615" s="12" t="n">
        <v>313.676</v>
      </c>
      <c r="C615" s="0" t="n">
        <f aca="false">WEEKDAY(A615,2)</f>
        <v>4</v>
      </c>
      <c r="D615" s="0" t="n">
        <f aca="false">DAY(A615)</f>
        <v>13</v>
      </c>
      <c r="E615" s="0" t="n">
        <f aca="false">HOUR(A615)</f>
        <v>19</v>
      </c>
      <c r="F615" s="0" t="n">
        <f aca="false">IF(C615&gt;=6,0,1)</f>
        <v>1</v>
      </c>
      <c r="G615" s="0" t="n">
        <f aca="false">VLOOKUP(E615,Sheet1!$A$2:$B$25,2,0)</f>
        <v>0</v>
      </c>
    </row>
    <row r="616" customFormat="false" ht="15" hidden="false" customHeight="false" outlineLevel="0" collapsed="false">
      <c r="A616" s="13" t="n">
        <v>44574.8125</v>
      </c>
      <c r="B616" s="12" t="n">
        <v>291.721</v>
      </c>
      <c r="C616" s="0" t="n">
        <f aca="false">WEEKDAY(A616,2)</f>
        <v>4</v>
      </c>
      <c r="D616" s="0" t="n">
        <f aca="false">DAY(A616)</f>
        <v>13</v>
      </c>
      <c r="E616" s="0" t="n">
        <f aca="false">HOUR(A616)</f>
        <v>19</v>
      </c>
      <c r="F616" s="0" t="n">
        <f aca="false">IF(C616&gt;=6,0,1)</f>
        <v>1</v>
      </c>
      <c r="G616" s="0" t="n">
        <f aca="false">VLOOKUP(E616,Sheet1!$A$2:$B$25,2,0)</f>
        <v>0</v>
      </c>
    </row>
    <row r="617" customFormat="false" ht="15" hidden="false" customHeight="false" outlineLevel="0" collapsed="false">
      <c r="A617" s="13" t="n">
        <v>44574.8333333333</v>
      </c>
      <c r="B617" s="12" t="n">
        <v>286.556</v>
      </c>
      <c r="C617" s="0" t="n">
        <f aca="false">WEEKDAY(A617,2)</f>
        <v>4</v>
      </c>
      <c r="D617" s="0" t="n">
        <f aca="false">DAY(A617)</f>
        <v>13</v>
      </c>
      <c r="E617" s="0" t="n">
        <f aca="false">HOUR(A617)</f>
        <v>20</v>
      </c>
      <c r="F617" s="0" t="n">
        <f aca="false">IF(C617&gt;=6,0,1)</f>
        <v>1</v>
      </c>
      <c r="G617" s="0" t="n">
        <f aca="false">VLOOKUP(E617,Sheet1!$A$2:$B$25,2,0)</f>
        <v>0</v>
      </c>
    </row>
    <row r="618" customFormat="false" ht="15" hidden="false" customHeight="false" outlineLevel="0" collapsed="false">
      <c r="A618" s="13" t="n">
        <v>44574.8541666667</v>
      </c>
      <c r="B618" s="12" t="n">
        <v>286.105</v>
      </c>
      <c r="C618" s="0" t="n">
        <f aca="false">WEEKDAY(A618,2)</f>
        <v>4</v>
      </c>
      <c r="D618" s="0" t="n">
        <f aca="false">DAY(A618)</f>
        <v>13</v>
      </c>
      <c r="E618" s="0" t="n">
        <f aca="false">HOUR(A618)</f>
        <v>20</v>
      </c>
      <c r="F618" s="0" t="n">
        <f aca="false">IF(C618&gt;=6,0,1)</f>
        <v>1</v>
      </c>
      <c r="G618" s="0" t="n">
        <f aca="false">VLOOKUP(E618,Sheet1!$A$2:$B$25,2,0)</f>
        <v>0</v>
      </c>
    </row>
    <row r="619" customFormat="false" ht="15" hidden="false" customHeight="false" outlineLevel="0" collapsed="false">
      <c r="A619" s="13" t="n">
        <v>44574.875</v>
      </c>
      <c r="B619" s="12" t="n">
        <v>284.636</v>
      </c>
      <c r="C619" s="0" t="n">
        <f aca="false">WEEKDAY(A619,2)</f>
        <v>4</v>
      </c>
      <c r="D619" s="0" t="n">
        <f aca="false">DAY(A619)</f>
        <v>13</v>
      </c>
      <c r="E619" s="0" t="n">
        <f aca="false">HOUR(A619)</f>
        <v>21</v>
      </c>
      <c r="F619" s="0" t="n">
        <f aca="false">IF(C619&gt;=6,0,1)</f>
        <v>1</v>
      </c>
      <c r="G619" s="0" t="n">
        <f aca="false">VLOOKUP(E619,Sheet1!$A$2:$B$25,2,0)</f>
        <v>0</v>
      </c>
    </row>
    <row r="620" customFormat="false" ht="15" hidden="false" customHeight="false" outlineLevel="0" collapsed="false">
      <c r="A620" s="13" t="n">
        <v>44574.8958333333</v>
      </c>
      <c r="B620" s="12" t="n">
        <v>279.476</v>
      </c>
      <c r="C620" s="0" t="n">
        <f aca="false">WEEKDAY(A620,2)</f>
        <v>4</v>
      </c>
      <c r="D620" s="0" t="n">
        <f aca="false">DAY(A620)</f>
        <v>13</v>
      </c>
      <c r="E620" s="0" t="n">
        <f aca="false">HOUR(A620)</f>
        <v>21</v>
      </c>
      <c r="F620" s="0" t="n">
        <f aca="false">IF(C620&gt;=6,0,1)</f>
        <v>1</v>
      </c>
      <c r="G620" s="0" t="n">
        <f aca="false">VLOOKUP(E620,Sheet1!$A$2:$B$25,2,0)</f>
        <v>0</v>
      </c>
    </row>
    <row r="621" customFormat="false" ht="15" hidden="false" customHeight="false" outlineLevel="0" collapsed="false">
      <c r="A621" s="13" t="n">
        <v>44574.9166666667</v>
      </c>
      <c r="B621" s="12" t="n">
        <v>280.705</v>
      </c>
      <c r="C621" s="0" t="n">
        <f aca="false">WEEKDAY(A621,2)</f>
        <v>4</v>
      </c>
      <c r="D621" s="0" t="n">
        <f aca="false">DAY(A621)</f>
        <v>13</v>
      </c>
      <c r="E621" s="0" t="n">
        <f aca="false">HOUR(A621)</f>
        <v>22</v>
      </c>
      <c r="F621" s="0" t="n">
        <f aca="false">IF(C621&gt;=6,0,1)</f>
        <v>1</v>
      </c>
      <c r="G621" s="0" t="n">
        <f aca="false">VLOOKUP(E621,Sheet1!$A$2:$B$25,2,0)</f>
        <v>0</v>
      </c>
    </row>
    <row r="622" customFormat="false" ht="15" hidden="false" customHeight="false" outlineLevel="0" collapsed="false">
      <c r="A622" s="13" t="n">
        <v>44574.9375</v>
      </c>
      <c r="B622" s="12" t="n">
        <v>278.78</v>
      </c>
      <c r="C622" s="0" t="n">
        <f aca="false">WEEKDAY(A622,2)</f>
        <v>4</v>
      </c>
      <c r="D622" s="0" t="n">
        <f aca="false">DAY(A622)</f>
        <v>13</v>
      </c>
      <c r="E622" s="0" t="n">
        <f aca="false">HOUR(A622)</f>
        <v>22</v>
      </c>
      <c r="F622" s="0" t="n">
        <f aca="false">IF(C622&gt;=6,0,1)</f>
        <v>1</v>
      </c>
      <c r="G622" s="0" t="n">
        <f aca="false">VLOOKUP(E622,Sheet1!$A$2:$B$25,2,0)</f>
        <v>0</v>
      </c>
    </row>
    <row r="623" customFormat="false" ht="15" hidden="false" customHeight="false" outlineLevel="0" collapsed="false">
      <c r="A623" s="13" t="n">
        <v>44574.9583333333</v>
      </c>
      <c r="B623" s="12" t="n">
        <v>278.996</v>
      </c>
      <c r="C623" s="0" t="n">
        <f aca="false">WEEKDAY(A623,2)</f>
        <v>4</v>
      </c>
      <c r="D623" s="0" t="n">
        <f aca="false">DAY(A623)</f>
        <v>13</v>
      </c>
      <c r="E623" s="0" t="n">
        <f aca="false">HOUR(A623)</f>
        <v>23</v>
      </c>
      <c r="F623" s="0" t="n">
        <f aca="false">IF(C623&gt;=6,0,1)</f>
        <v>1</v>
      </c>
      <c r="G623" s="0" t="n">
        <f aca="false">VLOOKUP(E623,Sheet1!$A$2:$B$25,2,0)</f>
        <v>0</v>
      </c>
    </row>
    <row r="624" customFormat="false" ht="15" hidden="false" customHeight="false" outlineLevel="0" collapsed="false">
      <c r="A624" s="13" t="n">
        <v>44574.9791666667</v>
      </c>
      <c r="B624" s="12" t="n">
        <v>282.601</v>
      </c>
      <c r="C624" s="0" t="n">
        <f aca="false">WEEKDAY(A624,2)</f>
        <v>4</v>
      </c>
      <c r="D624" s="0" t="n">
        <f aca="false">DAY(A624)</f>
        <v>13</v>
      </c>
      <c r="E624" s="0" t="n">
        <f aca="false">HOUR(A624)</f>
        <v>23</v>
      </c>
      <c r="F624" s="0" t="n">
        <f aca="false">IF(C624&gt;=6,0,1)</f>
        <v>1</v>
      </c>
      <c r="G624" s="0" t="n">
        <f aca="false">VLOOKUP(E624,Sheet1!$A$2:$B$25,2,0)</f>
        <v>0</v>
      </c>
    </row>
    <row r="625" customFormat="false" ht="15" hidden="false" customHeight="false" outlineLevel="0" collapsed="false">
      <c r="A625" s="13" t="n">
        <v>44575</v>
      </c>
      <c r="B625" s="12" t="n">
        <v>278.78</v>
      </c>
      <c r="C625" s="0" t="n">
        <f aca="false">WEEKDAY(A625,2)</f>
        <v>5</v>
      </c>
      <c r="D625" s="0" t="n">
        <f aca="false">DAY(A625)</f>
        <v>14</v>
      </c>
      <c r="E625" s="0" t="n">
        <f aca="false">HOUR(A625)</f>
        <v>0</v>
      </c>
      <c r="F625" s="0" t="n">
        <f aca="false">IF(C625&gt;=6,0,1)</f>
        <v>1</v>
      </c>
      <c r="G625" s="0" t="n">
        <f aca="false">VLOOKUP(E625,Sheet1!$A$2:$B$25,2,0)</f>
        <v>0</v>
      </c>
    </row>
    <row r="626" customFormat="false" ht="15" hidden="false" customHeight="false" outlineLevel="0" collapsed="false">
      <c r="A626" s="13" t="n">
        <v>44575.0208333333</v>
      </c>
      <c r="B626" s="12" t="n">
        <v>278.06</v>
      </c>
      <c r="C626" s="0" t="n">
        <f aca="false">WEEKDAY(A626,2)</f>
        <v>5</v>
      </c>
      <c r="D626" s="0" t="n">
        <f aca="false">DAY(A626)</f>
        <v>14</v>
      </c>
      <c r="E626" s="0" t="n">
        <f aca="false">HOUR(A626)</f>
        <v>0</v>
      </c>
      <c r="F626" s="0" t="n">
        <f aca="false">IF(C626&gt;=6,0,1)</f>
        <v>1</v>
      </c>
      <c r="G626" s="0" t="n">
        <f aca="false">VLOOKUP(E626,Sheet1!$A$2:$B$25,2,0)</f>
        <v>0</v>
      </c>
    </row>
    <row r="627" customFormat="false" ht="15" hidden="false" customHeight="false" outlineLevel="0" collapsed="false">
      <c r="A627" s="13" t="n">
        <v>44575.0416666667</v>
      </c>
      <c r="B627" s="12" t="n">
        <v>283.58</v>
      </c>
      <c r="C627" s="0" t="n">
        <f aca="false">WEEKDAY(A627,2)</f>
        <v>5</v>
      </c>
      <c r="D627" s="0" t="n">
        <f aca="false">DAY(A627)</f>
        <v>14</v>
      </c>
      <c r="E627" s="0" t="n">
        <f aca="false">HOUR(A627)</f>
        <v>1</v>
      </c>
      <c r="F627" s="0" t="n">
        <f aca="false">IF(C627&gt;=6,0,1)</f>
        <v>1</v>
      </c>
      <c r="G627" s="0" t="n">
        <f aca="false">VLOOKUP(E627,Sheet1!$A$2:$B$25,2,0)</f>
        <v>0</v>
      </c>
    </row>
    <row r="628" customFormat="false" ht="15" hidden="false" customHeight="false" outlineLevel="0" collapsed="false">
      <c r="A628" s="13" t="n">
        <v>44575.0625</v>
      </c>
      <c r="B628" s="12" t="n">
        <v>285.02</v>
      </c>
      <c r="C628" s="0" t="n">
        <f aca="false">WEEKDAY(A628,2)</f>
        <v>5</v>
      </c>
      <c r="D628" s="0" t="n">
        <f aca="false">DAY(A628)</f>
        <v>14</v>
      </c>
      <c r="E628" s="0" t="n">
        <f aca="false">HOUR(A628)</f>
        <v>1</v>
      </c>
      <c r="F628" s="0" t="n">
        <f aca="false">IF(C628&gt;=6,0,1)</f>
        <v>1</v>
      </c>
      <c r="G628" s="0" t="n">
        <f aca="false">VLOOKUP(E628,Sheet1!$A$2:$B$25,2,0)</f>
        <v>0</v>
      </c>
    </row>
    <row r="629" customFormat="false" ht="15" hidden="false" customHeight="false" outlineLevel="0" collapsed="false">
      <c r="A629" s="13" t="n">
        <v>44575.0833333333</v>
      </c>
      <c r="B629" s="12" t="n">
        <v>283.105</v>
      </c>
      <c r="C629" s="0" t="n">
        <f aca="false">WEEKDAY(A629,2)</f>
        <v>5</v>
      </c>
      <c r="D629" s="0" t="n">
        <f aca="false">DAY(A629)</f>
        <v>14</v>
      </c>
      <c r="E629" s="0" t="n">
        <f aca="false">HOUR(A629)</f>
        <v>2</v>
      </c>
      <c r="F629" s="0" t="n">
        <f aca="false">IF(C629&gt;=6,0,1)</f>
        <v>1</v>
      </c>
      <c r="G629" s="0" t="n">
        <f aca="false">VLOOKUP(E629,Sheet1!$A$2:$B$25,2,0)</f>
        <v>0</v>
      </c>
    </row>
    <row r="630" customFormat="false" ht="15" hidden="false" customHeight="false" outlineLevel="0" collapsed="false">
      <c r="A630" s="13" t="n">
        <v>44575.1041666667</v>
      </c>
      <c r="B630" s="12" t="n">
        <v>282.716</v>
      </c>
      <c r="C630" s="0" t="n">
        <f aca="false">WEEKDAY(A630,2)</f>
        <v>5</v>
      </c>
      <c r="D630" s="0" t="n">
        <f aca="false">DAY(A630)</f>
        <v>14</v>
      </c>
      <c r="E630" s="0" t="n">
        <f aca="false">HOUR(A630)</f>
        <v>2</v>
      </c>
      <c r="F630" s="0" t="n">
        <f aca="false">IF(C630&gt;=6,0,1)</f>
        <v>1</v>
      </c>
      <c r="G630" s="0" t="n">
        <f aca="false">VLOOKUP(E630,Sheet1!$A$2:$B$25,2,0)</f>
        <v>0</v>
      </c>
    </row>
    <row r="631" customFormat="false" ht="15" hidden="false" customHeight="false" outlineLevel="0" collapsed="false">
      <c r="A631" s="13" t="n">
        <v>44575.125</v>
      </c>
      <c r="B631" s="12" t="n">
        <v>287.996</v>
      </c>
      <c r="C631" s="0" t="n">
        <f aca="false">WEEKDAY(A631,2)</f>
        <v>5</v>
      </c>
      <c r="D631" s="0" t="n">
        <f aca="false">DAY(A631)</f>
        <v>14</v>
      </c>
      <c r="E631" s="0" t="n">
        <f aca="false">HOUR(A631)</f>
        <v>3</v>
      </c>
      <c r="F631" s="0" t="n">
        <f aca="false">IF(C631&gt;=6,0,1)</f>
        <v>1</v>
      </c>
      <c r="G631" s="0" t="n">
        <f aca="false">VLOOKUP(E631,Sheet1!$A$2:$B$25,2,0)</f>
        <v>0</v>
      </c>
    </row>
    <row r="632" customFormat="false" ht="15" hidden="false" customHeight="false" outlineLevel="0" collapsed="false">
      <c r="A632" s="13" t="n">
        <v>44575.1458333333</v>
      </c>
      <c r="B632" s="12" t="n">
        <v>284.9</v>
      </c>
      <c r="C632" s="0" t="n">
        <f aca="false">WEEKDAY(A632,2)</f>
        <v>5</v>
      </c>
      <c r="D632" s="0" t="n">
        <f aca="false">DAY(A632)</f>
        <v>14</v>
      </c>
      <c r="E632" s="0" t="n">
        <f aca="false">HOUR(A632)</f>
        <v>3</v>
      </c>
      <c r="F632" s="0" t="n">
        <f aca="false">IF(C632&gt;=6,0,1)</f>
        <v>1</v>
      </c>
      <c r="G632" s="0" t="n">
        <f aca="false">VLOOKUP(E632,Sheet1!$A$2:$B$25,2,0)</f>
        <v>0</v>
      </c>
    </row>
    <row r="633" customFormat="false" ht="15" hidden="false" customHeight="false" outlineLevel="0" collapsed="false">
      <c r="A633" s="13" t="n">
        <v>44575.1666666667</v>
      </c>
      <c r="B633" s="12" t="n">
        <v>283.22</v>
      </c>
      <c r="C633" s="0" t="n">
        <f aca="false">WEEKDAY(A633,2)</f>
        <v>5</v>
      </c>
      <c r="D633" s="0" t="n">
        <f aca="false">DAY(A633)</f>
        <v>14</v>
      </c>
      <c r="E633" s="0" t="n">
        <f aca="false">HOUR(A633)</f>
        <v>4</v>
      </c>
      <c r="F633" s="0" t="n">
        <f aca="false">IF(C633&gt;=6,0,1)</f>
        <v>1</v>
      </c>
      <c r="G633" s="0" t="n">
        <f aca="false">VLOOKUP(E633,Sheet1!$A$2:$B$25,2,0)</f>
        <v>1</v>
      </c>
    </row>
    <row r="634" customFormat="false" ht="15" hidden="false" customHeight="false" outlineLevel="0" collapsed="false">
      <c r="A634" s="13" t="n">
        <v>44575.1875</v>
      </c>
      <c r="B634" s="12" t="n">
        <v>294.265</v>
      </c>
      <c r="C634" s="0" t="n">
        <f aca="false">WEEKDAY(A634,2)</f>
        <v>5</v>
      </c>
      <c r="D634" s="0" t="n">
        <f aca="false">DAY(A634)</f>
        <v>14</v>
      </c>
      <c r="E634" s="0" t="n">
        <f aca="false">HOUR(A634)</f>
        <v>4</v>
      </c>
      <c r="F634" s="0" t="n">
        <f aca="false">IF(C634&gt;=6,0,1)</f>
        <v>1</v>
      </c>
      <c r="G634" s="0" t="n">
        <f aca="false">VLOOKUP(E634,Sheet1!$A$2:$B$25,2,0)</f>
        <v>1</v>
      </c>
    </row>
    <row r="635" customFormat="false" ht="15" hidden="false" customHeight="false" outlineLevel="0" collapsed="false">
      <c r="A635" s="13" t="n">
        <v>44575.2083333333</v>
      </c>
      <c r="B635" s="12" t="n">
        <v>300.236</v>
      </c>
      <c r="C635" s="0" t="n">
        <f aca="false">WEEKDAY(A635,2)</f>
        <v>5</v>
      </c>
      <c r="D635" s="0" t="n">
        <f aca="false">DAY(A635)</f>
        <v>14</v>
      </c>
      <c r="E635" s="0" t="n">
        <f aca="false">HOUR(A635)</f>
        <v>5</v>
      </c>
      <c r="F635" s="0" t="n">
        <f aca="false">IF(C635&gt;=6,0,1)</f>
        <v>1</v>
      </c>
      <c r="G635" s="0" t="n">
        <f aca="false">VLOOKUP(E635,Sheet1!$A$2:$B$25,2,0)</f>
        <v>1</v>
      </c>
    </row>
    <row r="636" customFormat="false" ht="15" hidden="false" customHeight="false" outlineLevel="0" collapsed="false">
      <c r="A636" s="13" t="n">
        <v>44575.2291666667</v>
      </c>
      <c r="B636" s="12" t="n">
        <v>355.7</v>
      </c>
      <c r="C636" s="0" t="n">
        <f aca="false">WEEKDAY(A636,2)</f>
        <v>5</v>
      </c>
      <c r="D636" s="0" t="n">
        <f aca="false">DAY(A636)</f>
        <v>14</v>
      </c>
      <c r="E636" s="0" t="n">
        <f aca="false">HOUR(A636)</f>
        <v>5</v>
      </c>
      <c r="F636" s="0" t="n">
        <f aca="false">IF(C636&gt;=6,0,1)</f>
        <v>1</v>
      </c>
      <c r="G636" s="0" t="n">
        <f aca="false">VLOOKUP(E636,Sheet1!$A$2:$B$25,2,0)</f>
        <v>1</v>
      </c>
    </row>
    <row r="637" customFormat="false" ht="15" hidden="false" customHeight="false" outlineLevel="0" collapsed="false">
      <c r="A637" s="13" t="n">
        <v>44575.25</v>
      </c>
      <c r="B637" s="12" t="n">
        <v>500.18</v>
      </c>
      <c r="C637" s="0" t="n">
        <f aca="false">WEEKDAY(A637,2)</f>
        <v>5</v>
      </c>
      <c r="D637" s="0" t="n">
        <f aca="false">DAY(A637)</f>
        <v>14</v>
      </c>
      <c r="E637" s="0" t="n">
        <f aca="false">HOUR(A637)</f>
        <v>6</v>
      </c>
      <c r="F637" s="0" t="n">
        <f aca="false">IF(C637&gt;=6,0,1)</f>
        <v>1</v>
      </c>
      <c r="G637" s="0" t="n">
        <f aca="false">VLOOKUP(E637,Sheet1!$A$2:$B$25,2,0)</f>
        <v>1</v>
      </c>
    </row>
    <row r="638" customFormat="false" ht="15" hidden="false" customHeight="false" outlineLevel="0" collapsed="false">
      <c r="A638" s="13" t="n">
        <v>44575.2708333333</v>
      </c>
      <c r="B638" s="12" t="n">
        <v>639.025</v>
      </c>
      <c r="C638" s="0" t="n">
        <f aca="false">WEEKDAY(A638,2)</f>
        <v>5</v>
      </c>
      <c r="D638" s="0" t="n">
        <f aca="false">DAY(A638)</f>
        <v>14</v>
      </c>
      <c r="E638" s="0" t="n">
        <f aca="false">HOUR(A638)</f>
        <v>6</v>
      </c>
      <c r="F638" s="0" t="n">
        <f aca="false">IF(C638&gt;=6,0,1)</f>
        <v>1</v>
      </c>
      <c r="G638" s="0" t="n">
        <f aca="false">VLOOKUP(E638,Sheet1!$A$2:$B$25,2,0)</f>
        <v>1</v>
      </c>
    </row>
    <row r="639" customFormat="false" ht="15" hidden="false" customHeight="false" outlineLevel="0" collapsed="false">
      <c r="A639" s="13" t="n">
        <v>44575.2916666667</v>
      </c>
      <c r="B639" s="12" t="n">
        <v>588.74</v>
      </c>
      <c r="C639" s="0" t="n">
        <f aca="false">WEEKDAY(A639,2)</f>
        <v>5</v>
      </c>
      <c r="D639" s="0" t="n">
        <f aca="false">DAY(A639)</f>
        <v>14</v>
      </c>
      <c r="E639" s="0" t="n">
        <f aca="false">HOUR(A639)</f>
        <v>7</v>
      </c>
      <c r="F639" s="0" t="n">
        <f aca="false">IF(C639&gt;=6,0,1)</f>
        <v>1</v>
      </c>
      <c r="G639" s="0" t="n">
        <f aca="false">VLOOKUP(E639,Sheet1!$A$2:$B$25,2,0)</f>
        <v>1</v>
      </c>
    </row>
    <row r="640" customFormat="false" ht="15" hidden="false" customHeight="false" outlineLevel="0" collapsed="false">
      <c r="A640" s="13" t="n">
        <v>44575.3125</v>
      </c>
      <c r="B640" s="12" t="n">
        <v>637.7</v>
      </c>
      <c r="C640" s="0" t="n">
        <f aca="false">WEEKDAY(A640,2)</f>
        <v>5</v>
      </c>
      <c r="D640" s="0" t="n">
        <f aca="false">DAY(A640)</f>
        <v>14</v>
      </c>
      <c r="E640" s="0" t="n">
        <f aca="false">HOUR(A640)</f>
        <v>7</v>
      </c>
      <c r="F640" s="0" t="n">
        <f aca="false">IF(C640&gt;=6,0,1)</f>
        <v>1</v>
      </c>
      <c r="G640" s="0" t="n">
        <f aca="false">VLOOKUP(E640,Sheet1!$A$2:$B$25,2,0)</f>
        <v>1</v>
      </c>
    </row>
    <row r="641" customFormat="false" ht="15" hidden="false" customHeight="false" outlineLevel="0" collapsed="false">
      <c r="A641" s="13" t="n">
        <v>44575.3333333333</v>
      </c>
      <c r="B641" s="12" t="n">
        <v>630.476</v>
      </c>
      <c r="C641" s="0" t="n">
        <f aca="false">WEEKDAY(A641,2)</f>
        <v>5</v>
      </c>
      <c r="D641" s="0" t="n">
        <f aca="false">DAY(A641)</f>
        <v>14</v>
      </c>
      <c r="E641" s="0" t="n">
        <f aca="false">HOUR(A641)</f>
        <v>8</v>
      </c>
      <c r="F641" s="0" t="n">
        <f aca="false">IF(C641&gt;=6,0,1)</f>
        <v>1</v>
      </c>
      <c r="G641" s="0" t="n">
        <f aca="false">VLOOKUP(E641,Sheet1!$A$2:$B$25,2,0)</f>
        <v>1</v>
      </c>
    </row>
    <row r="642" customFormat="false" ht="15" hidden="false" customHeight="false" outlineLevel="0" collapsed="false">
      <c r="A642" s="13" t="n">
        <v>44575.3541666667</v>
      </c>
      <c r="B642" s="12" t="n">
        <v>598.585</v>
      </c>
      <c r="C642" s="0" t="n">
        <f aca="false">WEEKDAY(A642,2)</f>
        <v>5</v>
      </c>
      <c r="D642" s="0" t="n">
        <f aca="false">DAY(A642)</f>
        <v>14</v>
      </c>
      <c r="E642" s="0" t="n">
        <f aca="false">HOUR(A642)</f>
        <v>8</v>
      </c>
      <c r="F642" s="0" t="n">
        <f aca="false">IF(C642&gt;=6,0,1)</f>
        <v>1</v>
      </c>
      <c r="G642" s="0" t="n">
        <f aca="false">VLOOKUP(E642,Sheet1!$A$2:$B$25,2,0)</f>
        <v>1</v>
      </c>
    </row>
    <row r="643" customFormat="false" ht="15" hidden="false" customHeight="false" outlineLevel="0" collapsed="false">
      <c r="A643" s="13" t="n">
        <v>44575.375</v>
      </c>
      <c r="B643" s="12" t="n">
        <v>551.42</v>
      </c>
      <c r="C643" s="0" t="n">
        <f aca="false">WEEKDAY(A643,2)</f>
        <v>5</v>
      </c>
      <c r="D643" s="0" t="n">
        <f aca="false">DAY(A643)</f>
        <v>14</v>
      </c>
      <c r="E643" s="0" t="n">
        <f aca="false">HOUR(A643)</f>
        <v>9</v>
      </c>
      <c r="F643" s="0" t="n">
        <f aca="false">IF(C643&gt;=6,0,1)</f>
        <v>1</v>
      </c>
      <c r="G643" s="0" t="n">
        <f aca="false">VLOOKUP(E643,Sheet1!$A$2:$B$25,2,0)</f>
        <v>1</v>
      </c>
    </row>
    <row r="644" customFormat="false" ht="15" hidden="false" customHeight="false" outlineLevel="0" collapsed="false">
      <c r="A644" s="13" t="n">
        <v>44575.3958333333</v>
      </c>
      <c r="B644" s="12" t="n">
        <v>597.596</v>
      </c>
      <c r="C644" s="0" t="n">
        <f aca="false">WEEKDAY(A644,2)</f>
        <v>5</v>
      </c>
      <c r="D644" s="0" t="n">
        <f aca="false">DAY(A644)</f>
        <v>14</v>
      </c>
      <c r="E644" s="0" t="n">
        <f aca="false">HOUR(A644)</f>
        <v>9</v>
      </c>
      <c r="F644" s="0" t="n">
        <f aca="false">IF(C644&gt;=6,0,1)</f>
        <v>1</v>
      </c>
      <c r="G644" s="0" t="n">
        <f aca="false">VLOOKUP(E644,Sheet1!$A$2:$B$25,2,0)</f>
        <v>1</v>
      </c>
    </row>
    <row r="645" customFormat="false" ht="15" hidden="false" customHeight="false" outlineLevel="0" collapsed="false">
      <c r="A645" s="13" t="n">
        <v>44575.4166666667</v>
      </c>
      <c r="B645" s="12" t="n">
        <v>771.02</v>
      </c>
      <c r="C645" s="0" t="n">
        <f aca="false">WEEKDAY(A645,2)</f>
        <v>5</v>
      </c>
      <c r="D645" s="0" t="n">
        <f aca="false">DAY(A645)</f>
        <v>14</v>
      </c>
      <c r="E645" s="0" t="n">
        <f aca="false">HOUR(A645)</f>
        <v>10</v>
      </c>
      <c r="F645" s="0" t="n">
        <f aca="false">IF(C645&gt;=6,0,1)</f>
        <v>1</v>
      </c>
      <c r="G645" s="0" t="n">
        <f aca="false">VLOOKUP(E645,Sheet1!$A$2:$B$25,2,0)</f>
        <v>1</v>
      </c>
    </row>
    <row r="646" customFormat="false" ht="15" hidden="false" customHeight="false" outlineLevel="0" collapsed="false">
      <c r="A646" s="13" t="n">
        <v>44575.4375</v>
      </c>
      <c r="B646" s="12" t="n">
        <v>746.756</v>
      </c>
      <c r="C646" s="0" t="n">
        <f aca="false">WEEKDAY(A646,2)</f>
        <v>5</v>
      </c>
      <c r="D646" s="0" t="n">
        <f aca="false">DAY(A646)</f>
        <v>14</v>
      </c>
      <c r="E646" s="0" t="n">
        <f aca="false">HOUR(A646)</f>
        <v>10</v>
      </c>
      <c r="F646" s="0" t="n">
        <f aca="false">IF(C646&gt;=6,0,1)</f>
        <v>1</v>
      </c>
      <c r="G646" s="0" t="n">
        <f aca="false">VLOOKUP(E646,Sheet1!$A$2:$B$25,2,0)</f>
        <v>1</v>
      </c>
    </row>
    <row r="647" customFormat="false" ht="15" hidden="false" customHeight="false" outlineLevel="0" collapsed="false">
      <c r="A647" s="13" t="n">
        <v>44575.4583333333</v>
      </c>
      <c r="B647" s="12" t="n">
        <v>688.321</v>
      </c>
      <c r="C647" s="0" t="n">
        <f aca="false">WEEKDAY(A647,2)</f>
        <v>5</v>
      </c>
      <c r="D647" s="0" t="n">
        <f aca="false">DAY(A647)</f>
        <v>14</v>
      </c>
      <c r="E647" s="0" t="n">
        <f aca="false">HOUR(A647)</f>
        <v>11</v>
      </c>
      <c r="F647" s="0" t="n">
        <f aca="false">IF(C647&gt;=6,0,1)</f>
        <v>1</v>
      </c>
      <c r="G647" s="0" t="n">
        <f aca="false">VLOOKUP(E647,Sheet1!$A$2:$B$25,2,0)</f>
        <v>1</v>
      </c>
    </row>
    <row r="648" customFormat="false" ht="15" hidden="false" customHeight="false" outlineLevel="0" collapsed="false">
      <c r="A648" s="13" t="n">
        <v>44575.4791666667</v>
      </c>
      <c r="B648" s="12" t="n">
        <v>700.196</v>
      </c>
      <c r="C648" s="0" t="n">
        <f aca="false">WEEKDAY(A648,2)</f>
        <v>5</v>
      </c>
      <c r="D648" s="0" t="n">
        <f aca="false">DAY(A648)</f>
        <v>14</v>
      </c>
      <c r="E648" s="0" t="n">
        <f aca="false">HOUR(A648)</f>
        <v>11</v>
      </c>
      <c r="F648" s="0" t="n">
        <f aca="false">IF(C648&gt;=6,0,1)</f>
        <v>1</v>
      </c>
      <c r="G648" s="0" t="n">
        <f aca="false">VLOOKUP(E648,Sheet1!$A$2:$B$25,2,0)</f>
        <v>1</v>
      </c>
    </row>
    <row r="649" customFormat="false" ht="15" hidden="false" customHeight="false" outlineLevel="0" collapsed="false">
      <c r="A649" s="13" t="n">
        <v>44575.5</v>
      </c>
      <c r="B649" s="12" t="n">
        <v>740.06</v>
      </c>
      <c r="C649" s="0" t="n">
        <f aca="false">WEEKDAY(A649,2)</f>
        <v>5</v>
      </c>
      <c r="D649" s="0" t="n">
        <f aca="false">DAY(A649)</f>
        <v>14</v>
      </c>
      <c r="E649" s="0" t="n">
        <f aca="false">HOUR(A649)</f>
        <v>12</v>
      </c>
      <c r="F649" s="0" t="n">
        <f aca="false">IF(C649&gt;=6,0,1)</f>
        <v>1</v>
      </c>
      <c r="G649" s="0" t="n">
        <f aca="false">VLOOKUP(E649,Sheet1!$A$2:$B$25,2,0)</f>
        <v>1</v>
      </c>
    </row>
    <row r="650" customFormat="false" ht="15" hidden="false" customHeight="false" outlineLevel="0" collapsed="false">
      <c r="A650" s="13" t="n">
        <v>44575.5208333333</v>
      </c>
      <c r="B650" s="12" t="n">
        <v>723.186</v>
      </c>
      <c r="C650" s="0" t="n">
        <f aca="false">WEEKDAY(A650,2)</f>
        <v>5</v>
      </c>
      <c r="D650" s="0" t="n">
        <f aca="false">DAY(A650)</f>
        <v>14</v>
      </c>
      <c r="E650" s="0" t="n">
        <f aca="false">HOUR(A650)</f>
        <v>12</v>
      </c>
      <c r="F650" s="0" t="n">
        <f aca="false">IF(C650&gt;=6,0,1)</f>
        <v>1</v>
      </c>
      <c r="G650" s="0" t="n">
        <f aca="false">VLOOKUP(E650,Sheet1!$A$2:$B$25,2,0)</f>
        <v>1</v>
      </c>
    </row>
    <row r="651" customFormat="false" ht="15" hidden="false" customHeight="false" outlineLevel="0" collapsed="false">
      <c r="A651" s="13" t="n">
        <v>44575.5416666667</v>
      </c>
      <c r="B651" s="12" t="n">
        <v>688.7</v>
      </c>
      <c r="C651" s="0" t="n">
        <f aca="false">WEEKDAY(A651,2)</f>
        <v>5</v>
      </c>
      <c r="D651" s="0" t="n">
        <f aca="false">DAY(A651)</f>
        <v>14</v>
      </c>
      <c r="E651" s="0" t="n">
        <f aca="false">HOUR(A651)</f>
        <v>13</v>
      </c>
      <c r="F651" s="0" t="n">
        <f aca="false">IF(C651&gt;=6,0,1)</f>
        <v>1</v>
      </c>
      <c r="G651" s="0" t="n">
        <f aca="false">VLOOKUP(E651,Sheet1!$A$2:$B$25,2,0)</f>
        <v>1</v>
      </c>
    </row>
    <row r="652" customFormat="false" ht="15" hidden="false" customHeight="false" outlineLevel="0" collapsed="false">
      <c r="A652" s="13" t="n">
        <v>44575.5625</v>
      </c>
      <c r="B652" s="12" t="n">
        <v>519.14</v>
      </c>
      <c r="C652" s="0" t="n">
        <f aca="false">WEEKDAY(A652,2)</f>
        <v>5</v>
      </c>
      <c r="D652" s="0" t="n">
        <f aca="false">DAY(A652)</f>
        <v>14</v>
      </c>
      <c r="E652" s="0" t="n">
        <f aca="false">HOUR(A652)</f>
        <v>13</v>
      </c>
      <c r="F652" s="0" t="n">
        <f aca="false">IF(C652&gt;=6,0,1)</f>
        <v>1</v>
      </c>
      <c r="G652" s="0" t="n">
        <f aca="false">VLOOKUP(E652,Sheet1!$A$2:$B$25,2,0)</f>
        <v>1</v>
      </c>
    </row>
    <row r="653" customFormat="false" ht="15" hidden="false" customHeight="false" outlineLevel="0" collapsed="false">
      <c r="A653" s="13" t="n">
        <v>44575.5833333333</v>
      </c>
      <c r="B653" s="12" t="n">
        <v>333.361</v>
      </c>
      <c r="C653" s="0" t="n">
        <f aca="false">WEEKDAY(A653,2)</f>
        <v>5</v>
      </c>
      <c r="D653" s="0" t="n">
        <f aca="false">DAY(A653)</f>
        <v>14</v>
      </c>
      <c r="E653" s="0" t="n">
        <f aca="false">HOUR(A653)</f>
        <v>14</v>
      </c>
      <c r="F653" s="0" t="n">
        <f aca="false">IF(C653&gt;=6,0,1)</f>
        <v>1</v>
      </c>
      <c r="G653" s="0" t="n">
        <f aca="false">VLOOKUP(E653,Sheet1!$A$2:$B$25,2,0)</f>
        <v>1</v>
      </c>
    </row>
    <row r="654" customFormat="false" ht="15" hidden="false" customHeight="false" outlineLevel="0" collapsed="false">
      <c r="A654" s="13" t="n">
        <v>44575.6041666667</v>
      </c>
      <c r="B654" s="12" t="n">
        <v>320.876</v>
      </c>
      <c r="C654" s="0" t="n">
        <f aca="false">WEEKDAY(A654,2)</f>
        <v>5</v>
      </c>
      <c r="D654" s="0" t="n">
        <f aca="false">DAY(A654)</f>
        <v>14</v>
      </c>
      <c r="E654" s="0" t="n">
        <f aca="false">HOUR(A654)</f>
        <v>14</v>
      </c>
      <c r="F654" s="0" t="n">
        <f aca="false">IF(C654&gt;=6,0,1)</f>
        <v>1</v>
      </c>
      <c r="G654" s="0" t="n">
        <f aca="false">VLOOKUP(E654,Sheet1!$A$2:$B$25,2,0)</f>
        <v>1</v>
      </c>
    </row>
    <row r="655" customFormat="false" ht="15" hidden="false" customHeight="false" outlineLevel="0" collapsed="false">
      <c r="A655" s="13" t="n">
        <v>44575.625</v>
      </c>
      <c r="B655" s="12" t="n">
        <v>319.82</v>
      </c>
      <c r="C655" s="0" t="n">
        <f aca="false">WEEKDAY(A655,2)</f>
        <v>5</v>
      </c>
      <c r="D655" s="0" t="n">
        <f aca="false">DAY(A655)</f>
        <v>14</v>
      </c>
      <c r="E655" s="0" t="n">
        <f aca="false">HOUR(A655)</f>
        <v>15</v>
      </c>
      <c r="F655" s="0" t="n">
        <f aca="false">IF(C655&gt;=6,0,1)</f>
        <v>1</v>
      </c>
      <c r="G655" s="0" t="n">
        <f aca="false">VLOOKUP(E655,Sheet1!$A$2:$B$25,2,0)</f>
        <v>1</v>
      </c>
    </row>
    <row r="656" customFormat="false" ht="15" hidden="false" customHeight="false" outlineLevel="0" collapsed="false">
      <c r="A656" s="13" t="n">
        <v>44575.6458333333</v>
      </c>
      <c r="B656" s="12" t="n">
        <v>318.625</v>
      </c>
      <c r="C656" s="0" t="n">
        <f aca="false">WEEKDAY(A656,2)</f>
        <v>5</v>
      </c>
      <c r="D656" s="0" t="n">
        <f aca="false">DAY(A656)</f>
        <v>14</v>
      </c>
      <c r="E656" s="0" t="n">
        <f aca="false">HOUR(A656)</f>
        <v>15</v>
      </c>
      <c r="F656" s="0" t="n">
        <f aca="false">IF(C656&gt;=6,0,1)</f>
        <v>1</v>
      </c>
      <c r="G656" s="0" t="n">
        <f aca="false">VLOOKUP(E656,Sheet1!$A$2:$B$25,2,0)</f>
        <v>1</v>
      </c>
    </row>
    <row r="657" customFormat="false" ht="15" hidden="false" customHeight="false" outlineLevel="0" collapsed="false">
      <c r="A657" s="13" t="n">
        <v>44575.6666666667</v>
      </c>
      <c r="B657" s="12" t="n">
        <v>310.436</v>
      </c>
      <c r="C657" s="0" t="n">
        <f aca="false">WEEKDAY(A657,2)</f>
        <v>5</v>
      </c>
      <c r="D657" s="0" t="n">
        <f aca="false">DAY(A657)</f>
        <v>14</v>
      </c>
      <c r="E657" s="0" t="n">
        <f aca="false">HOUR(A657)</f>
        <v>16</v>
      </c>
      <c r="F657" s="0" t="n">
        <f aca="false">IF(C657&gt;=6,0,1)</f>
        <v>1</v>
      </c>
      <c r="G657" s="0" t="n">
        <f aca="false">VLOOKUP(E657,Sheet1!$A$2:$B$25,2,0)</f>
        <v>0</v>
      </c>
    </row>
    <row r="658" customFormat="false" ht="15" hidden="false" customHeight="false" outlineLevel="0" collapsed="false">
      <c r="A658" s="13" t="n">
        <v>44575.6875</v>
      </c>
      <c r="B658" s="12" t="n">
        <v>303.86</v>
      </c>
      <c r="C658" s="0" t="n">
        <f aca="false">WEEKDAY(A658,2)</f>
        <v>5</v>
      </c>
      <c r="D658" s="0" t="n">
        <f aca="false">DAY(A658)</f>
        <v>14</v>
      </c>
      <c r="E658" s="0" t="n">
        <f aca="false">HOUR(A658)</f>
        <v>16</v>
      </c>
      <c r="F658" s="0" t="n">
        <f aca="false">IF(C658&gt;=6,0,1)</f>
        <v>1</v>
      </c>
      <c r="G658" s="0" t="n">
        <f aca="false">VLOOKUP(E658,Sheet1!$A$2:$B$25,2,0)</f>
        <v>0</v>
      </c>
    </row>
    <row r="659" customFormat="false" ht="15" hidden="false" customHeight="false" outlineLevel="0" collapsed="false">
      <c r="A659" s="13" t="n">
        <v>44575.7083333333</v>
      </c>
      <c r="B659" s="12" t="n">
        <v>301.321</v>
      </c>
      <c r="C659" s="0" t="n">
        <f aca="false">WEEKDAY(A659,2)</f>
        <v>5</v>
      </c>
      <c r="D659" s="0" t="n">
        <f aca="false">DAY(A659)</f>
        <v>14</v>
      </c>
      <c r="E659" s="0" t="n">
        <f aca="false">HOUR(A659)</f>
        <v>17</v>
      </c>
      <c r="F659" s="0" t="n">
        <f aca="false">IF(C659&gt;=6,0,1)</f>
        <v>1</v>
      </c>
      <c r="G659" s="0" t="n">
        <f aca="false">VLOOKUP(E659,Sheet1!$A$2:$B$25,2,0)</f>
        <v>0</v>
      </c>
    </row>
    <row r="660" customFormat="false" ht="15" hidden="false" customHeight="false" outlineLevel="0" collapsed="false">
      <c r="A660" s="13" t="n">
        <v>44575.7291666667</v>
      </c>
      <c r="B660" s="12" t="n">
        <v>308.156</v>
      </c>
      <c r="C660" s="0" t="n">
        <f aca="false">WEEKDAY(A660,2)</f>
        <v>5</v>
      </c>
      <c r="D660" s="0" t="n">
        <f aca="false">DAY(A660)</f>
        <v>14</v>
      </c>
      <c r="E660" s="0" t="n">
        <f aca="false">HOUR(A660)</f>
        <v>17</v>
      </c>
      <c r="F660" s="0" t="n">
        <f aca="false">IF(C660&gt;=6,0,1)</f>
        <v>1</v>
      </c>
      <c r="G660" s="0" t="n">
        <f aca="false">VLOOKUP(E660,Sheet1!$A$2:$B$25,2,0)</f>
        <v>0</v>
      </c>
    </row>
    <row r="661" customFormat="false" ht="15" hidden="false" customHeight="false" outlineLevel="0" collapsed="false">
      <c r="A661" s="13" t="n">
        <v>44575.75</v>
      </c>
      <c r="B661" s="12" t="n">
        <v>294.236</v>
      </c>
      <c r="C661" s="0" t="n">
        <f aca="false">WEEKDAY(A661,2)</f>
        <v>5</v>
      </c>
      <c r="D661" s="0" t="n">
        <f aca="false">DAY(A661)</f>
        <v>14</v>
      </c>
      <c r="E661" s="0" t="n">
        <f aca="false">HOUR(A661)</f>
        <v>18</v>
      </c>
      <c r="F661" s="0" t="n">
        <f aca="false">IF(C661&gt;=6,0,1)</f>
        <v>1</v>
      </c>
      <c r="G661" s="0" t="n">
        <f aca="false">VLOOKUP(E661,Sheet1!$A$2:$B$25,2,0)</f>
        <v>0</v>
      </c>
    </row>
    <row r="662" customFormat="false" ht="15" hidden="false" customHeight="false" outlineLevel="0" collapsed="false">
      <c r="A662" s="13" t="n">
        <v>44575.7708333333</v>
      </c>
      <c r="B662" s="12" t="n">
        <v>297.38</v>
      </c>
      <c r="C662" s="0" t="n">
        <f aca="false">WEEKDAY(A662,2)</f>
        <v>5</v>
      </c>
      <c r="D662" s="0" t="n">
        <f aca="false">DAY(A662)</f>
        <v>14</v>
      </c>
      <c r="E662" s="0" t="n">
        <f aca="false">HOUR(A662)</f>
        <v>18</v>
      </c>
      <c r="F662" s="0" t="n">
        <f aca="false">IF(C662&gt;=6,0,1)</f>
        <v>1</v>
      </c>
      <c r="G662" s="0" t="n">
        <f aca="false">VLOOKUP(E662,Sheet1!$A$2:$B$25,2,0)</f>
        <v>0</v>
      </c>
    </row>
    <row r="663" customFormat="false" ht="15" hidden="false" customHeight="false" outlineLevel="0" collapsed="false">
      <c r="A663" s="13" t="n">
        <v>44575.7916666667</v>
      </c>
      <c r="B663" s="12" t="n">
        <v>293.881</v>
      </c>
      <c r="C663" s="0" t="n">
        <f aca="false">WEEKDAY(A663,2)</f>
        <v>5</v>
      </c>
      <c r="D663" s="0" t="n">
        <f aca="false">DAY(A663)</f>
        <v>14</v>
      </c>
      <c r="E663" s="0" t="n">
        <f aca="false">HOUR(A663)</f>
        <v>19</v>
      </c>
      <c r="F663" s="0" t="n">
        <f aca="false">IF(C663&gt;=6,0,1)</f>
        <v>1</v>
      </c>
      <c r="G663" s="0" t="n">
        <f aca="false">VLOOKUP(E663,Sheet1!$A$2:$B$25,2,0)</f>
        <v>0</v>
      </c>
    </row>
    <row r="664" customFormat="false" ht="15" hidden="false" customHeight="false" outlineLevel="0" collapsed="false">
      <c r="A664" s="13" t="n">
        <v>44575.8125</v>
      </c>
      <c r="B664" s="12" t="n">
        <v>293.9</v>
      </c>
      <c r="C664" s="0" t="n">
        <f aca="false">WEEKDAY(A664,2)</f>
        <v>5</v>
      </c>
      <c r="D664" s="0" t="n">
        <f aca="false">DAY(A664)</f>
        <v>14</v>
      </c>
      <c r="E664" s="0" t="n">
        <f aca="false">HOUR(A664)</f>
        <v>19</v>
      </c>
      <c r="F664" s="0" t="n">
        <f aca="false">IF(C664&gt;=6,0,1)</f>
        <v>1</v>
      </c>
      <c r="G664" s="0" t="n">
        <f aca="false">VLOOKUP(E664,Sheet1!$A$2:$B$25,2,0)</f>
        <v>0</v>
      </c>
    </row>
    <row r="665" customFormat="false" ht="15" hidden="false" customHeight="false" outlineLevel="0" collapsed="false">
      <c r="A665" s="13" t="n">
        <v>44575.8333333333</v>
      </c>
      <c r="B665" s="12" t="n">
        <v>299.396</v>
      </c>
      <c r="C665" s="0" t="n">
        <f aca="false">WEEKDAY(A665,2)</f>
        <v>5</v>
      </c>
      <c r="D665" s="0" t="n">
        <f aca="false">DAY(A665)</f>
        <v>14</v>
      </c>
      <c r="E665" s="0" t="n">
        <f aca="false">HOUR(A665)</f>
        <v>20</v>
      </c>
      <c r="F665" s="0" t="n">
        <f aca="false">IF(C665&gt;=6,0,1)</f>
        <v>1</v>
      </c>
      <c r="G665" s="0" t="n">
        <f aca="false">VLOOKUP(E665,Sheet1!$A$2:$B$25,2,0)</f>
        <v>0</v>
      </c>
    </row>
    <row r="666" customFormat="false" ht="15" hidden="false" customHeight="false" outlineLevel="0" collapsed="false">
      <c r="A666" s="13" t="n">
        <v>44575.8541666667</v>
      </c>
      <c r="B666" s="12" t="n">
        <v>298.225</v>
      </c>
      <c r="C666" s="0" t="n">
        <f aca="false">WEEKDAY(A666,2)</f>
        <v>5</v>
      </c>
      <c r="D666" s="0" t="n">
        <f aca="false">DAY(A666)</f>
        <v>14</v>
      </c>
      <c r="E666" s="0" t="n">
        <f aca="false">HOUR(A666)</f>
        <v>20</v>
      </c>
      <c r="F666" s="0" t="n">
        <f aca="false">IF(C666&gt;=6,0,1)</f>
        <v>1</v>
      </c>
      <c r="G666" s="0" t="n">
        <f aca="false">VLOOKUP(E666,Sheet1!$A$2:$B$25,2,0)</f>
        <v>0</v>
      </c>
    </row>
    <row r="667" customFormat="false" ht="15" hidden="false" customHeight="false" outlineLevel="0" collapsed="false">
      <c r="A667" s="13" t="n">
        <v>44575.875</v>
      </c>
      <c r="B667" s="12" t="n">
        <v>292.34</v>
      </c>
      <c r="C667" s="0" t="n">
        <f aca="false">WEEKDAY(A667,2)</f>
        <v>5</v>
      </c>
      <c r="D667" s="0" t="n">
        <f aca="false">DAY(A667)</f>
        <v>14</v>
      </c>
      <c r="E667" s="0" t="n">
        <f aca="false">HOUR(A667)</f>
        <v>21</v>
      </c>
      <c r="F667" s="0" t="n">
        <f aca="false">IF(C667&gt;=6,0,1)</f>
        <v>1</v>
      </c>
      <c r="G667" s="0" t="n">
        <f aca="false">VLOOKUP(E667,Sheet1!$A$2:$B$25,2,0)</f>
        <v>0</v>
      </c>
    </row>
    <row r="668" customFormat="false" ht="15" hidden="false" customHeight="false" outlineLevel="0" collapsed="false">
      <c r="A668" s="13" t="n">
        <v>44575.8958333333</v>
      </c>
      <c r="B668" s="12" t="n">
        <v>295.82</v>
      </c>
      <c r="C668" s="0" t="n">
        <f aca="false">WEEKDAY(A668,2)</f>
        <v>5</v>
      </c>
      <c r="D668" s="0" t="n">
        <f aca="false">DAY(A668)</f>
        <v>14</v>
      </c>
      <c r="E668" s="0" t="n">
        <f aca="false">HOUR(A668)</f>
        <v>21</v>
      </c>
      <c r="F668" s="0" t="n">
        <f aca="false">IF(C668&gt;=6,0,1)</f>
        <v>1</v>
      </c>
      <c r="G668" s="0" t="n">
        <f aca="false">VLOOKUP(E668,Sheet1!$A$2:$B$25,2,0)</f>
        <v>0</v>
      </c>
    </row>
    <row r="669" customFormat="false" ht="15" hidden="false" customHeight="false" outlineLevel="0" collapsed="false">
      <c r="A669" s="13" t="n">
        <v>44575.9166666667</v>
      </c>
      <c r="B669" s="12" t="n">
        <v>294.385</v>
      </c>
      <c r="C669" s="0" t="n">
        <f aca="false">WEEKDAY(A669,2)</f>
        <v>5</v>
      </c>
      <c r="D669" s="0" t="n">
        <f aca="false">DAY(A669)</f>
        <v>14</v>
      </c>
      <c r="E669" s="0" t="n">
        <f aca="false">HOUR(A669)</f>
        <v>22</v>
      </c>
      <c r="F669" s="0" t="n">
        <f aca="false">IF(C669&gt;=6,0,1)</f>
        <v>1</v>
      </c>
      <c r="G669" s="0" t="n">
        <f aca="false">VLOOKUP(E669,Sheet1!$A$2:$B$25,2,0)</f>
        <v>0</v>
      </c>
    </row>
    <row r="670" customFormat="false" ht="15" hidden="false" customHeight="false" outlineLevel="0" collapsed="false">
      <c r="A670" s="13" t="n">
        <v>44575.9375</v>
      </c>
      <c r="B670" s="12" t="n">
        <v>296.276</v>
      </c>
      <c r="C670" s="0" t="n">
        <f aca="false">WEEKDAY(A670,2)</f>
        <v>5</v>
      </c>
      <c r="D670" s="0" t="n">
        <f aca="false">DAY(A670)</f>
        <v>14</v>
      </c>
      <c r="E670" s="0" t="n">
        <f aca="false">HOUR(A670)</f>
        <v>22</v>
      </c>
      <c r="F670" s="0" t="n">
        <f aca="false">IF(C670&gt;=6,0,1)</f>
        <v>1</v>
      </c>
      <c r="G670" s="0" t="n">
        <f aca="false">VLOOKUP(E670,Sheet1!$A$2:$B$25,2,0)</f>
        <v>0</v>
      </c>
    </row>
    <row r="671" customFormat="false" ht="15" hidden="false" customHeight="false" outlineLevel="0" collapsed="false">
      <c r="A671" s="13" t="n">
        <v>44575.9583333333</v>
      </c>
      <c r="B671" s="12" t="n">
        <v>295.076</v>
      </c>
      <c r="C671" s="0" t="n">
        <f aca="false">WEEKDAY(A671,2)</f>
        <v>5</v>
      </c>
      <c r="D671" s="0" t="n">
        <f aca="false">DAY(A671)</f>
        <v>14</v>
      </c>
      <c r="E671" s="0" t="n">
        <f aca="false">HOUR(A671)</f>
        <v>23</v>
      </c>
      <c r="F671" s="0" t="n">
        <f aca="false">IF(C671&gt;=6,0,1)</f>
        <v>1</v>
      </c>
      <c r="G671" s="0" t="n">
        <f aca="false">VLOOKUP(E671,Sheet1!$A$2:$B$25,2,0)</f>
        <v>0</v>
      </c>
    </row>
    <row r="672" customFormat="false" ht="15" hidden="false" customHeight="false" outlineLevel="0" collapsed="false">
      <c r="A672" s="13" t="n">
        <v>44575.9791666667</v>
      </c>
      <c r="B672" s="12" t="n">
        <v>291.356</v>
      </c>
      <c r="C672" s="0" t="n">
        <f aca="false">WEEKDAY(A672,2)</f>
        <v>5</v>
      </c>
      <c r="D672" s="0" t="n">
        <f aca="false">DAY(A672)</f>
        <v>14</v>
      </c>
      <c r="E672" s="0" t="n">
        <f aca="false">HOUR(A672)</f>
        <v>23</v>
      </c>
      <c r="F672" s="0" t="n">
        <f aca="false">IF(C672&gt;=6,0,1)</f>
        <v>1</v>
      </c>
      <c r="G672" s="0" t="n">
        <f aca="false">VLOOKUP(E672,Sheet1!$A$2:$B$25,2,0)</f>
        <v>0</v>
      </c>
    </row>
    <row r="673" customFormat="false" ht="15" hidden="false" customHeight="false" outlineLevel="0" collapsed="false">
      <c r="A673" s="13" t="n">
        <v>44576</v>
      </c>
      <c r="B673" s="12" t="n">
        <v>291.98</v>
      </c>
      <c r="C673" s="0" t="n">
        <f aca="false">WEEKDAY(A673,2)</f>
        <v>6</v>
      </c>
      <c r="D673" s="0" t="n">
        <f aca="false">DAY(A673)</f>
        <v>15</v>
      </c>
      <c r="E673" s="0" t="n">
        <f aca="false">HOUR(A673)</f>
        <v>0</v>
      </c>
      <c r="F673" s="0" t="n">
        <f aca="false">IF(C673&gt;=6,0,1)</f>
        <v>0</v>
      </c>
      <c r="G673" s="0" t="n">
        <f aca="false">VLOOKUP(E673,Sheet1!$A$2:$B$25,2,0)</f>
        <v>0</v>
      </c>
    </row>
    <row r="674" customFormat="false" ht="15" hidden="false" customHeight="false" outlineLevel="0" collapsed="false">
      <c r="A674" s="13" t="n">
        <v>44576.0208333333</v>
      </c>
      <c r="B674" s="12" t="n">
        <v>290.521</v>
      </c>
      <c r="C674" s="0" t="n">
        <f aca="false">WEEKDAY(A674,2)</f>
        <v>6</v>
      </c>
      <c r="D674" s="0" t="n">
        <f aca="false">DAY(A674)</f>
        <v>15</v>
      </c>
      <c r="E674" s="0" t="n">
        <f aca="false">HOUR(A674)</f>
        <v>0</v>
      </c>
      <c r="F674" s="0" t="n">
        <f aca="false">IF(C674&gt;=6,0,1)</f>
        <v>0</v>
      </c>
      <c r="G674" s="0" t="n">
        <f aca="false">VLOOKUP(E674,Sheet1!$A$2:$B$25,2,0)</f>
        <v>0</v>
      </c>
    </row>
    <row r="675" customFormat="false" ht="15" hidden="false" customHeight="false" outlineLevel="0" collapsed="false">
      <c r="A675" s="13" t="n">
        <v>44576.0416666667</v>
      </c>
      <c r="B675" s="12" t="n">
        <v>288.74</v>
      </c>
      <c r="C675" s="0" t="n">
        <f aca="false">WEEKDAY(A675,2)</f>
        <v>6</v>
      </c>
      <c r="D675" s="0" t="n">
        <f aca="false">DAY(A675)</f>
        <v>15</v>
      </c>
      <c r="E675" s="0" t="n">
        <f aca="false">HOUR(A675)</f>
        <v>1</v>
      </c>
      <c r="F675" s="0" t="n">
        <f aca="false">IF(C675&gt;=6,0,1)</f>
        <v>0</v>
      </c>
      <c r="G675" s="0" t="n">
        <f aca="false">VLOOKUP(E675,Sheet1!$A$2:$B$25,2,0)</f>
        <v>0</v>
      </c>
    </row>
    <row r="676" customFormat="false" ht="15" hidden="false" customHeight="false" outlineLevel="0" collapsed="false">
      <c r="A676" s="13" t="n">
        <v>44576.0625</v>
      </c>
      <c r="B676" s="12" t="n">
        <v>291.236</v>
      </c>
      <c r="C676" s="0" t="n">
        <f aca="false">WEEKDAY(A676,2)</f>
        <v>6</v>
      </c>
      <c r="D676" s="0" t="n">
        <f aca="false">DAY(A676)</f>
        <v>15</v>
      </c>
      <c r="E676" s="0" t="n">
        <f aca="false">HOUR(A676)</f>
        <v>1</v>
      </c>
      <c r="F676" s="0" t="n">
        <f aca="false">IF(C676&gt;=6,0,1)</f>
        <v>0</v>
      </c>
      <c r="G676" s="0" t="n">
        <f aca="false">VLOOKUP(E676,Sheet1!$A$2:$B$25,2,0)</f>
        <v>0</v>
      </c>
    </row>
    <row r="677" customFormat="false" ht="15" hidden="false" customHeight="false" outlineLevel="0" collapsed="false">
      <c r="A677" s="13" t="n">
        <v>44576.0833333333</v>
      </c>
      <c r="B677" s="12" t="n">
        <v>287.06</v>
      </c>
      <c r="C677" s="0" t="n">
        <f aca="false">WEEKDAY(A677,2)</f>
        <v>6</v>
      </c>
      <c r="D677" s="0" t="n">
        <f aca="false">DAY(A677)</f>
        <v>15</v>
      </c>
      <c r="E677" s="0" t="n">
        <f aca="false">HOUR(A677)</f>
        <v>2</v>
      </c>
      <c r="F677" s="0" t="n">
        <f aca="false">IF(C677&gt;=6,0,1)</f>
        <v>0</v>
      </c>
      <c r="G677" s="0" t="n">
        <f aca="false">VLOOKUP(E677,Sheet1!$A$2:$B$25,2,0)</f>
        <v>0</v>
      </c>
    </row>
    <row r="678" customFormat="false" ht="15" hidden="false" customHeight="false" outlineLevel="0" collapsed="false">
      <c r="A678" s="13" t="n">
        <v>44576.1041666667</v>
      </c>
      <c r="B678" s="12" t="n">
        <v>298.345</v>
      </c>
      <c r="C678" s="0" t="n">
        <f aca="false">WEEKDAY(A678,2)</f>
        <v>6</v>
      </c>
      <c r="D678" s="0" t="n">
        <f aca="false">DAY(A678)</f>
        <v>15</v>
      </c>
      <c r="E678" s="0" t="n">
        <f aca="false">HOUR(A678)</f>
        <v>2</v>
      </c>
      <c r="F678" s="0" t="n">
        <f aca="false">IF(C678&gt;=6,0,1)</f>
        <v>0</v>
      </c>
      <c r="G678" s="0" t="n">
        <f aca="false">VLOOKUP(E678,Sheet1!$A$2:$B$25,2,0)</f>
        <v>0</v>
      </c>
    </row>
    <row r="679" customFormat="false" ht="15" hidden="false" customHeight="false" outlineLevel="0" collapsed="false">
      <c r="A679" s="13" t="n">
        <v>44576.125</v>
      </c>
      <c r="B679" s="12" t="n">
        <v>298.82</v>
      </c>
      <c r="C679" s="0" t="n">
        <f aca="false">WEEKDAY(A679,2)</f>
        <v>6</v>
      </c>
      <c r="D679" s="0" t="n">
        <f aca="false">DAY(A679)</f>
        <v>15</v>
      </c>
      <c r="E679" s="0" t="n">
        <f aca="false">HOUR(A679)</f>
        <v>3</v>
      </c>
      <c r="F679" s="0" t="n">
        <f aca="false">IF(C679&gt;=6,0,1)</f>
        <v>0</v>
      </c>
      <c r="G679" s="0" t="n">
        <f aca="false">VLOOKUP(E679,Sheet1!$A$2:$B$25,2,0)</f>
        <v>0</v>
      </c>
    </row>
    <row r="680" customFormat="false" ht="15" hidden="false" customHeight="false" outlineLevel="0" collapsed="false">
      <c r="A680" s="13" t="n">
        <v>44576.1458333333</v>
      </c>
      <c r="B680" s="12" t="n">
        <v>299.78</v>
      </c>
      <c r="C680" s="0" t="n">
        <f aca="false">WEEKDAY(A680,2)</f>
        <v>6</v>
      </c>
      <c r="D680" s="0" t="n">
        <f aca="false">DAY(A680)</f>
        <v>15</v>
      </c>
      <c r="E680" s="0" t="n">
        <f aca="false">HOUR(A680)</f>
        <v>3</v>
      </c>
      <c r="F680" s="0" t="n">
        <f aca="false">IF(C680&gt;=6,0,1)</f>
        <v>0</v>
      </c>
      <c r="G680" s="0" t="n">
        <f aca="false">VLOOKUP(E680,Sheet1!$A$2:$B$25,2,0)</f>
        <v>0</v>
      </c>
    </row>
    <row r="681" customFormat="false" ht="15" hidden="false" customHeight="false" outlineLevel="0" collapsed="false">
      <c r="A681" s="13" t="n">
        <v>44576.1666666667</v>
      </c>
      <c r="B681" s="12" t="n">
        <v>301.82</v>
      </c>
      <c r="C681" s="0" t="n">
        <f aca="false">WEEKDAY(A681,2)</f>
        <v>6</v>
      </c>
      <c r="D681" s="0" t="n">
        <f aca="false">DAY(A681)</f>
        <v>15</v>
      </c>
      <c r="E681" s="0" t="n">
        <f aca="false">HOUR(A681)</f>
        <v>4</v>
      </c>
      <c r="F681" s="0" t="n">
        <f aca="false">IF(C681&gt;=6,0,1)</f>
        <v>0</v>
      </c>
      <c r="G681" s="0" t="n">
        <f aca="false">VLOOKUP(E681,Sheet1!$A$2:$B$25,2,0)</f>
        <v>1</v>
      </c>
    </row>
    <row r="682" customFormat="false" ht="15" hidden="false" customHeight="false" outlineLevel="0" collapsed="false">
      <c r="A682" s="13" t="n">
        <v>44576.1875</v>
      </c>
      <c r="B682" s="12" t="n">
        <v>310.82</v>
      </c>
      <c r="C682" s="0" t="n">
        <f aca="false">WEEKDAY(A682,2)</f>
        <v>6</v>
      </c>
      <c r="D682" s="0" t="n">
        <f aca="false">DAY(A682)</f>
        <v>15</v>
      </c>
      <c r="E682" s="0" t="n">
        <f aca="false">HOUR(A682)</f>
        <v>4</v>
      </c>
      <c r="F682" s="0" t="n">
        <f aca="false">IF(C682&gt;=6,0,1)</f>
        <v>0</v>
      </c>
      <c r="G682" s="0" t="n">
        <f aca="false">VLOOKUP(E682,Sheet1!$A$2:$B$25,2,0)</f>
        <v>1</v>
      </c>
    </row>
    <row r="683" customFormat="false" ht="15" hidden="false" customHeight="false" outlineLevel="0" collapsed="false">
      <c r="A683" s="13" t="n">
        <v>44576.2083333333</v>
      </c>
      <c r="B683" s="12" t="n">
        <v>312.121</v>
      </c>
      <c r="C683" s="0" t="n">
        <f aca="false">WEEKDAY(A683,2)</f>
        <v>6</v>
      </c>
      <c r="D683" s="0" t="n">
        <f aca="false">DAY(A683)</f>
        <v>15</v>
      </c>
      <c r="E683" s="0" t="n">
        <f aca="false">HOUR(A683)</f>
        <v>5</v>
      </c>
      <c r="F683" s="0" t="n">
        <f aca="false">IF(C683&gt;=6,0,1)</f>
        <v>0</v>
      </c>
      <c r="G683" s="0" t="n">
        <f aca="false">VLOOKUP(E683,Sheet1!$A$2:$B$25,2,0)</f>
        <v>1</v>
      </c>
    </row>
    <row r="684" customFormat="false" ht="15" hidden="false" customHeight="false" outlineLevel="0" collapsed="false">
      <c r="A684" s="13" t="n">
        <v>44576.2291666667</v>
      </c>
      <c r="B684" s="12" t="n">
        <v>309.236</v>
      </c>
      <c r="C684" s="0" t="n">
        <f aca="false">WEEKDAY(A684,2)</f>
        <v>6</v>
      </c>
      <c r="D684" s="0" t="n">
        <f aca="false">DAY(A684)</f>
        <v>15</v>
      </c>
      <c r="E684" s="0" t="n">
        <f aca="false">HOUR(A684)</f>
        <v>5</v>
      </c>
      <c r="F684" s="0" t="n">
        <f aca="false">IF(C684&gt;=6,0,1)</f>
        <v>0</v>
      </c>
      <c r="G684" s="0" t="n">
        <f aca="false">VLOOKUP(E684,Sheet1!$A$2:$B$25,2,0)</f>
        <v>1</v>
      </c>
    </row>
    <row r="685" customFormat="false" ht="15" hidden="false" customHeight="false" outlineLevel="0" collapsed="false">
      <c r="A685" s="13" t="n">
        <v>44576.25</v>
      </c>
      <c r="B685" s="12" t="n">
        <v>309.476</v>
      </c>
      <c r="C685" s="0" t="n">
        <f aca="false">WEEKDAY(A685,2)</f>
        <v>6</v>
      </c>
      <c r="D685" s="0" t="n">
        <f aca="false">DAY(A685)</f>
        <v>15</v>
      </c>
      <c r="E685" s="0" t="n">
        <f aca="false">HOUR(A685)</f>
        <v>6</v>
      </c>
      <c r="F685" s="0" t="n">
        <f aca="false">IF(C685&gt;=6,0,1)</f>
        <v>0</v>
      </c>
      <c r="G685" s="0" t="n">
        <f aca="false">VLOOKUP(E685,Sheet1!$A$2:$B$25,2,0)</f>
        <v>1</v>
      </c>
    </row>
    <row r="686" customFormat="false" ht="15" hidden="false" customHeight="false" outlineLevel="0" collapsed="false">
      <c r="A686" s="13" t="n">
        <v>44576.2708333333</v>
      </c>
      <c r="B686" s="12" t="n">
        <v>306.5</v>
      </c>
      <c r="C686" s="0" t="n">
        <f aca="false">WEEKDAY(A686,2)</f>
        <v>6</v>
      </c>
      <c r="D686" s="0" t="n">
        <f aca="false">DAY(A686)</f>
        <v>15</v>
      </c>
      <c r="E686" s="0" t="n">
        <f aca="false">HOUR(A686)</f>
        <v>6</v>
      </c>
      <c r="F686" s="0" t="n">
        <f aca="false">IF(C686&gt;=6,0,1)</f>
        <v>0</v>
      </c>
      <c r="G686" s="0" t="n">
        <f aca="false">VLOOKUP(E686,Sheet1!$A$2:$B$25,2,0)</f>
        <v>1</v>
      </c>
    </row>
    <row r="687" customFormat="false" ht="15" hidden="false" customHeight="false" outlineLevel="0" collapsed="false">
      <c r="A687" s="13" t="n">
        <v>44576.2916666667</v>
      </c>
      <c r="B687" s="12" t="n">
        <v>303.865</v>
      </c>
      <c r="C687" s="0" t="n">
        <f aca="false">WEEKDAY(A687,2)</f>
        <v>6</v>
      </c>
      <c r="D687" s="0" t="n">
        <f aca="false">DAY(A687)</f>
        <v>15</v>
      </c>
      <c r="E687" s="0" t="n">
        <f aca="false">HOUR(A687)</f>
        <v>7</v>
      </c>
      <c r="F687" s="0" t="n">
        <f aca="false">IF(C687&gt;=6,0,1)</f>
        <v>0</v>
      </c>
      <c r="G687" s="0" t="n">
        <f aca="false">VLOOKUP(E687,Sheet1!$A$2:$B$25,2,0)</f>
        <v>1</v>
      </c>
    </row>
    <row r="688" customFormat="false" ht="15" hidden="false" customHeight="false" outlineLevel="0" collapsed="false">
      <c r="A688" s="13" t="n">
        <v>44576.3125</v>
      </c>
      <c r="B688" s="12" t="n">
        <v>314.276</v>
      </c>
      <c r="C688" s="0" t="n">
        <f aca="false">WEEKDAY(A688,2)</f>
        <v>6</v>
      </c>
      <c r="D688" s="0" t="n">
        <f aca="false">DAY(A688)</f>
        <v>15</v>
      </c>
      <c r="E688" s="0" t="n">
        <f aca="false">HOUR(A688)</f>
        <v>7</v>
      </c>
      <c r="F688" s="0" t="n">
        <f aca="false">IF(C688&gt;=6,0,1)</f>
        <v>0</v>
      </c>
      <c r="G688" s="0" t="n">
        <f aca="false">VLOOKUP(E688,Sheet1!$A$2:$B$25,2,0)</f>
        <v>1</v>
      </c>
    </row>
    <row r="689" customFormat="false" ht="15" hidden="false" customHeight="false" outlineLevel="0" collapsed="false">
      <c r="A689" s="13" t="n">
        <v>44576.3333333333</v>
      </c>
      <c r="B689" s="12" t="n">
        <v>299.396</v>
      </c>
      <c r="C689" s="0" t="n">
        <f aca="false">WEEKDAY(A689,2)</f>
        <v>6</v>
      </c>
      <c r="D689" s="0" t="n">
        <f aca="false">DAY(A689)</f>
        <v>15</v>
      </c>
      <c r="E689" s="0" t="n">
        <f aca="false">HOUR(A689)</f>
        <v>8</v>
      </c>
      <c r="F689" s="0" t="n">
        <f aca="false">IF(C689&gt;=6,0,1)</f>
        <v>0</v>
      </c>
      <c r="G689" s="0" t="n">
        <f aca="false">VLOOKUP(E689,Sheet1!$A$2:$B$25,2,0)</f>
        <v>1</v>
      </c>
    </row>
    <row r="690" customFormat="false" ht="15" hidden="false" customHeight="false" outlineLevel="0" collapsed="false">
      <c r="A690" s="13" t="n">
        <v>44576.3541666667</v>
      </c>
      <c r="B690" s="12" t="n">
        <v>300.956</v>
      </c>
      <c r="C690" s="0" t="n">
        <f aca="false">WEEKDAY(A690,2)</f>
        <v>6</v>
      </c>
      <c r="D690" s="0" t="n">
        <f aca="false">DAY(A690)</f>
        <v>15</v>
      </c>
      <c r="E690" s="0" t="n">
        <f aca="false">HOUR(A690)</f>
        <v>8</v>
      </c>
      <c r="F690" s="0" t="n">
        <f aca="false">IF(C690&gt;=6,0,1)</f>
        <v>0</v>
      </c>
      <c r="G690" s="0" t="n">
        <f aca="false">VLOOKUP(E690,Sheet1!$A$2:$B$25,2,0)</f>
        <v>1</v>
      </c>
    </row>
    <row r="691" customFormat="false" ht="15" hidden="false" customHeight="false" outlineLevel="0" collapsed="false">
      <c r="A691" s="13" t="n">
        <v>44576.375</v>
      </c>
      <c r="B691" s="12" t="n">
        <v>302.06</v>
      </c>
      <c r="C691" s="0" t="n">
        <f aca="false">WEEKDAY(A691,2)</f>
        <v>6</v>
      </c>
      <c r="D691" s="0" t="n">
        <f aca="false">DAY(A691)</f>
        <v>15</v>
      </c>
      <c r="E691" s="0" t="n">
        <f aca="false">HOUR(A691)</f>
        <v>9</v>
      </c>
      <c r="F691" s="0" t="n">
        <f aca="false">IF(C691&gt;=6,0,1)</f>
        <v>0</v>
      </c>
      <c r="G691" s="0" t="n">
        <f aca="false">VLOOKUP(E691,Sheet1!$A$2:$B$25,2,0)</f>
        <v>1</v>
      </c>
    </row>
    <row r="692" customFormat="false" ht="15" hidden="false" customHeight="false" outlineLevel="0" collapsed="false">
      <c r="A692" s="13" t="n">
        <v>44576.3958333333</v>
      </c>
      <c r="B692" s="12" t="n">
        <v>304.225</v>
      </c>
      <c r="C692" s="0" t="n">
        <f aca="false">WEEKDAY(A692,2)</f>
        <v>6</v>
      </c>
      <c r="D692" s="0" t="n">
        <f aca="false">DAY(A692)</f>
        <v>15</v>
      </c>
      <c r="E692" s="0" t="n">
        <f aca="false">HOUR(A692)</f>
        <v>9</v>
      </c>
      <c r="F692" s="0" t="n">
        <f aca="false">IF(C692&gt;=6,0,1)</f>
        <v>0</v>
      </c>
      <c r="G692" s="0" t="n">
        <f aca="false">VLOOKUP(E692,Sheet1!$A$2:$B$25,2,0)</f>
        <v>1</v>
      </c>
    </row>
    <row r="693" customFormat="false" ht="15" hidden="false" customHeight="false" outlineLevel="0" collapsed="false">
      <c r="A693" s="13" t="n">
        <v>44576.4166666667</v>
      </c>
      <c r="B693" s="12" t="n">
        <v>305.516</v>
      </c>
      <c r="C693" s="0" t="n">
        <f aca="false">WEEKDAY(A693,2)</f>
        <v>6</v>
      </c>
      <c r="D693" s="0" t="n">
        <f aca="false">DAY(A693)</f>
        <v>15</v>
      </c>
      <c r="E693" s="0" t="n">
        <f aca="false">HOUR(A693)</f>
        <v>10</v>
      </c>
      <c r="F693" s="0" t="n">
        <f aca="false">IF(C693&gt;=6,0,1)</f>
        <v>0</v>
      </c>
      <c r="G693" s="0" t="n">
        <f aca="false">VLOOKUP(E693,Sheet1!$A$2:$B$25,2,0)</f>
        <v>1</v>
      </c>
    </row>
    <row r="694" customFormat="false" ht="15" hidden="false" customHeight="false" outlineLevel="0" collapsed="false">
      <c r="A694" s="13" t="n">
        <v>44576.4375</v>
      </c>
      <c r="B694" s="12" t="n">
        <v>296.156</v>
      </c>
      <c r="C694" s="0" t="n">
        <f aca="false">WEEKDAY(A694,2)</f>
        <v>6</v>
      </c>
      <c r="D694" s="0" t="n">
        <f aca="false">DAY(A694)</f>
        <v>15</v>
      </c>
      <c r="E694" s="0" t="n">
        <f aca="false">HOUR(A694)</f>
        <v>10</v>
      </c>
      <c r="F694" s="0" t="n">
        <f aca="false">IF(C694&gt;=6,0,1)</f>
        <v>0</v>
      </c>
      <c r="G694" s="0" t="n">
        <f aca="false">VLOOKUP(E694,Sheet1!$A$2:$B$25,2,0)</f>
        <v>1</v>
      </c>
    </row>
    <row r="695" customFormat="false" ht="15" hidden="false" customHeight="false" outlineLevel="0" collapsed="false">
      <c r="A695" s="13" t="n">
        <v>44576.4583333333</v>
      </c>
      <c r="B695" s="12" t="n">
        <v>299.161</v>
      </c>
      <c r="C695" s="0" t="n">
        <f aca="false">WEEKDAY(A695,2)</f>
        <v>6</v>
      </c>
      <c r="D695" s="0" t="n">
        <f aca="false">DAY(A695)</f>
        <v>15</v>
      </c>
      <c r="E695" s="0" t="n">
        <f aca="false">HOUR(A695)</f>
        <v>11</v>
      </c>
      <c r="F695" s="0" t="n">
        <f aca="false">IF(C695&gt;=6,0,1)</f>
        <v>0</v>
      </c>
      <c r="G695" s="0" t="n">
        <f aca="false">VLOOKUP(E695,Sheet1!$A$2:$B$25,2,0)</f>
        <v>1</v>
      </c>
    </row>
    <row r="696" customFormat="false" ht="15" hidden="false" customHeight="false" outlineLevel="0" collapsed="false">
      <c r="A696" s="13" t="n">
        <v>44576.4791666667</v>
      </c>
      <c r="B696" s="12" t="n">
        <v>300.98</v>
      </c>
      <c r="C696" s="0" t="n">
        <f aca="false">WEEKDAY(A696,2)</f>
        <v>6</v>
      </c>
      <c r="D696" s="0" t="n">
        <f aca="false">DAY(A696)</f>
        <v>15</v>
      </c>
      <c r="E696" s="0" t="n">
        <f aca="false">HOUR(A696)</f>
        <v>11</v>
      </c>
      <c r="F696" s="0" t="n">
        <f aca="false">IF(C696&gt;=6,0,1)</f>
        <v>0</v>
      </c>
      <c r="G696" s="0" t="n">
        <f aca="false">VLOOKUP(E696,Sheet1!$A$2:$B$25,2,0)</f>
        <v>1</v>
      </c>
    </row>
    <row r="697" customFormat="false" ht="15" hidden="false" customHeight="false" outlineLevel="0" collapsed="false">
      <c r="A697" s="13" t="n">
        <v>44576.5</v>
      </c>
      <c r="B697" s="12" t="n">
        <v>314.156</v>
      </c>
      <c r="C697" s="0" t="n">
        <f aca="false">WEEKDAY(A697,2)</f>
        <v>6</v>
      </c>
      <c r="D697" s="0" t="n">
        <f aca="false">DAY(A697)</f>
        <v>15</v>
      </c>
      <c r="E697" s="0" t="n">
        <f aca="false">HOUR(A697)</f>
        <v>12</v>
      </c>
      <c r="F697" s="0" t="n">
        <f aca="false">IF(C697&gt;=6,0,1)</f>
        <v>0</v>
      </c>
      <c r="G697" s="0" t="n">
        <f aca="false">VLOOKUP(E697,Sheet1!$A$2:$B$25,2,0)</f>
        <v>1</v>
      </c>
    </row>
    <row r="698" customFormat="false" ht="15" hidden="false" customHeight="false" outlineLevel="0" collapsed="false">
      <c r="A698" s="13" t="n">
        <v>44576.5208333333</v>
      </c>
      <c r="B698" s="12" t="n">
        <v>298.796</v>
      </c>
      <c r="C698" s="0" t="n">
        <f aca="false">WEEKDAY(A698,2)</f>
        <v>6</v>
      </c>
      <c r="D698" s="0" t="n">
        <f aca="false">DAY(A698)</f>
        <v>15</v>
      </c>
      <c r="E698" s="0" t="n">
        <f aca="false">HOUR(A698)</f>
        <v>12</v>
      </c>
      <c r="F698" s="0" t="n">
        <f aca="false">IF(C698&gt;=6,0,1)</f>
        <v>0</v>
      </c>
      <c r="G698" s="0" t="n">
        <f aca="false">VLOOKUP(E698,Sheet1!$A$2:$B$25,2,0)</f>
        <v>1</v>
      </c>
    </row>
    <row r="699" customFormat="false" ht="15" hidden="false" customHeight="false" outlineLevel="0" collapsed="false">
      <c r="A699" s="13" t="n">
        <v>44576.5416666667</v>
      </c>
      <c r="B699" s="12" t="n">
        <v>299.185</v>
      </c>
      <c r="C699" s="0" t="n">
        <f aca="false">WEEKDAY(A699,2)</f>
        <v>6</v>
      </c>
      <c r="D699" s="0" t="n">
        <f aca="false">DAY(A699)</f>
        <v>15</v>
      </c>
      <c r="E699" s="0" t="n">
        <f aca="false">HOUR(A699)</f>
        <v>13</v>
      </c>
      <c r="F699" s="0" t="n">
        <f aca="false">IF(C699&gt;=6,0,1)</f>
        <v>0</v>
      </c>
      <c r="G699" s="0" t="n">
        <f aca="false">VLOOKUP(E699,Sheet1!$A$2:$B$25,2,0)</f>
        <v>1</v>
      </c>
    </row>
    <row r="700" customFormat="false" ht="15" hidden="false" customHeight="false" outlineLevel="0" collapsed="false">
      <c r="A700" s="13" t="n">
        <v>44576.5625</v>
      </c>
      <c r="B700" s="12" t="n">
        <v>300.716</v>
      </c>
      <c r="C700" s="0" t="n">
        <f aca="false">WEEKDAY(A700,2)</f>
        <v>6</v>
      </c>
      <c r="D700" s="0" t="n">
        <f aca="false">DAY(A700)</f>
        <v>15</v>
      </c>
      <c r="E700" s="0" t="n">
        <f aca="false">HOUR(A700)</f>
        <v>13</v>
      </c>
      <c r="F700" s="0" t="n">
        <f aca="false">IF(C700&gt;=6,0,1)</f>
        <v>0</v>
      </c>
      <c r="G700" s="0" t="n">
        <f aca="false">VLOOKUP(E700,Sheet1!$A$2:$B$25,2,0)</f>
        <v>1</v>
      </c>
    </row>
    <row r="701" customFormat="false" ht="15" hidden="false" customHeight="false" outlineLevel="0" collapsed="false">
      <c r="A701" s="13" t="n">
        <v>44576.5833333333</v>
      </c>
      <c r="B701" s="12" t="n">
        <v>293.42</v>
      </c>
      <c r="C701" s="0" t="n">
        <f aca="false">WEEKDAY(A701,2)</f>
        <v>6</v>
      </c>
      <c r="D701" s="0" t="n">
        <f aca="false">DAY(A701)</f>
        <v>15</v>
      </c>
      <c r="E701" s="0" t="n">
        <f aca="false">HOUR(A701)</f>
        <v>14</v>
      </c>
      <c r="F701" s="0" t="n">
        <f aca="false">IF(C701&gt;=6,0,1)</f>
        <v>0</v>
      </c>
      <c r="G701" s="0" t="n">
        <f aca="false">VLOOKUP(E701,Sheet1!$A$2:$B$25,2,0)</f>
        <v>1</v>
      </c>
    </row>
    <row r="702" customFormat="false" ht="15" hidden="false" customHeight="false" outlineLevel="0" collapsed="false">
      <c r="A702" s="13" t="n">
        <v>44576.6041666667</v>
      </c>
      <c r="B702" s="12" t="n">
        <v>297.116</v>
      </c>
      <c r="C702" s="0" t="n">
        <f aca="false">WEEKDAY(A702,2)</f>
        <v>6</v>
      </c>
      <c r="D702" s="0" t="n">
        <f aca="false">DAY(A702)</f>
        <v>15</v>
      </c>
      <c r="E702" s="0" t="n">
        <f aca="false">HOUR(A702)</f>
        <v>14</v>
      </c>
      <c r="F702" s="0" t="n">
        <f aca="false">IF(C702&gt;=6,0,1)</f>
        <v>0</v>
      </c>
      <c r="G702" s="0" t="n">
        <f aca="false">VLOOKUP(E702,Sheet1!$A$2:$B$25,2,0)</f>
        <v>1</v>
      </c>
    </row>
    <row r="703" customFormat="false" ht="15" hidden="false" customHeight="false" outlineLevel="0" collapsed="false">
      <c r="A703" s="13" t="n">
        <v>44576.625</v>
      </c>
      <c r="B703" s="12" t="n">
        <v>304.801</v>
      </c>
      <c r="C703" s="0" t="n">
        <f aca="false">WEEKDAY(A703,2)</f>
        <v>6</v>
      </c>
      <c r="D703" s="0" t="n">
        <f aca="false">DAY(A703)</f>
        <v>15</v>
      </c>
      <c r="E703" s="0" t="n">
        <f aca="false">HOUR(A703)</f>
        <v>15</v>
      </c>
      <c r="F703" s="0" t="n">
        <f aca="false">IF(C703&gt;=6,0,1)</f>
        <v>0</v>
      </c>
      <c r="G703" s="0" t="n">
        <f aca="false">VLOOKUP(E703,Sheet1!$A$2:$B$25,2,0)</f>
        <v>1</v>
      </c>
    </row>
    <row r="704" customFormat="false" ht="15" hidden="false" customHeight="false" outlineLevel="0" collapsed="false">
      <c r="A704" s="13" t="n">
        <v>44576.6458333333</v>
      </c>
      <c r="B704" s="12" t="n">
        <v>298.916</v>
      </c>
      <c r="C704" s="0" t="n">
        <f aca="false">WEEKDAY(A704,2)</f>
        <v>6</v>
      </c>
      <c r="D704" s="0" t="n">
        <f aca="false">DAY(A704)</f>
        <v>15</v>
      </c>
      <c r="E704" s="0" t="n">
        <f aca="false">HOUR(A704)</f>
        <v>15</v>
      </c>
      <c r="F704" s="0" t="n">
        <f aca="false">IF(C704&gt;=6,0,1)</f>
        <v>0</v>
      </c>
      <c r="G704" s="0" t="n">
        <f aca="false">VLOOKUP(E704,Sheet1!$A$2:$B$25,2,0)</f>
        <v>1</v>
      </c>
    </row>
    <row r="705" customFormat="false" ht="15" hidden="false" customHeight="false" outlineLevel="0" collapsed="false">
      <c r="A705" s="13" t="n">
        <v>44576.6666666667</v>
      </c>
      <c r="B705" s="12" t="n">
        <v>300.596</v>
      </c>
      <c r="C705" s="0" t="n">
        <f aca="false">WEEKDAY(A705,2)</f>
        <v>6</v>
      </c>
      <c r="D705" s="0" t="n">
        <f aca="false">DAY(A705)</f>
        <v>15</v>
      </c>
      <c r="E705" s="0" t="n">
        <f aca="false">HOUR(A705)</f>
        <v>16</v>
      </c>
      <c r="F705" s="0" t="n">
        <f aca="false">IF(C705&gt;=6,0,1)</f>
        <v>0</v>
      </c>
      <c r="G705" s="0" t="n">
        <f aca="false">VLOOKUP(E705,Sheet1!$A$2:$B$25,2,0)</f>
        <v>0</v>
      </c>
    </row>
    <row r="706" customFormat="false" ht="15" hidden="false" customHeight="false" outlineLevel="0" collapsed="false">
      <c r="A706" s="13" t="n">
        <v>44576.6875</v>
      </c>
      <c r="B706" s="12" t="n">
        <v>306.116</v>
      </c>
      <c r="C706" s="0" t="n">
        <f aca="false">WEEKDAY(A706,2)</f>
        <v>6</v>
      </c>
      <c r="D706" s="0" t="n">
        <f aca="false">DAY(A706)</f>
        <v>15</v>
      </c>
      <c r="E706" s="0" t="n">
        <f aca="false">HOUR(A706)</f>
        <v>16</v>
      </c>
      <c r="F706" s="0" t="n">
        <f aca="false">IF(C706&gt;=6,0,1)</f>
        <v>0</v>
      </c>
      <c r="G706" s="0" t="n">
        <f aca="false">VLOOKUP(E706,Sheet1!$A$2:$B$25,2,0)</f>
        <v>0</v>
      </c>
    </row>
    <row r="707" customFormat="false" ht="15" hidden="false" customHeight="false" outlineLevel="0" collapsed="false">
      <c r="A707" s="13" t="n">
        <v>44576.7083333333</v>
      </c>
      <c r="B707" s="12" t="n">
        <v>302.18</v>
      </c>
      <c r="C707" s="0" t="n">
        <f aca="false">WEEKDAY(A707,2)</f>
        <v>6</v>
      </c>
      <c r="D707" s="0" t="n">
        <f aca="false">DAY(A707)</f>
        <v>15</v>
      </c>
      <c r="E707" s="0" t="n">
        <f aca="false">HOUR(A707)</f>
        <v>17</v>
      </c>
      <c r="F707" s="0" t="n">
        <f aca="false">IF(C707&gt;=6,0,1)</f>
        <v>0</v>
      </c>
      <c r="G707" s="0" t="n">
        <f aca="false">VLOOKUP(E707,Sheet1!$A$2:$B$25,2,0)</f>
        <v>0</v>
      </c>
    </row>
    <row r="708" customFormat="false" ht="15" hidden="false" customHeight="false" outlineLevel="0" collapsed="false">
      <c r="A708" s="13" t="n">
        <v>44576.7291666667</v>
      </c>
      <c r="B708" s="12" t="n">
        <v>318.865</v>
      </c>
      <c r="C708" s="0" t="n">
        <f aca="false">WEEKDAY(A708,2)</f>
        <v>6</v>
      </c>
      <c r="D708" s="0" t="n">
        <f aca="false">DAY(A708)</f>
        <v>15</v>
      </c>
      <c r="E708" s="0" t="n">
        <f aca="false">HOUR(A708)</f>
        <v>17</v>
      </c>
      <c r="F708" s="0" t="n">
        <f aca="false">IF(C708&gt;=6,0,1)</f>
        <v>0</v>
      </c>
      <c r="G708" s="0" t="n">
        <f aca="false">VLOOKUP(E708,Sheet1!$A$2:$B$25,2,0)</f>
        <v>0</v>
      </c>
    </row>
    <row r="709" customFormat="false" ht="15" hidden="false" customHeight="false" outlineLevel="0" collapsed="false">
      <c r="A709" s="13" t="n">
        <v>44576.75</v>
      </c>
      <c r="B709" s="12" t="n">
        <v>316.7</v>
      </c>
      <c r="C709" s="0" t="n">
        <f aca="false">WEEKDAY(A709,2)</f>
        <v>6</v>
      </c>
      <c r="D709" s="0" t="n">
        <f aca="false">DAY(A709)</f>
        <v>15</v>
      </c>
      <c r="E709" s="0" t="n">
        <f aca="false">HOUR(A709)</f>
        <v>18</v>
      </c>
      <c r="F709" s="0" t="n">
        <f aca="false">IF(C709&gt;=6,0,1)</f>
        <v>0</v>
      </c>
      <c r="G709" s="0" t="n">
        <f aca="false">VLOOKUP(E709,Sheet1!$A$2:$B$25,2,0)</f>
        <v>0</v>
      </c>
    </row>
    <row r="710" customFormat="false" ht="15" hidden="false" customHeight="false" outlineLevel="0" collapsed="false">
      <c r="A710" s="13" t="n">
        <v>44576.7708333333</v>
      </c>
      <c r="B710" s="12" t="n">
        <v>312.14</v>
      </c>
      <c r="C710" s="0" t="n">
        <f aca="false">WEEKDAY(A710,2)</f>
        <v>6</v>
      </c>
      <c r="D710" s="0" t="n">
        <f aca="false">DAY(A710)</f>
        <v>15</v>
      </c>
      <c r="E710" s="0" t="n">
        <f aca="false">HOUR(A710)</f>
        <v>18</v>
      </c>
      <c r="F710" s="0" t="n">
        <f aca="false">IF(C710&gt;=6,0,1)</f>
        <v>0</v>
      </c>
      <c r="G710" s="0" t="n">
        <f aca="false">VLOOKUP(E710,Sheet1!$A$2:$B$25,2,0)</f>
        <v>0</v>
      </c>
    </row>
    <row r="711" customFormat="false" ht="15" hidden="false" customHeight="false" outlineLevel="0" collapsed="false">
      <c r="A711" s="13" t="n">
        <v>44576.7916666667</v>
      </c>
      <c r="B711" s="12" t="n">
        <v>308.66</v>
      </c>
      <c r="C711" s="0" t="n">
        <f aca="false">WEEKDAY(A711,2)</f>
        <v>6</v>
      </c>
      <c r="D711" s="0" t="n">
        <f aca="false">DAY(A711)</f>
        <v>15</v>
      </c>
      <c r="E711" s="0" t="n">
        <f aca="false">HOUR(A711)</f>
        <v>19</v>
      </c>
      <c r="F711" s="0" t="n">
        <f aca="false">IF(C711&gt;=6,0,1)</f>
        <v>0</v>
      </c>
      <c r="G711" s="0" t="n">
        <f aca="false">VLOOKUP(E711,Sheet1!$A$2:$B$25,2,0)</f>
        <v>0</v>
      </c>
    </row>
    <row r="712" customFormat="false" ht="15" hidden="false" customHeight="false" outlineLevel="0" collapsed="false">
      <c r="A712" s="13" t="n">
        <v>44576.8125</v>
      </c>
      <c r="B712" s="12" t="n">
        <v>308.54</v>
      </c>
      <c r="C712" s="0" t="n">
        <f aca="false">WEEKDAY(A712,2)</f>
        <v>6</v>
      </c>
      <c r="D712" s="0" t="n">
        <f aca="false">DAY(A712)</f>
        <v>15</v>
      </c>
      <c r="E712" s="0" t="n">
        <f aca="false">HOUR(A712)</f>
        <v>19</v>
      </c>
      <c r="F712" s="0" t="n">
        <f aca="false">IF(C712&gt;=6,0,1)</f>
        <v>0</v>
      </c>
      <c r="G712" s="0" t="n">
        <f aca="false">VLOOKUP(E712,Sheet1!$A$2:$B$25,2,0)</f>
        <v>0</v>
      </c>
    </row>
    <row r="713" customFormat="false" ht="15" hidden="false" customHeight="false" outlineLevel="0" collapsed="false">
      <c r="A713" s="13" t="n">
        <v>44576.8333333333</v>
      </c>
      <c r="B713" s="12" t="n">
        <v>311.276</v>
      </c>
      <c r="C713" s="0" t="n">
        <f aca="false">WEEKDAY(A713,2)</f>
        <v>6</v>
      </c>
      <c r="D713" s="0" t="n">
        <f aca="false">DAY(A713)</f>
        <v>15</v>
      </c>
      <c r="E713" s="0" t="n">
        <f aca="false">HOUR(A713)</f>
        <v>20</v>
      </c>
      <c r="F713" s="0" t="n">
        <f aca="false">IF(C713&gt;=6,0,1)</f>
        <v>0</v>
      </c>
      <c r="G713" s="0" t="n">
        <f aca="false">VLOOKUP(E713,Sheet1!$A$2:$B$25,2,0)</f>
        <v>0</v>
      </c>
    </row>
    <row r="714" customFormat="false" ht="15" hidden="false" customHeight="false" outlineLevel="0" collapsed="false">
      <c r="A714" s="13" t="n">
        <v>44576.8541666667</v>
      </c>
      <c r="B714" s="12" t="n">
        <v>308.161</v>
      </c>
      <c r="C714" s="0" t="n">
        <f aca="false">WEEKDAY(A714,2)</f>
        <v>6</v>
      </c>
      <c r="D714" s="0" t="n">
        <f aca="false">DAY(A714)</f>
        <v>15</v>
      </c>
      <c r="E714" s="0" t="n">
        <f aca="false">HOUR(A714)</f>
        <v>20</v>
      </c>
      <c r="F714" s="0" t="n">
        <f aca="false">IF(C714&gt;=6,0,1)</f>
        <v>0</v>
      </c>
      <c r="G714" s="0" t="n">
        <f aca="false">VLOOKUP(E714,Sheet1!$A$2:$B$25,2,0)</f>
        <v>0</v>
      </c>
    </row>
    <row r="715" customFormat="false" ht="15" hidden="false" customHeight="false" outlineLevel="0" collapsed="false">
      <c r="A715" s="13" t="n">
        <v>44576.875</v>
      </c>
      <c r="B715" s="12" t="n">
        <v>307.82</v>
      </c>
      <c r="C715" s="0" t="n">
        <f aca="false">WEEKDAY(A715,2)</f>
        <v>6</v>
      </c>
      <c r="D715" s="0" t="n">
        <f aca="false">DAY(A715)</f>
        <v>15</v>
      </c>
      <c r="E715" s="0" t="n">
        <f aca="false">HOUR(A715)</f>
        <v>21</v>
      </c>
      <c r="F715" s="0" t="n">
        <f aca="false">IF(C715&gt;=6,0,1)</f>
        <v>0</v>
      </c>
      <c r="G715" s="0" t="n">
        <f aca="false">VLOOKUP(E715,Sheet1!$A$2:$B$25,2,0)</f>
        <v>0</v>
      </c>
    </row>
    <row r="716" customFormat="false" ht="15" hidden="false" customHeight="false" outlineLevel="0" collapsed="false">
      <c r="A716" s="13" t="n">
        <v>44576.8958333333</v>
      </c>
      <c r="B716" s="12" t="n">
        <v>308.78</v>
      </c>
      <c r="C716" s="0" t="n">
        <f aca="false">WEEKDAY(A716,2)</f>
        <v>6</v>
      </c>
      <c r="D716" s="0" t="n">
        <f aca="false">DAY(A716)</f>
        <v>15</v>
      </c>
      <c r="E716" s="0" t="n">
        <f aca="false">HOUR(A716)</f>
        <v>21</v>
      </c>
      <c r="F716" s="0" t="n">
        <f aca="false">IF(C716&gt;=6,0,1)</f>
        <v>0</v>
      </c>
      <c r="G716" s="0" t="n">
        <f aca="false">VLOOKUP(E716,Sheet1!$A$2:$B$25,2,0)</f>
        <v>0</v>
      </c>
    </row>
    <row r="717" customFormat="false" ht="15" hidden="false" customHeight="false" outlineLevel="0" collapsed="false">
      <c r="A717" s="13" t="n">
        <v>44576.9166666667</v>
      </c>
      <c r="B717" s="12" t="n">
        <v>310.82</v>
      </c>
      <c r="C717" s="0" t="n">
        <f aca="false">WEEKDAY(A717,2)</f>
        <v>6</v>
      </c>
      <c r="D717" s="0" t="n">
        <f aca="false">DAY(A717)</f>
        <v>15</v>
      </c>
      <c r="E717" s="0" t="n">
        <f aca="false">HOUR(A717)</f>
        <v>22</v>
      </c>
      <c r="F717" s="0" t="n">
        <f aca="false">IF(C717&gt;=6,0,1)</f>
        <v>0</v>
      </c>
      <c r="G717" s="0" t="n">
        <f aca="false">VLOOKUP(E717,Sheet1!$A$2:$B$25,2,0)</f>
        <v>0</v>
      </c>
    </row>
    <row r="718" customFormat="false" ht="15" hidden="false" customHeight="false" outlineLevel="0" collapsed="false">
      <c r="A718" s="13" t="n">
        <v>44576.9375</v>
      </c>
      <c r="B718" s="12" t="n">
        <v>310.34</v>
      </c>
      <c r="C718" s="0" t="n">
        <f aca="false">WEEKDAY(A718,2)</f>
        <v>6</v>
      </c>
      <c r="D718" s="0" t="n">
        <f aca="false">DAY(A718)</f>
        <v>15</v>
      </c>
      <c r="E718" s="0" t="n">
        <f aca="false">HOUR(A718)</f>
        <v>22</v>
      </c>
      <c r="F718" s="0" t="n">
        <f aca="false">IF(C718&gt;=6,0,1)</f>
        <v>0</v>
      </c>
      <c r="G718" s="0" t="n">
        <f aca="false">VLOOKUP(E718,Sheet1!$A$2:$B$25,2,0)</f>
        <v>0</v>
      </c>
    </row>
    <row r="719" customFormat="false" ht="15" hidden="false" customHeight="false" outlineLevel="0" collapsed="false">
      <c r="A719" s="13" t="n">
        <v>44576.9583333333</v>
      </c>
      <c r="B719" s="12" t="n">
        <v>311.396</v>
      </c>
      <c r="C719" s="0" t="n">
        <f aca="false">WEEKDAY(A719,2)</f>
        <v>6</v>
      </c>
      <c r="D719" s="0" t="n">
        <f aca="false">DAY(A719)</f>
        <v>15</v>
      </c>
      <c r="E719" s="0" t="n">
        <f aca="false">HOUR(A719)</f>
        <v>23</v>
      </c>
      <c r="F719" s="0" t="n">
        <f aca="false">IF(C719&gt;=6,0,1)</f>
        <v>0</v>
      </c>
      <c r="G719" s="0" t="n">
        <f aca="false">VLOOKUP(E719,Sheet1!$A$2:$B$25,2,0)</f>
        <v>0</v>
      </c>
    </row>
    <row r="720" customFormat="false" ht="15" hidden="false" customHeight="false" outlineLevel="0" collapsed="false">
      <c r="A720" s="13" t="n">
        <v>44576.9791666667</v>
      </c>
      <c r="B720" s="12" t="n">
        <v>310.34</v>
      </c>
      <c r="C720" s="0" t="n">
        <f aca="false">WEEKDAY(A720,2)</f>
        <v>6</v>
      </c>
      <c r="D720" s="0" t="n">
        <f aca="false">DAY(A720)</f>
        <v>15</v>
      </c>
      <c r="E720" s="0" t="n">
        <f aca="false">HOUR(A720)</f>
        <v>23</v>
      </c>
      <c r="F720" s="0" t="n">
        <f aca="false">IF(C720&gt;=6,0,1)</f>
        <v>0</v>
      </c>
      <c r="G720" s="0" t="n">
        <f aca="false">VLOOKUP(E720,Sheet1!$A$2:$B$25,2,0)</f>
        <v>0</v>
      </c>
    </row>
    <row r="721" customFormat="false" ht="15" hidden="false" customHeight="false" outlineLevel="0" collapsed="false">
      <c r="A721" s="13" t="n">
        <v>44577</v>
      </c>
      <c r="B721" s="12" t="n">
        <v>316.46</v>
      </c>
      <c r="C721" s="0" t="n">
        <f aca="false">WEEKDAY(A721,2)</f>
        <v>7</v>
      </c>
      <c r="D721" s="0" t="n">
        <f aca="false">DAY(A721)</f>
        <v>16</v>
      </c>
      <c r="E721" s="0" t="n">
        <f aca="false">HOUR(A721)</f>
        <v>0</v>
      </c>
      <c r="F721" s="0" t="n">
        <f aca="false">IF(C721&gt;=6,0,1)</f>
        <v>0</v>
      </c>
      <c r="G721" s="0" t="n">
        <f aca="false">VLOOKUP(E721,Sheet1!$A$2:$B$25,2,0)</f>
        <v>0</v>
      </c>
    </row>
    <row r="722" customFormat="false" ht="15" hidden="false" customHeight="false" outlineLevel="0" collapsed="false">
      <c r="A722" s="13" t="n">
        <v>44577.0208333333</v>
      </c>
      <c r="B722" s="12" t="n">
        <v>320.636</v>
      </c>
      <c r="C722" s="0" t="n">
        <f aca="false">WEEKDAY(A722,2)</f>
        <v>7</v>
      </c>
      <c r="D722" s="0" t="n">
        <f aca="false">DAY(A722)</f>
        <v>16</v>
      </c>
      <c r="E722" s="0" t="n">
        <f aca="false">HOUR(A722)</f>
        <v>0</v>
      </c>
      <c r="F722" s="0" t="n">
        <f aca="false">IF(C722&gt;=6,0,1)</f>
        <v>0</v>
      </c>
      <c r="G722" s="0" t="n">
        <f aca="false">VLOOKUP(E722,Sheet1!$A$2:$B$25,2,0)</f>
        <v>0</v>
      </c>
    </row>
    <row r="723" customFormat="false" ht="15" hidden="false" customHeight="false" outlineLevel="0" collapsed="false">
      <c r="A723" s="13" t="n">
        <v>44577.0416666667</v>
      </c>
      <c r="B723" s="12" t="n">
        <v>319.556</v>
      </c>
      <c r="C723" s="0" t="n">
        <f aca="false">WEEKDAY(A723,2)</f>
        <v>7</v>
      </c>
      <c r="D723" s="0" t="n">
        <f aca="false">DAY(A723)</f>
        <v>16</v>
      </c>
      <c r="E723" s="0" t="n">
        <f aca="false">HOUR(A723)</f>
        <v>1</v>
      </c>
      <c r="F723" s="0" t="n">
        <f aca="false">IF(C723&gt;=6,0,1)</f>
        <v>0</v>
      </c>
      <c r="G723" s="0" t="n">
        <f aca="false">VLOOKUP(E723,Sheet1!$A$2:$B$25,2,0)</f>
        <v>0</v>
      </c>
    </row>
    <row r="724" customFormat="false" ht="15" hidden="false" customHeight="false" outlineLevel="0" collapsed="false">
      <c r="A724" s="13" t="n">
        <v>44577.0625</v>
      </c>
      <c r="B724" s="12" t="n">
        <v>315.145</v>
      </c>
      <c r="C724" s="0" t="n">
        <f aca="false">WEEKDAY(A724,2)</f>
        <v>7</v>
      </c>
      <c r="D724" s="0" t="n">
        <f aca="false">DAY(A724)</f>
        <v>16</v>
      </c>
      <c r="E724" s="0" t="n">
        <f aca="false">HOUR(A724)</f>
        <v>1</v>
      </c>
      <c r="F724" s="0" t="n">
        <f aca="false">IF(C724&gt;=6,0,1)</f>
        <v>0</v>
      </c>
      <c r="G724" s="0" t="n">
        <f aca="false">VLOOKUP(E724,Sheet1!$A$2:$B$25,2,0)</f>
        <v>0</v>
      </c>
    </row>
    <row r="725" customFormat="false" ht="15" hidden="false" customHeight="false" outlineLevel="0" collapsed="false">
      <c r="A725" s="13" t="n">
        <v>44577.0833333333</v>
      </c>
      <c r="B725" s="12" t="n">
        <v>316.916</v>
      </c>
      <c r="C725" s="0" t="n">
        <f aca="false">WEEKDAY(A725,2)</f>
        <v>7</v>
      </c>
      <c r="D725" s="0" t="n">
        <f aca="false">DAY(A725)</f>
        <v>16</v>
      </c>
      <c r="E725" s="0" t="n">
        <f aca="false">HOUR(A725)</f>
        <v>2</v>
      </c>
      <c r="F725" s="0" t="n">
        <f aca="false">IF(C725&gt;=6,0,1)</f>
        <v>0</v>
      </c>
      <c r="G725" s="0" t="n">
        <f aca="false">VLOOKUP(E725,Sheet1!$A$2:$B$25,2,0)</f>
        <v>0</v>
      </c>
    </row>
    <row r="726" customFormat="false" ht="15" hidden="false" customHeight="false" outlineLevel="0" collapsed="false">
      <c r="A726" s="13" t="n">
        <v>44577.1041666667</v>
      </c>
      <c r="B726" s="12" t="n">
        <v>317.396</v>
      </c>
      <c r="C726" s="0" t="n">
        <f aca="false">WEEKDAY(A726,2)</f>
        <v>7</v>
      </c>
      <c r="D726" s="0" t="n">
        <f aca="false">DAY(A726)</f>
        <v>16</v>
      </c>
      <c r="E726" s="0" t="n">
        <f aca="false">HOUR(A726)</f>
        <v>2</v>
      </c>
      <c r="F726" s="0" t="n">
        <f aca="false">IF(C726&gt;=6,0,1)</f>
        <v>0</v>
      </c>
      <c r="G726" s="0" t="n">
        <f aca="false">VLOOKUP(E726,Sheet1!$A$2:$B$25,2,0)</f>
        <v>0</v>
      </c>
    </row>
    <row r="727" customFormat="false" ht="15" hidden="false" customHeight="false" outlineLevel="0" collapsed="false">
      <c r="A727" s="13" t="n">
        <v>44577.125</v>
      </c>
      <c r="B727" s="12" t="n">
        <v>313.916</v>
      </c>
      <c r="C727" s="0" t="n">
        <f aca="false">WEEKDAY(A727,2)</f>
        <v>7</v>
      </c>
      <c r="D727" s="0" t="n">
        <f aca="false">DAY(A727)</f>
        <v>16</v>
      </c>
      <c r="E727" s="0" t="n">
        <f aca="false">HOUR(A727)</f>
        <v>3</v>
      </c>
      <c r="F727" s="0" t="n">
        <f aca="false">IF(C727&gt;=6,0,1)</f>
        <v>0</v>
      </c>
      <c r="G727" s="0" t="n">
        <f aca="false">VLOOKUP(E727,Sheet1!$A$2:$B$25,2,0)</f>
        <v>0</v>
      </c>
    </row>
    <row r="728" customFormat="false" ht="15" hidden="false" customHeight="false" outlineLevel="0" collapsed="false">
      <c r="A728" s="13" t="n">
        <v>44577.1458333333</v>
      </c>
      <c r="B728" s="12" t="n">
        <v>315.476</v>
      </c>
      <c r="C728" s="0" t="n">
        <f aca="false">WEEKDAY(A728,2)</f>
        <v>7</v>
      </c>
      <c r="D728" s="0" t="n">
        <f aca="false">DAY(A728)</f>
        <v>16</v>
      </c>
      <c r="E728" s="0" t="n">
        <f aca="false">HOUR(A728)</f>
        <v>3</v>
      </c>
      <c r="F728" s="0" t="n">
        <f aca="false">IF(C728&gt;=6,0,1)</f>
        <v>0</v>
      </c>
      <c r="G728" s="0" t="n">
        <f aca="false">VLOOKUP(E728,Sheet1!$A$2:$B$25,2,0)</f>
        <v>0</v>
      </c>
    </row>
    <row r="729" customFormat="false" ht="15" hidden="false" customHeight="false" outlineLevel="0" collapsed="false">
      <c r="A729" s="13" t="n">
        <v>44577.1666666667</v>
      </c>
      <c r="B729" s="12" t="n">
        <v>316.1</v>
      </c>
      <c r="C729" s="0" t="n">
        <f aca="false">WEEKDAY(A729,2)</f>
        <v>7</v>
      </c>
      <c r="D729" s="0" t="n">
        <f aca="false">DAY(A729)</f>
        <v>16</v>
      </c>
      <c r="E729" s="0" t="n">
        <f aca="false">HOUR(A729)</f>
        <v>4</v>
      </c>
      <c r="F729" s="0" t="n">
        <f aca="false">IF(C729&gt;=6,0,1)</f>
        <v>0</v>
      </c>
      <c r="G729" s="0" t="n">
        <f aca="false">VLOOKUP(E729,Sheet1!$A$2:$B$25,2,0)</f>
        <v>1</v>
      </c>
    </row>
    <row r="730" customFormat="false" ht="15" hidden="false" customHeight="false" outlineLevel="0" collapsed="false">
      <c r="A730" s="13" t="n">
        <v>44577.1875</v>
      </c>
      <c r="B730" s="12" t="n">
        <v>316.676</v>
      </c>
      <c r="C730" s="0" t="n">
        <f aca="false">WEEKDAY(A730,2)</f>
        <v>7</v>
      </c>
      <c r="D730" s="0" t="n">
        <f aca="false">DAY(A730)</f>
        <v>16</v>
      </c>
      <c r="E730" s="0" t="n">
        <f aca="false">HOUR(A730)</f>
        <v>4</v>
      </c>
      <c r="F730" s="0" t="n">
        <f aca="false">IF(C730&gt;=6,0,1)</f>
        <v>0</v>
      </c>
      <c r="G730" s="0" t="n">
        <f aca="false">VLOOKUP(E730,Sheet1!$A$2:$B$25,2,0)</f>
        <v>1</v>
      </c>
    </row>
    <row r="731" customFormat="false" ht="15" hidden="false" customHeight="false" outlineLevel="0" collapsed="false">
      <c r="A731" s="13" t="n">
        <v>44577.2083333333</v>
      </c>
      <c r="B731" s="12" t="n">
        <v>317.641</v>
      </c>
      <c r="C731" s="0" t="n">
        <f aca="false">WEEKDAY(A731,2)</f>
        <v>7</v>
      </c>
      <c r="D731" s="0" t="n">
        <f aca="false">DAY(A731)</f>
        <v>16</v>
      </c>
      <c r="E731" s="0" t="n">
        <f aca="false">HOUR(A731)</f>
        <v>5</v>
      </c>
      <c r="F731" s="0" t="n">
        <f aca="false">IF(C731&gt;=6,0,1)</f>
        <v>0</v>
      </c>
      <c r="G731" s="0" t="n">
        <f aca="false">VLOOKUP(E731,Sheet1!$A$2:$B$25,2,0)</f>
        <v>1</v>
      </c>
    </row>
    <row r="732" customFormat="false" ht="15" hidden="false" customHeight="false" outlineLevel="0" collapsed="false">
      <c r="A732" s="13" t="n">
        <v>44577.2291666667</v>
      </c>
      <c r="B732" s="12" t="n">
        <v>317.396</v>
      </c>
      <c r="C732" s="0" t="n">
        <f aca="false">WEEKDAY(A732,2)</f>
        <v>7</v>
      </c>
      <c r="D732" s="0" t="n">
        <f aca="false">DAY(A732)</f>
        <v>16</v>
      </c>
      <c r="E732" s="0" t="n">
        <f aca="false">HOUR(A732)</f>
        <v>5</v>
      </c>
      <c r="F732" s="0" t="n">
        <f aca="false">IF(C732&gt;=6,0,1)</f>
        <v>0</v>
      </c>
      <c r="G732" s="0" t="n">
        <f aca="false">VLOOKUP(E732,Sheet1!$A$2:$B$25,2,0)</f>
        <v>1</v>
      </c>
    </row>
    <row r="733" customFormat="false" ht="15" hidden="false" customHeight="false" outlineLevel="0" collapsed="false">
      <c r="A733" s="13" t="n">
        <v>44577.25</v>
      </c>
      <c r="B733" s="12" t="n">
        <v>316.94</v>
      </c>
      <c r="C733" s="0" t="n">
        <f aca="false">WEEKDAY(A733,2)</f>
        <v>7</v>
      </c>
      <c r="D733" s="0" t="n">
        <f aca="false">DAY(A733)</f>
        <v>16</v>
      </c>
      <c r="E733" s="0" t="n">
        <f aca="false">HOUR(A733)</f>
        <v>6</v>
      </c>
      <c r="F733" s="0" t="n">
        <f aca="false">IF(C733&gt;=6,0,1)</f>
        <v>0</v>
      </c>
      <c r="G733" s="0" t="n">
        <f aca="false">VLOOKUP(E733,Sheet1!$A$2:$B$25,2,0)</f>
        <v>1</v>
      </c>
    </row>
    <row r="734" customFormat="false" ht="15" hidden="false" customHeight="false" outlineLevel="0" collapsed="false">
      <c r="A734" s="13" t="n">
        <v>44577.2708333333</v>
      </c>
      <c r="B734" s="12" t="n">
        <v>313.916</v>
      </c>
      <c r="C734" s="0" t="n">
        <f aca="false">WEEKDAY(A734,2)</f>
        <v>7</v>
      </c>
      <c r="D734" s="0" t="n">
        <f aca="false">DAY(A734)</f>
        <v>16</v>
      </c>
      <c r="E734" s="0" t="n">
        <f aca="false">HOUR(A734)</f>
        <v>6</v>
      </c>
      <c r="F734" s="0" t="n">
        <f aca="false">IF(C734&gt;=6,0,1)</f>
        <v>0</v>
      </c>
      <c r="G734" s="0" t="n">
        <f aca="false">VLOOKUP(E734,Sheet1!$A$2:$B$25,2,0)</f>
        <v>1</v>
      </c>
    </row>
    <row r="735" customFormat="false" ht="15" hidden="false" customHeight="false" outlineLevel="0" collapsed="false">
      <c r="A735" s="13" t="n">
        <v>44577.2916666667</v>
      </c>
      <c r="B735" s="12" t="n">
        <v>315.265</v>
      </c>
      <c r="C735" s="0" t="n">
        <f aca="false">WEEKDAY(A735,2)</f>
        <v>7</v>
      </c>
      <c r="D735" s="0" t="n">
        <f aca="false">DAY(A735)</f>
        <v>16</v>
      </c>
      <c r="E735" s="0" t="n">
        <f aca="false">HOUR(A735)</f>
        <v>7</v>
      </c>
      <c r="F735" s="0" t="n">
        <f aca="false">IF(C735&gt;=6,0,1)</f>
        <v>0</v>
      </c>
      <c r="G735" s="0" t="n">
        <f aca="false">VLOOKUP(E735,Sheet1!$A$2:$B$25,2,0)</f>
        <v>1</v>
      </c>
    </row>
    <row r="736" customFormat="false" ht="15" hidden="false" customHeight="false" outlineLevel="0" collapsed="false">
      <c r="A736" s="13" t="n">
        <v>44577.3125</v>
      </c>
      <c r="B736" s="12" t="n">
        <v>317.78</v>
      </c>
      <c r="C736" s="0" t="n">
        <f aca="false">WEEKDAY(A736,2)</f>
        <v>7</v>
      </c>
      <c r="D736" s="0" t="n">
        <f aca="false">DAY(A736)</f>
        <v>16</v>
      </c>
      <c r="E736" s="0" t="n">
        <f aca="false">HOUR(A736)</f>
        <v>7</v>
      </c>
      <c r="F736" s="0" t="n">
        <f aca="false">IF(C736&gt;=6,0,1)</f>
        <v>0</v>
      </c>
      <c r="G736" s="0" t="n">
        <f aca="false">VLOOKUP(E736,Sheet1!$A$2:$B$25,2,0)</f>
        <v>1</v>
      </c>
    </row>
    <row r="737" customFormat="false" ht="15" hidden="false" customHeight="false" outlineLevel="0" collapsed="false">
      <c r="A737" s="13" t="n">
        <v>44577.3333333333</v>
      </c>
      <c r="B737" s="12" t="n">
        <v>321.836</v>
      </c>
      <c r="C737" s="0" t="n">
        <f aca="false">WEEKDAY(A737,2)</f>
        <v>7</v>
      </c>
      <c r="D737" s="0" t="n">
        <f aca="false">DAY(A737)</f>
        <v>16</v>
      </c>
      <c r="E737" s="0" t="n">
        <f aca="false">HOUR(A737)</f>
        <v>8</v>
      </c>
      <c r="F737" s="0" t="n">
        <f aca="false">IF(C737&gt;=6,0,1)</f>
        <v>0</v>
      </c>
      <c r="G737" s="0" t="n">
        <f aca="false">VLOOKUP(E737,Sheet1!$A$2:$B$25,2,0)</f>
        <v>1</v>
      </c>
    </row>
    <row r="738" customFormat="false" ht="15" hidden="false" customHeight="false" outlineLevel="0" collapsed="false">
      <c r="A738" s="13" t="n">
        <v>44577.3541666667</v>
      </c>
      <c r="B738" s="12" t="n">
        <v>307.345</v>
      </c>
      <c r="C738" s="0" t="n">
        <f aca="false">WEEKDAY(A738,2)</f>
        <v>7</v>
      </c>
      <c r="D738" s="0" t="n">
        <f aca="false">DAY(A738)</f>
        <v>16</v>
      </c>
      <c r="E738" s="0" t="n">
        <f aca="false">HOUR(A738)</f>
        <v>8</v>
      </c>
      <c r="F738" s="0" t="n">
        <f aca="false">IF(C738&gt;=6,0,1)</f>
        <v>0</v>
      </c>
      <c r="G738" s="0" t="n">
        <f aca="false">VLOOKUP(E738,Sheet1!$A$2:$B$25,2,0)</f>
        <v>1</v>
      </c>
    </row>
    <row r="739" customFormat="false" ht="15" hidden="false" customHeight="false" outlineLevel="0" collapsed="false">
      <c r="A739" s="13" t="n">
        <v>44577.375</v>
      </c>
      <c r="B739" s="12" t="n">
        <v>304.676</v>
      </c>
      <c r="C739" s="0" t="n">
        <f aca="false">WEEKDAY(A739,2)</f>
        <v>7</v>
      </c>
      <c r="D739" s="0" t="n">
        <f aca="false">DAY(A739)</f>
        <v>16</v>
      </c>
      <c r="E739" s="0" t="n">
        <f aca="false">HOUR(A739)</f>
        <v>9</v>
      </c>
      <c r="F739" s="0" t="n">
        <f aca="false">IF(C739&gt;=6,0,1)</f>
        <v>0</v>
      </c>
      <c r="G739" s="0" t="n">
        <f aca="false">VLOOKUP(E739,Sheet1!$A$2:$B$25,2,0)</f>
        <v>1</v>
      </c>
    </row>
    <row r="740" customFormat="false" ht="15" hidden="false" customHeight="false" outlineLevel="0" collapsed="false">
      <c r="A740" s="13" t="n">
        <v>44577.3958333333</v>
      </c>
      <c r="B740" s="12" t="n">
        <v>303.956</v>
      </c>
      <c r="C740" s="0" t="n">
        <f aca="false">WEEKDAY(A740,2)</f>
        <v>7</v>
      </c>
      <c r="D740" s="0" t="n">
        <f aca="false">DAY(A740)</f>
        <v>16</v>
      </c>
      <c r="E740" s="0" t="n">
        <f aca="false">HOUR(A740)</f>
        <v>9</v>
      </c>
      <c r="F740" s="0" t="n">
        <f aca="false">IF(C740&gt;=6,0,1)</f>
        <v>0</v>
      </c>
      <c r="G740" s="0" t="n">
        <f aca="false">VLOOKUP(E740,Sheet1!$A$2:$B$25,2,0)</f>
        <v>1</v>
      </c>
    </row>
    <row r="741" customFormat="false" ht="15" hidden="false" customHeight="false" outlineLevel="0" collapsed="false">
      <c r="A741" s="13" t="n">
        <v>44577.4166666667</v>
      </c>
      <c r="B741" s="12" t="n">
        <v>305.636</v>
      </c>
      <c r="C741" s="0" t="n">
        <f aca="false">WEEKDAY(A741,2)</f>
        <v>7</v>
      </c>
      <c r="D741" s="0" t="n">
        <f aca="false">DAY(A741)</f>
        <v>16</v>
      </c>
      <c r="E741" s="0" t="n">
        <f aca="false">HOUR(A741)</f>
        <v>10</v>
      </c>
      <c r="F741" s="0" t="n">
        <f aca="false">IF(C741&gt;=6,0,1)</f>
        <v>0</v>
      </c>
      <c r="G741" s="0" t="n">
        <f aca="false">VLOOKUP(E741,Sheet1!$A$2:$B$25,2,0)</f>
        <v>1</v>
      </c>
    </row>
    <row r="742" customFormat="false" ht="15" hidden="false" customHeight="false" outlineLevel="0" collapsed="false">
      <c r="A742" s="13" t="n">
        <v>44577.4375</v>
      </c>
      <c r="B742" s="12" t="n">
        <v>310.321</v>
      </c>
      <c r="C742" s="0" t="n">
        <f aca="false">WEEKDAY(A742,2)</f>
        <v>7</v>
      </c>
      <c r="D742" s="0" t="n">
        <f aca="false">DAY(A742)</f>
        <v>16</v>
      </c>
      <c r="E742" s="0" t="n">
        <f aca="false">HOUR(A742)</f>
        <v>10</v>
      </c>
      <c r="F742" s="0" t="n">
        <f aca="false">IF(C742&gt;=6,0,1)</f>
        <v>0</v>
      </c>
      <c r="G742" s="0" t="n">
        <f aca="false">VLOOKUP(E742,Sheet1!$A$2:$B$25,2,0)</f>
        <v>1</v>
      </c>
    </row>
    <row r="743" customFormat="false" ht="15" hidden="false" customHeight="false" outlineLevel="0" collapsed="false">
      <c r="A743" s="13" t="n">
        <v>44577.4583333333</v>
      </c>
      <c r="B743" s="12" t="n">
        <v>305.996</v>
      </c>
      <c r="C743" s="0" t="n">
        <f aca="false">WEEKDAY(A743,2)</f>
        <v>7</v>
      </c>
      <c r="D743" s="0" t="n">
        <f aca="false">DAY(A743)</f>
        <v>16</v>
      </c>
      <c r="E743" s="0" t="n">
        <f aca="false">HOUR(A743)</f>
        <v>11</v>
      </c>
      <c r="F743" s="0" t="n">
        <f aca="false">IF(C743&gt;=6,0,1)</f>
        <v>0</v>
      </c>
      <c r="G743" s="0" t="n">
        <f aca="false">VLOOKUP(E743,Sheet1!$A$2:$B$25,2,0)</f>
        <v>1</v>
      </c>
    </row>
    <row r="744" customFormat="false" ht="15" hidden="false" customHeight="false" outlineLevel="0" collapsed="false">
      <c r="A744" s="13" t="n">
        <v>44577.4791666667</v>
      </c>
      <c r="B744" s="12" t="n">
        <v>308.78</v>
      </c>
      <c r="C744" s="0" t="n">
        <f aca="false">WEEKDAY(A744,2)</f>
        <v>7</v>
      </c>
      <c r="D744" s="0" t="n">
        <f aca="false">DAY(A744)</f>
        <v>16</v>
      </c>
      <c r="E744" s="0" t="n">
        <f aca="false">HOUR(A744)</f>
        <v>11</v>
      </c>
      <c r="F744" s="0" t="n">
        <f aca="false">IF(C744&gt;=6,0,1)</f>
        <v>0</v>
      </c>
      <c r="G744" s="0" t="n">
        <f aca="false">VLOOKUP(E744,Sheet1!$A$2:$B$25,2,0)</f>
        <v>1</v>
      </c>
    </row>
    <row r="745" customFormat="false" ht="15" hidden="false" customHeight="false" outlineLevel="0" collapsed="false">
      <c r="A745" s="13" t="n">
        <v>44577.5</v>
      </c>
      <c r="B745" s="12" t="n">
        <v>307.34</v>
      </c>
      <c r="C745" s="0" t="n">
        <f aca="false">WEEKDAY(A745,2)</f>
        <v>7</v>
      </c>
      <c r="D745" s="0" t="n">
        <f aca="false">DAY(A745)</f>
        <v>16</v>
      </c>
      <c r="E745" s="0" t="n">
        <f aca="false">HOUR(A745)</f>
        <v>12</v>
      </c>
      <c r="F745" s="0" t="n">
        <f aca="false">IF(C745&gt;=6,0,1)</f>
        <v>0</v>
      </c>
      <c r="G745" s="0" t="n">
        <f aca="false">VLOOKUP(E745,Sheet1!$A$2:$B$25,2,0)</f>
        <v>1</v>
      </c>
    </row>
    <row r="746" customFormat="false" ht="15" hidden="false" customHeight="false" outlineLevel="0" collapsed="false">
      <c r="A746" s="13" t="n">
        <v>44577.5208333333</v>
      </c>
      <c r="B746" s="12" t="n">
        <v>307.201</v>
      </c>
      <c r="C746" s="0" t="n">
        <f aca="false">WEEKDAY(A746,2)</f>
        <v>7</v>
      </c>
      <c r="D746" s="0" t="n">
        <f aca="false">DAY(A746)</f>
        <v>16</v>
      </c>
      <c r="E746" s="0" t="n">
        <f aca="false">HOUR(A746)</f>
        <v>12</v>
      </c>
      <c r="F746" s="0" t="n">
        <f aca="false">IF(C746&gt;=6,0,1)</f>
        <v>0</v>
      </c>
      <c r="G746" s="0" t="n">
        <f aca="false">VLOOKUP(E746,Sheet1!$A$2:$B$25,2,0)</f>
        <v>1</v>
      </c>
    </row>
    <row r="747" customFormat="false" ht="15" hidden="false" customHeight="false" outlineLevel="0" collapsed="false">
      <c r="A747" s="13" t="n">
        <v>44577.5416666667</v>
      </c>
      <c r="B747" s="12" t="n">
        <v>320.276</v>
      </c>
      <c r="C747" s="0" t="n">
        <f aca="false">WEEKDAY(A747,2)</f>
        <v>7</v>
      </c>
      <c r="D747" s="0" t="n">
        <f aca="false">DAY(A747)</f>
        <v>16</v>
      </c>
      <c r="E747" s="0" t="n">
        <f aca="false">HOUR(A747)</f>
        <v>13</v>
      </c>
      <c r="F747" s="0" t="n">
        <f aca="false">IF(C747&gt;=6,0,1)</f>
        <v>0</v>
      </c>
      <c r="G747" s="0" t="n">
        <f aca="false">VLOOKUP(E747,Sheet1!$A$2:$B$25,2,0)</f>
        <v>1</v>
      </c>
    </row>
    <row r="748" customFormat="false" ht="15" hidden="false" customHeight="false" outlineLevel="0" collapsed="false">
      <c r="A748" s="13" t="n">
        <v>44577.5625</v>
      </c>
      <c r="B748" s="12" t="n">
        <v>303.86</v>
      </c>
      <c r="C748" s="0" t="n">
        <f aca="false">WEEKDAY(A748,2)</f>
        <v>7</v>
      </c>
      <c r="D748" s="0" t="n">
        <f aca="false">DAY(A748)</f>
        <v>16</v>
      </c>
      <c r="E748" s="0" t="n">
        <f aca="false">HOUR(A748)</f>
        <v>13</v>
      </c>
      <c r="F748" s="0" t="n">
        <f aca="false">IF(C748&gt;=6,0,1)</f>
        <v>0</v>
      </c>
      <c r="G748" s="0" t="n">
        <f aca="false">VLOOKUP(E748,Sheet1!$A$2:$B$25,2,0)</f>
        <v>1</v>
      </c>
    </row>
    <row r="749" customFormat="false" ht="15" hidden="false" customHeight="false" outlineLevel="0" collapsed="false">
      <c r="A749" s="13" t="n">
        <v>44577.5833333333</v>
      </c>
      <c r="B749" s="12" t="n">
        <v>300.145</v>
      </c>
      <c r="C749" s="0" t="n">
        <f aca="false">WEEKDAY(A749,2)</f>
        <v>7</v>
      </c>
      <c r="D749" s="0" t="n">
        <f aca="false">DAY(A749)</f>
        <v>16</v>
      </c>
      <c r="E749" s="0" t="n">
        <f aca="false">HOUR(A749)</f>
        <v>14</v>
      </c>
      <c r="F749" s="0" t="n">
        <f aca="false">IF(C749&gt;=6,0,1)</f>
        <v>0</v>
      </c>
      <c r="G749" s="0" t="n">
        <f aca="false">VLOOKUP(E749,Sheet1!$A$2:$B$25,2,0)</f>
        <v>1</v>
      </c>
    </row>
    <row r="750" customFormat="false" ht="15" hidden="false" customHeight="false" outlineLevel="0" collapsed="false">
      <c r="A750" s="13" t="n">
        <v>44577.6041666667</v>
      </c>
      <c r="B750" s="12" t="n">
        <v>307.7</v>
      </c>
      <c r="C750" s="0" t="n">
        <f aca="false">WEEKDAY(A750,2)</f>
        <v>7</v>
      </c>
      <c r="D750" s="0" t="n">
        <f aca="false">DAY(A750)</f>
        <v>16</v>
      </c>
      <c r="E750" s="0" t="n">
        <f aca="false">HOUR(A750)</f>
        <v>14</v>
      </c>
      <c r="F750" s="0" t="n">
        <f aca="false">IF(C750&gt;=6,0,1)</f>
        <v>0</v>
      </c>
      <c r="G750" s="0" t="n">
        <f aca="false">VLOOKUP(E750,Sheet1!$A$2:$B$25,2,0)</f>
        <v>1</v>
      </c>
    </row>
    <row r="751" customFormat="false" ht="15" hidden="false" customHeight="false" outlineLevel="0" collapsed="false">
      <c r="A751" s="13" t="n">
        <v>44577.625</v>
      </c>
      <c r="B751" s="12" t="n">
        <v>300.62</v>
      </c>
      <c r="C751" s="0" t="n">
        <f aca="false">WEEKDAY(A751,2)</f>
        <v>7</v>
      </c>
      <c r="D751" s="0" t="n">
        <f aca="false">DAY(A751)</f>
        <v>16</v>
      </c>
      <c r="E751" s="0" t="n">
        <f aca="false">HOUR(A751)</f>
        <v>15</v>
      </c>
      <c r="F751" s="0" t="n">
        <f aca="false">IF(C751&gt;=6,0,1)</f>
        <v>0</v>
      </c>
      <c r="G751" s="0" t="n">
        <f aca="false">VLOOKUP(E751,Sheet1!$A$2:$B$25,2,0)</f>
        <v>1</v>
      </c>
    </row>
    <row r="752" customFormat="false" ht="15" hidden="false" customHeight="false" outlineLevel="0" collapsed="false">
      <c r="A752" s="13" t="n">
        <v>44577.6458333333</v>
      </c>
      <c r="B752" s="12" t="n">
        <v>297.86</v>
      </c>
      <c r="C752" s="0" t="n">
        <f aca="false">WEEKDAY(A752,2)</f>
        <v>7</v>
      </c>
      <c r="D752" s="0" t="n">
        <f aca="false">DAY(A752)</f>
        <v>16</v>
      </c>
      <c r="E752" s="0" t="n">
        <f aca="false">HOUR(A752)</f>
        <v>15</v>
      </c>
      <c r="F752" s="0" t="n">
        <f aca="false">IF(C752&gt;=6,0,1)</f>
        <v>0</v>
      </c>
      <c r="G752" s="0" t="n">
        <f aca="false">VLOOKUP(E752,Sheet1!$A$2:$B$25,2,0)</f>
        <v>1</v>
      </c>
    </row>
    <row r="753" customFormat="false" ht="15" hidden="false" customHeight="false" outlineLevel="0" collapsed="false">
      <c r="A753" s="13" t="n">
        <v>44577.6666666667</v>
      </c>
      <c r="B753" s="12" t="n">
        <v>297.961</v>
      </c>
      <c r="C753" s="0" t="n">
        <f aca="false">WEEKDAY(A753,2)</f>
        <v>7</v>
      </c>
      <c r="D753" s="0" t="n">
        <f aca="false">DAY(A753)</f>
        <v>16</v>
      </c>
      <c r="E753" s="0" t="n">
        <f aca="false">HOUR(A753)</f>
        <v>16</v>
      </c>
      <c r="F753" s="0" t="n">
        <f aca="false">IF(C753&gt;=6,0,1)</f>
        <v>0</v>
      </c>
      <c r="G753" s="0" t="n">
        <f aca="false">VLOOKUP(E753,Sheet1!$A$2:$B$25,2,0)</f>
        <v>0</v>
      </c>
    </row>
    <row r="754" customFormat="false" ht="15" hidden="false" customHeight="false" outlineLevel="0" collapsed="false">
      <c r="A754" s="13" t="n">
        <v>44577.6875</v>
      </c>
      <c r="B754" s="12" t="n">
        <v>297.98</v>
      </c>
      <c r="C754" s="0" t="n">
        <f aca="false">WEEKDAY(A754,2)</f>
        <v>7</v>
      </c>
      <c r="D754" s="0" t="n">
        <f aca="false">DAY(A754)</f>
        <v>16</v>
      </c>
      <c r="E754" s="0" t="n">
        <f aca="false">HOUR(A754)</f>
        <v>16</v>
      </c>
      <c r="F754" s="0" t="n">
        <f aca="false">IF(C754&gt;=6,0,1)</f>
        <v>0</v>
      </c>
      <c r="G754" s="0" t="n">
        <f aca="false">VLOOKUP(E754,Sheet1!$A$2:$B$25,2,0)</f>
        <v>0</v>
      </c>
    </row>
    <row r="755" customFormat="false" ht="15" hidden="false" customHeight="false" outlineLevel="0" collapsed="false">
      <c r="A755" s="13" t="n">
        <v>44577.7083333333</v>
      </c>
      <c r="B755" s="12" t="n">
        <v>299.276</v>
      </c>
      <c r="C755" s="0" t="n">
        <f aca="false">WEEKDAY(A755,2)</f>
        <v>7</v>
      </c>
      <c r="D755" s="0" t="n">
        <f aca="false">DAY(A755)</f>
        <v>16</v>
      </c>
      <c r="E755" s="0" t="n">
        <f aca="false">HOUR(A755)</f>
        <v>17</v>
      </c>
      <c r="F755" s="0" t="n">
        <f aca="false">IF(C755&gt;=6,0,1)</f>
        <v>0</v>
      </c>
      <c r="G755" s="0" t="n">
        <f aca="false">VLOOKUP(E755,Sheet1!$A$2:$B$25,2,0)</f>
        <v>0</v>
      </c>
    </row>
    <row r="756" customFormat="false" ht="15" hidden="false" customHeight="false" outlineLevel="0" collapsed="false">
      <c r="A756" s="13" t="n">
        <v>44577.7291666667</v>
      </c>
      <c r="B756" s="12" t="n">
        <v>312.5</v>
      </c>
      <c r="C756" s="0" t="n">
        <f aca="false">WEEKDAY(A756,2)</f>
        <v>7</v>
      </c>
      <c r="D756" s="0" t="n">
        <f aca="false">DAY(A756)</f>
        <v>16</v>
      </c>
      <c r="E756" s="0" t="n">
        <f aca="false">HOUR(A756)</f>
        <v>17</v>
      </c>
      <c r="F756" s="0" t="n">
        <f aca="false">IF(C756&gt;=6,0,1)</f>
        <v>0</v>
      </c>
      <c r="G756" s="0" t="n">
        <f aca="false">VLOOKUP(E756,Sheet1!$A$2:$B$25,2,0)</f>
        <v>0</v>
      </c>
    </row>
    <row r="757" customFormat="false" ht="15" hidden="false" customHeight="false" outlineLevel="0" collapsed="false">
      <c r="A757" s="13" t="n">
        <v>44577.75</v>
      </c>
      <c r="B757" s="12" t="n">
        <v>310.681</v>
      </c>
      <c r="C757" s="0" t="n">
        <f aca="false">WEEKDAY(A757,2)</f>
        <v>7</v>
      </c>
      <c r="D757" s="0" t="n">
        <f aca="false">DAY(A757)</f>
        <v>16</v>
      </c>
      <c r="E757" s="0" t="n">
        <f aca="false">HOUR(A757)</f>
        <v>18</v>
      </c>
      <c r="F757" s="0" t="n">
        <f aca="false">IF(C757&gt;=6,0,1)</f>
        <v>0</v>
      </c>
      <c r="G757" s="0" t="n">
        <f aca="false">VLOOKUP(E757,Sheet1!$A$2:$B$25,2,0)</f>
        <v>0</v>
      </c>
    </row>
    <row r="758" customFormat="false" ht="15" hidden="false" customHeight="false" outlineLevel="0" collapsed="false">
      <c r="A758" s="13" t="n">
        <v>44577.7708333333</v>
      </c>
      <c r="B758" s="12" t="n">
        <v>308.06</v>
      </c>
      <c r="C758" s="0" t="n">
        <f aca="false">WEEKDAY(A758,2)</f>
        <v>7</v>
      </c>
      <c r="D758" s="0" t="n">
        <f aca="false">DAY(A758)</f>
        <v>16</v>
      </c>
      <c r="E758" s="0" t="n">
        <f aca="false">HOUR(A758)</f>
        <v>18</v>
      </c>
      <c r="F758" s="0" t="n">
        <f aca="false">IF(C758&gt;=6,0,1)</f>
        <v>0</v>
      </c>
      <c r="G758" s="0" t="n">
        <f aca="false">VLOOKUP(E758,Sheet1!$A$2:$B$25,2,0)</f>
        <v>0</v>
      </c>
    </row>
    <row r="759" customFormat="false" ht="15" hidden="false" customHeight="false" outlineLevel="0" collapsed="false">
      <c r="A759" s="13" t="n">
        <v>44577.7916666667</v>
      </c>
      <c r="B759" s="12" t="n">
        <v>305.156</v>
      </c>
      <c r="C759" s="0" t="n">
        <f aca="false">WEEKDAY(A759,2)</f>
        <v>7</v>
      </c>
      <c r="D759" s="0" t="n">
        <f aca="false">DAY(A759)</f>
        <v>16</v>
      </c>
      <c r="E759" s="0" t="n">
        <f aca="false">HOUR(A759)</f>
        <v>19</v>
      </c>
      <c r="F759" s="0" t="n">
        <f aca="false">IF(C759&gt;=6,0,1)</f>
        <v>0</v>
      </c>
      <c r="G759" s="0" t="n">
        <f aca="false">VLOOKUP(E759,Sheet1!$A$2:$B$25,2,0)</f>
        <v>0</v>
      </c>
    </row>
    <row r="760" customFormat="false" ht="15" hidden="false" customHeight="false" outlineLevel="0" collapsed="false">
      <c r="A760" s="13" t="n">
        <v>44577.8125</v>
      </c>
      <c r="B760" s="12" t="n">
        <v>297.505</v>
      </c>
      <c r="C760" s="0" t="n">
        <f aca="false">WEEKDAY(A760,2)</f>
        <v>7</v>
      </c>
      <c r="D760" s="0" t="n">
        <f aca="false">DAY(A760)</f>
        <v>16</v>
      </c>
      <c r="E760" s="0" t="n">
        <f aca="false">HOUR(A760)</f>
        <v>19</v>
      </c>
      <c r="F760" s="0" t="n">
        <f aca="false">IF(C760&gt;=6,0,1)</f>
        <v>0</v>
      </c>
      <c r="G760" s="0" t="n">
        <f aca="false">VLOOKUP(E760,Sheet1!$A$2:$B$25,2,0)</f>
        <v>0</v>
      </c>
    </row>
    <row r="761" customFormat="false" ht="15" hidden="false" customHeight="false" outlineLevel="0" collapsed="false">
      <c r="A761" s="13" t="n">
        <v>44577.8333333333</v>
      </c>
      <c r="B761" s="12" t="n">
        <v>300.956</v>
      </c>
      <c r="C761" s="0" t="n">
        <f aca="false">WEEKDAY(A761,2)</f>
        <v>7</v>
      </c>
      <c r="D761" s="0" t="n">
        <f aca="false">DAY(A761)</f>
        <v>16</v>
      </c>
      <c r="E761" s="0" t="n">
        <f aca="false">HOUR(A761)</f>
        <v>20</v>
      </c>
      <c r="F761" s="0" t="n">
        <f aca="false">IF(C761&gt;=6,0,1)</f>
        <v>0</v>
      </c>
      <c r="G761" s="0" t="n">
        <f aca="false">VLOOKUP(E761,Sheet1!$A$2:$B$25,2,0)</f>
        <v>0</v>
      </c>
    </row>
    <row r="762" customFormat="false" ht="15" hidden="false" customHeight="false" outlineLevel="0" collapsed="false">
      <c r="A762" s="13" t="n">
        <v>44577.8541666667</v>
      </c>
      <c r="B762" s="12" t="n">
        <v>301.196</v>
      </c>
      <c r="C762" s="0" t="n">
        <f aca="false">WEEKDAY(A762,2)</f>
        <v>7</v>
      </c>
      <c r="D762" s="0" t="n">
        <f aca="false">DAY(A762)</f>
        <v>16</v>
      </c>
      <c r="E762" s="0" t="n">
        <f aca="false">HOUR(A762)</f>
        <v>20</v>
      </c>
      <c r="F762" s="0" t="n">
        <f aca="false">IF(C762&gt;=6,0,1)</f>
        <v>0</v>
      </c>
      <c r="G762" s="0" t="n">
        <f aca="false">VLOOKUP(E762,Sheet1!$A$2:$B$25,2,0)</f>
        <v>0</v>
      </c>
    </row>
    <row r="763" customFormat="false" ht="15" hidden="false" customHeight="false" outlineLevel="0" collapsed="false">
      <c r="A763" s="13" t="n">
        <v>44577.875</v>
      </c>
      <c r="B763" s="12" t="n">
        <v>305.516</v>
      </c>
      <c r="C763" s="0" t="n">
        <f aca="false">WEEKDAY(A763,2)</f>
        <v>7</v>
      </c>
      <c r="D763" s="0" t="n">
        <f aca="false">DAY(A763)</f>
        <v>16</v>
      </c>
      <c r="E763" s="0" t="n">
        <f aca="false">HOUR(A763)</f>
        <v>21</v>
      </c>
      <c r="F763" s="0" t="n">
        <f aca="false">IF(C763&gt;=6,0,1)</f>
        <v>0</v>
      </c>
      <c r="G763" s="0" t="n">
        <f aca="false">VLOOKUP(E763,Sheet1!$A$2:$B$25,2,0)</f>
        <v>0</v>
      </c>
    </row>
    <row r="764" customFormat="false" ht="15" hidden="false" customHeight="false" outlineLevel="0" collapsed="false">
      <c r="A764" s="13" t="n">
        <v>44577.8958333333</v>
      </c>
      <c r="B764" s="12" t="n">
        <v>306.265</v>
      </c>
      <c r="C764" s="0" t="n">
        <f aca="false">WEEKDAY(A764,2)</f>
        <v>7</v>
      </c>
      <c r="D764" s="0" t="n">
        <f aca="false">DAY(A764)</f>
        <v>16</v>
      </c>
      <c r="E764" s="0" t="n">
        <f aca="false">HOUR(A764)</f>
        <v>21</v>
      </c>
      <c r="F764" s="0" t="n">
        <f aca="false">IF(C764&gt;=6,0,1)</f>
        <v>0</v>
      </c>
      <c r="G764" s="0" t="n">
        <f aca="false">VLOOKUP(E764,Sheet1!$A$2:$B$25,2,0)</f>
        <v>0</v>
      </c>
    </row>
    <row r="765" customFormat="false" ht="15" hidden="false" customHeight="false" outlineLevel="0" collapsed="false">
      <c r="A765" s="13" t="n">
        <v>44577.9166666667</v>
      </c>
      <c r="B765" s="12" t="n">
        <v>305.18</v>
      </c>
      <c r="C765" s="0" t="n">
        <f aca="false">WEEKDAY(A765,2)</f>
        <v>7</v>
      </c>
      <c r="D765" s="0" t="n">
        <f aca="false">DAY(A765)</f>
        <v>16</v>
      </c>
      <c r="E765" s="0" t="n">
        <f aca="false">HOUR(A765)</f>
        <v>22</v>
      </c>
      <c r="F765" s="0" t="n">
        <f aca="false">IF(C765&gt;=6,0,1)</f>
        <v>0</v>
      </c>
      <c r="G765" s="0" t="n">
        <f aca="false">VLOOKUP(E765,Sheet1!$A$2:$B$25,2,0)</f>
        <v>0</v>
      </c>
    </row>
    <row r="766" customFormat="false" ht="15" hidden="false" customHeight="false" outlineLevel="0" collapsed="false">
      <c r="A766" s="13" t="n">
        <v>44577.9375</v>
      </c>
      <c r="B766" s="12" t="n">
        <v>303.62</v>
      </c>
      <c r="C766" s="0" t="n">
        <f aca="false">WEEKDAY(A766,2)</f>
        <v>7</v>
      </c>
      <c r="D766" s="0" t="n">
        <f aca="false">DAY(A766)</f>
        <v>16</v>
      </c>
      <c r="E766" s="0" t="n">
        <f aca="false">HOUR(A766)</f>
        <v>22</v>
      </c>
      <c r="F766" s="0" t="n">
        <f aca="false">IF(C766&gt;=6,0,1)</f>
        <v>0</v>
      </c>
      <c r="G766" s="0" t="n">
        <f aca="false">VLOOKUP(E766,Sheet1!$A$2:$B$25,2,0)</f>
        <v>0</v>
      </c>
    </row>
    <row r="767" customFormat="false" ht="15" hidden="false" customHeight="false" outlineLevel="0" collapsed="false">
      <c r="A767" s="13" t="n">
        <v>44577.9583333333</v>
      </c>
      <c r="B767" s="12" t="n">
        <v>298.921</v>
      </c>
      <c r="C767" s="0" t="n">
        <f aca="false">WEEKDAY(A767,2)</f>
        <v>7</v>
      </c>
      <c r="D767" s="0" t="n">
        <f aca="false">DAY(A767)</f>
        <v>16</v>
      </c>
      <c r="E767" s="0" t="n">
        <f aca="false">HOUR(A767)</f>
        <v>23</v>
      </c>
      <c r="F767" s="0" t="n">
        <f aca="false">IF(C767&gt;=6,0,1)</f>
        <v>0</v>
      </c>
      <c r="G767" s="0" t="n">
        <f aca="false">VLOOKUP(E767,Sheet1!$A$2:$B$25,2,0)</f>
        <v>0</v>
      </c>
    </row>
    <row r="768" customFormat="false" ht="15" hidden="false" customHeight="false" outlineLevel="0" collapsed="false">
      <c r="A768" s="13" t="n">
        <v>44577.9791666667</v>
      </c>
      <c r="B768" s="12" t="n">
        <v>298.916</v>
      </c>
      <c r="C768" s="0" t="n">
        <f aca="false">WEEKDAY(A768,2)</f>
        <v>7</v>
      </c>
      <c r="D768" s="0" t="n">
        <f aca="false">DAY(A768)</f>
        <v>16</v>
      </c>
      <c r="E768" s="0" t="n">
        <f aca="false">HOUR(A768)</f>
        <v>23</v>
      </c>
      <c r="F768" s="0" t="n">
        <f aca="false">IF(C768&gt;=6,0,1)</f>
        <v>0</v>
      </c>
      <c r="G768" s="0" t="n">
        <f aca="false">VLOOKUP(E768,Sheet1!$A$2:$B$25,2,0)</f>
        <v>0</v>
      </c>
    </row>
    <row r="769" customFormat="false" ht="15" hidden="false" customHeight="false" outlineLevel="0" collapsed="false">
      <c r="A769" s="13" t="n">
        <v>44578</v>
      </c>
      <c r="B769" s="12" t="n">
        <v>296.78</v>
      </c>
      <c r="C769" s="0" t="n">
        <f aca="false">WEEKDAY(A769,2)</f>
        <v>1</v>
      </c>
      <c r="D769" s="0" t="n">
        <f aca="false">DAY(A769)</f>
        <v>17</v>
      </c>
      <c r="E769" s="0" t="n">
        <f aca="false">HOUR(A769)</f>
        <v>0</v>
      </c>
      <c r="F769" s="0" t="n">
        <f aca="false">IF(C769&gt;=6,0,1)</f>
        <v>1</v>
      </c>
      <c r="G769" s="0" t="n">
        <f aca="false">VLOOKUP(E769,Sheet1!$A$2:$B$25,2,0)</f>
        <v>0</v>
      </c>
    </row>
    <row r="770" customFormat="false" ht="15" hidden="false" customHeight="false" outlineLevel="0" collapsed="false">
      <c r="A770" s="13" t="n">
        <v>44578.0208333333</v>
      </c>
      <c r="B770" s="12" t="n">
        <v>301.681</v>
      </c>
      <c r="C770" s="0" t="n">
        <f aca="false">WEEKDAY(A770,2)</f>
        <v>1</v>
      </c>
      <c r="D770" s="0" t="n">
        <f aca="false">DAY(A770)</f>
        <v>17</v>
      </c>
      <c r="E770" s="0" t="n">
        <f aca="false">HOUR(A770)</f>
        <v>0</v>
      </c>
      <c r="F770" s="0" t="n">
        <f aca="false">IF(C770&gt;=6,0,1)</f>
        <v>1</v>
      </c>
      <c r="G770" s="0" t="n">
        <f aca="false">VLOOKUP(E770,Sheet1!$A$2:$B$25,2,0)</f>
        <v>0</v>
      </c>
    </row>
    <row r="771" customFormat="false" ht="15" hidden="false" customHeight="false" outlineLevel="0" collapsed="false">
      <c r="A771" s="13" t="n">
        <v>44578.0416666667</v>
      </c>
      <c r="B771" s="12" t="n">
        <v>295.796</v>
      </c>
      <c r="C771" s="0" t="n">
        <f aca="false">WEEKDAY(A771,2)</f>
        <v>1</v>
      </c>
      <c r="D771" s="0" t="n">
        <f aca="false">DAY(A771)</f>
        <v>17</v>
      </c>
      <c r="E771" s="0" t="n">
        <f aca="false">HOUR(A771)</f>
        <v>1</v>
      </c>
      <c r="F771" s="0" t="n">
        <f aca="false">IF(C771&gt;=6,0,1)</f>
        <v>1</v>
      </c>
      <c r="G771" s="0" t="n">
        <f aca="false">VLOOKUP(E771,Sheet1!$A$2:$B$25,2,0)</f>
        <v>0</v>
      </c>
    </row>
    <row r="772" customFormat="false" ht="15" hidden="false" customHeight="false" outlineLevel="0" collapsed="false">
      <c r="A772" s="13" t="n">
        <v>44578.0625</v>
      </c>
      <c r="B772" s="12" t="n">
        <v>295.196</v>
      </c>
      <c r="C772" s="0" t="n">
        <f aca="false">WEEKDAY(A772,2)</f>
        <v>1</v>
      </c>
      <c r="D772" s="0" t="n">
        <f aca="false">DAY(A772)</f>
        <v>17</v>
      </c>
      <c r="E772" s="0" t="n">
        <f aca="false">HOUR(A772)</f>
        <v>1</v>
      </c>
      <c r="F772" s="0" t="n">
        <f aca="false">IF(C772&gt;=6,0,1)</f>
        <v>1</v>
      </c>
      <c r="G772" s="0" t="n">
        <f aca="false">VLOOKUP(E772,Sheet1!$A$2:$B$25,2,0)</f>
        <v>0</v>
      </c>
    </row>
    <row r="773" customFormat="false" ht="15" hidden="false" customHeight="false" outlineLevel="0" collapsed="false">
      <c r="A773" s="13" t="n">
        <v>44578.0833333333</v>
      </c>
      <c r="B773" s="12" t="n">
        <v>300.14</v>
      </c>
      <c r="C773" s="0" t="n">
        <f aca="false">WEEKDAY(A773,2)</f>
        <v>1</v>
      </c>
      <c r="D773" s="0" t="n">
        <f aca="false">DAY(A773)</f>
        <v>17</v>
      </c>
      <c r="E773" s="0" t="n">
        <f aca="false">HOUR(A773)</f>
        <v>2</v>
      </c>
      <c r="F773" s="0" t="n">
        <f aca="false">IF(C773&gt;=6,0,1)</f>
        <v>1</v>
      </c>
      <c r="G773" s="0" t="n">
        <f aca="false">VLOOKUP(E773,Sheet1!$A$2:$B$25,2,0)</f>
        <v>0</v>
      </c>
    </row>
    <row r="774" customFormat="false" ht="15" hidden="false" customHeight="false" outlineLevel="0" collapsed="false">
      <c r="A774" s="13" t="n">
        <v>44578.1041666667</v>
      </c>
      <c r="B774" s="12" t="n">
        <v>300.145</v>
      </c>
      <c r="C774" s="0" t="n">
        <f aca="false">WEEKDAY(A774,2)</f>
        <v>1</v>
      </c>
      <c r="D774" s="0" t="n">
        <f aca="false">DAY(A774)</f>
        <v>17</v>
      </c>
      <c r="E774" s="0" t="n">
        <f aca="false">HOUR(A774)</f>
        <v>2</v>
      </c>
      <c r="F774" s="0" t="n">
        <f aca="false">IF(C774&gt;=6,0,1)</f>
        <v>1</v>
      </c>
      <c r="G774" s="0" t="n">
        <f aca="false">VLOOKUP(E774,Sheet1!$A$2:$B$25,2,0)</f>
        <v>0</v>
      </c>
    </row>
    <row r="775" customFormat="false" ht="15" hidden="false" customHeight="false" outlineLevel="0" collapsed="false">
      <c r="A775" s="13" t="n">
        <v>44578.125</v>
      </c>
      <c r="B775" s="12" t="n">
        <v>302.42</v>
      </c>
      <c r="C775" s="0" t="n">
        <f aca="false">WEEKDAY(A775,2)</f>
        <v>1</v>
      </c>
      <c r="D775" s="0" t="n">
        <f aca="false">DAY(A775)</f>
        <v>17</v>
      </c>
      <c r="E775" s="0" t="n">
        <f aca="false">HOUR(A775)</f>
        <v>3</v>
      </c>
      <c r="F775" s="0" t="n">
        <f aca="false">IF(C775&gt;=6,0,1)</f>
        <v>1</v>
      </c>
      <c r="G775" s="0" t="n">
        <f aca="false">VLOOKUP(E775,Sheet1!$A$2:$B$25,2,0)</f>
        <v>0</v>
      </c>
    </row>
    <row r="776" customFormat="false" ht="15" hidden="false" customHeight="false" outlineLevel="0" collapsed="false">
      <c r="A776" s="13" t="n">
        <v>44578.1458333333</v>
      </c>
      <c r="B776" s="12" t="n">
        <v>300.02</v>
      </c>
      <c r="C776" s="0" t="n">
        <f aca="false">WEEKDAY(A776,2)</f>
        <v>1</v>
      </c>
      <c r="D776" s="0" t="n">
        <f aca="false">DAY(A776)</f>
        <v>17</v>
      </c>
      <c r="E776" s="0" t="n">
        <f aca="false">HOUR(A776)</f>
        <v>3</v>
      </c>
      <c r="F776" s="0" t="n">
        <f aca="false">IF(C776&gt;=6,0,1)</f>
        <v>1</v>
      </c>
      <c r="G776" s="0" t="n">
        <f aca="false">VLOOKUP(E776,Sheet1!$A$2:$B$25,2,0)</f>
        <v>0</v>
      </c>
    </row>
    <row r="777" customFormat="false" ht="15" hidden="false" customHeight="false" outlineLevel="0" collapsed="false">
      <c r="A777" s="13" t="n">
        <v>44578.1666666667</v>
      </c>
      <c r="B777" s="12" t="n">
        <v>344.3</v>
      </c>
      <c r="C777" s="0" t="n">
        <f aca="false">WEEKDAY(A777,2)</f>
        <v>1</v>
      </c>
      <c r="D777" s="0" t="n">
        <f aca="false">DAY(A777)</f>
        <v>17</v>
      </c>
      <c r="E777" s="0" t="n">
        <f aca="false">HOUR(A777)</f>
        <v>4</v>
      </c>
      <c r="F777" s="0" t="n">
        <f aca="false">IF(C777&gt;=6,0,1)</f>
        <v>1</v>
      </c>
      <c r="G777" s="0" t="n">
        <f aca="false">VLOOKUP(E777,Sheet1!$A$2:$B$25,2,0)</f>
        <v>1</v>
      </c>
    </row>
    <row r="778" customFormat="false" ht="15" hidden="false" customHeight="false" outlineLevel="0" collapsed="false">
      <c r="A778" s="13" t="n">
        <v>44578.1875</v>
      </c>
      <c r="B778" s="12" t="n">
        <v>1079.54</v>
      </c>
      <c r="C778" s="0" t="n">
        <f aca="false">WEEKDAY(A778,2)</f>
        <v>1</v>
      </c>
      <c r="D778" s="0" t="n">
        <f aca="false">DAY(A778)</f>
        <v>17</v>
      </c>
      <c r="E778" s="0" t="n">
        <f aca="false">HOUR(A778)</f>
        <v>4</v>
      </c>
      <c r="F778" s="0" t="n">
        <f aca="false">IF(C778&gt;=6,0,1)</f>
        <v>1</v>
      </c>
      <c r="G778" s="0" t="n">
        <f aca="false">VLOOKUP(E778,Sheet1!$A$2:$B$25,2,0)</f>
        <v>1</v>
      </c>
    </row>
    <row r="779" customFormat="false" ht="15" hidden="false" customHeight="false" outlineLevel="0" collapsed="false">
      <c r="A779" s="13" t="n">
        <v>44578.2083333333</v>
      </c>
      <c r="B779" s="12" t="n">
        <v>817.196</v>
      </c>
      <c r="C779" s="0" t="n">
        <f aca="false">WEEKDAY(A779,2)</f>
        <v>1</v>
      </c>
      <c r="D779" s="0" t="n">
        <f aca="false">DAY(A779)</f>
        <v>17</v>
      </c>
      <c r="E779" s="0" t="n">
        <f aca="false">HOUR(A779)</f>
        <v>5</v>
      </c>
      <c r="F779" s="0" t="n">
        <f aca="false">IF(C779&gt;=6,0,1)</f>
        <v>1</v>
      </c>
      <c r="G779" s="0" t="n">
        <f aca="false">VLOOKUP(E779,Sheet1!$A$2:$B$25,2,0)</f>
        <v>1</v>
      </c>
    </row>
    <row r="780" customFormat="false" ht="15" hidden="false" customHeight="false" outlineLevel="0" collapsed="false">
      <c r="A780" s="13" t="n">
        <v>44578.2291666667</v>
      </c>
      <c r="B780" s="12" t="n">
        <v>797.756</v>
      </c>
      <c r="C780" s="0" t="n">
        <f aca="false">WEEKDAY(A780,2)</f>
        <v>1</v>
      </c>
      <c r="D780" s="0" t="n">
        <f aca="false">DAY(A780)</f>
        <v>17</v>
      </c>
      <c r="E780" s="0" t="n">
        <f aca="false">HOUR(A780)</f>
        <v>5</v>
      </c>
      <c r="F780" s="0" t="n">
        <f aca="false">IF(C780&gt;=6,0,1)</f>
        <v>1</v>
      </c>
      <c r="G780" s="0" t="n">
        <f aca="false">VLOOKUP(E780,Sheet1!$A$2:$B$25,2,0)</f>
        <v>1</v>
      </c>
    </row>
    <row r="781" customFormat="false" ht="15" hidden="false" customHeight="false" outlineLevel="0" collapsed="false">
      <c r="A781" s="13" t="n">
        <v>44578.25</v>
      </c>
      <c r="B781" s="12" t="n">
        <v>785.905</v>
      </c>
      <c r="C781" s="0" t="n">
        <f aca="false">WEEKDAY(A781,2)</f>
        <v>1</v>
      </c>
      <c r="D781" s="0" t="n">
        <f aca="false">DAY(A781)</f>
        <v>17</v>
      </c>
      <c r="E781" s="0" t="n">
        <f aca="false">HOUR(A781)</f>
        <v>6</v>
      </c>
      <c r="F781" s="0" t="n">
        <f aca="false">IF(C781&gt;=6,0,1)</f>
        <v>1</v>
      </c>
      <c r="G781" s="0" t="n">
        <f aca="false">VLOOKUP(E781,Sheet1!$A$2:$B$25,2,0)</f>
        <v>1</v>
      </c>
    </row>
    <row r="782" customFormat="false" ht="15" hidden="false" customHeight="false" outlineLevel="0" collapsed="false">
      <c r="A782" s="13" t="n">
        <v>44578.2708333333</v>
      </c>
      <c r="B782" s="12" t="n">
        <v>933.14</v>
      </c>
      <c r="C782" s="0" t="n">
        <f aca="false">WEEKDAY(A782,2)</f>
        <v>1</v>
      </c>
      <c r="D782" s="0" t="n">
        <f aca="false">DAY(A782)</f>
        <v>17</v>
      </c>
      <c r="E782" s="0" t="n">
        <f aca="false">HOUR(A782)</f>
        <v>6</v>
      </c>
      <c r="F782" s="0" t="n">
        <f aca="false">IF(C782&gt;=6,0,1)</f>
        <v>1</v>
      </c>
      <c r="G782" s="0" t="n">
        <f aca="false">VLOOKUP(E782,Sheet1!$A$2:$B$25,2,0)</f>
        <v>1</v>
      </c>
    </row>
    <row r="783" customFormat="false" ht="15" hidden="false" customHeight="false" outlineLevel="0" collapsed="false">
      <c r="A783" s="13" t="n">
        <v>44578.2916666667</v>
      </c>
      <c r="B783" s="12" t="n">
        <v>951.716</v>
      </c>
      <c r="C783" s="0" t="n">
        <f aca="false">WEEKDAY(A783,2)</f>
        <v>1</v>
      </c>
      <c r="D783" s="0" t="n">
        <f aca="false">DAY(A783)</f>
        <v>17</v>
      </c>
      <c r="E783" s="0" t="n">
        <f aca="false">HOUR(A783)</f>
        <v>7</v>
      </c>
      <c r="F783" s="0" t="n">
        <f aca="false">IF(C783&gt;=6,0,1)</f>
        <v>1</v>
      </c>
      <c r="G783" s="0" t="n">
        <f aca="false">VLOOKUP(E783,Sheet1!$A$2:$B$25,2,0)</f>
        <v>1</v>
      </c>
    </row>
    <row r="784" customFormat="false" ht="15" hidden="false" customHeight="false" outlineLevel="0" collapsed="false">
      <c r="A784" s="13" t="n">
        <v>44578.3125</v>
      </c>
      <c r="B784" s="12" t="n">
        <v>969.38</v>
      </c>
      <c r="C784" s="0" t="n">
        <f aca="false">WEEKDAY(A784,2)</f>
        <v>1</v>
      </c>
      <c r="D784" s="0" t="n">
        <f aca="false">DAY(A784)</f>
        <v>17</v>
      </c>
      <c r="E784" s="0" t="n">
        <f aca="false">HOUR(A784)</f>
        <v>7</v>
      </c>
      <c r="F784" s="0" t="n">
        <f aca="false">IF(C784&gt;=6,0,1)</f>
        <v>1</v>
      </c>
      <c r="G784" s="0" t="n">
        <f aca="false">VLOOKUP(E784,Sheet1!$A$2:$B$25,2,0)</f>
        <v>1</v>
      </c>
    </row>
    <row r="785" customFormat="false" ht="15" hidden="false" customHeight="false" outlineLevel="0" collapsed="false">
      <c r="A785" s="13" t="n">
        <v>44578.3333333333</v>
      </c>
      <c r="B785" s="12" t="n">
        <v>956.281</v>
      </c>
      <c r="C785" s="0" t="n">
        <f aca="false">WEEKDAY(A785,2)</f>
        <v>1</v>
      </c>
      <c r="D785" s="0" t="n">
        <f aca="false">DAY(A785)</f>
        <v>17</v>
      </c>
      <c r="E785" s="0" t="n">
        <f aca="false">HOUR(A785)</f>
        <v>8</v>
      </c>
      <c r="F785" s="0" t="n">
        <f aca="false">IF(C785&gt;=6,0,1)</f>
        <v>1</v>
      </c>
      <c r="G785" s="0" t="n">
        <f aca="false">VLOOKUP(E785,Sheet1!$A$2:$B$25,2,0)</f>
        <v>1</v>
      </c>
    </row>
    <row r="786" customFormat="false" ht="15" hidden="false" customHeight="false" outlineLevel="0" collapsed="false">
      <c r="A786" s="13" t="n">
        <v>44578.3541666667</v>
      </c>
      <c r="B786" s="12" t="n">
        <v>938.276</v>
      </c>
      <c r="C786" s="0" t="n">
        <f aca="false">WEEKDAY(A786,2)</f>
        <v>1</v>
      </c>
      <c r="D786" s="0" t="n">
        <f aca="false">DAY(A786)</f>
        <v>17</v>
      </c>
      <c r="E786" s="0" t="n">
        <f aca="false">HOUR(A786)</f>
        <v>8</v>
      </c>
      <c r="F786" s="0" t="n">
        <f aca="false">IF(C786&gt;=6,0,1)</f>
        <v>1</v>
      </c>
      <c r="G786" s="0" t="n">
        <f aca="false">VLOOKUP(E786,Sheet1!$A$2:$B$25,2,0)</f>
        <v>1</v>
      </c>
    </row>
    <row r="787" customFormat="false" ht="15" hidden="false" customHeight="false" outlineLevel="0" collapsed="false">
      <c r="A787" s="13" t="n">
        <v>44578.375</v>
      </c>
      <c r="B787" s="12" t="n">
        <v>943.556</v>
      </c>
      <c r="C787" s="0" t="n">
        <f aca="false">WEEKDAY(A787,2)</f>
        <v>1</v>
      </c>
      <c r="D787" s="0" t="n">
        <f aca="false">DAY(A787)</f>
        <v>17</v>
      </c>
      <c r="E787" s="0" t="n">
        <f aca="false">HOUR(A787)</f>
        <v>9</v>
      </c>
      <c r="F787" s="0" t="n">
        <f aca="false">IF(C787&gt;=6,0,1)</f>
        <v>1</v>
      </c>
      <c r="G787" s="0" t="n">
        <f aca="false">VLOOKUP(E787,Sheet1!$A$2:$B$25,2,0)</f>
        <v>1</v>
      </c>
    </row>
    <row r="788" customFormat="false" ht="15" hidden="false" customHeight="false" outlineLevel="0" collapsed="false">
      <c r="A788" s="13" t="n">
        <v>44578.3958333333</v>
      </c>
      <c r="B788" s="12" t="n">
        <v>986.305</v>
      </c>
      <c r="C788" s="0" t="n">
        <f aca="false">WEEKDAY(A788,2)</f>
        <v>1</v>
      </c>
      <c r="D788" s="0" t="n">
        <f aca="false">DAY(A788)</f>
        <v>17</v>
      </c>
      <c r="E788" s="0" t="n">
        <f aca="false">HOUR(A788)</f>
        <v>9</v>
      </c>
      <c r="F788" s="0" t="n">
        <f aca="false">IF(C788&gt;=6,0,1)</f>
        <v>1</v>
      </c>
      <c r="G788" s="0" t="n">
        <f aca="false">VLOOKUP(E788,Sheet1!$A$2:$B$25,2,0)</f>
        <v>1</v>
      </c>
    </row>
    <row r="789" customFormat="false" ht="15" hidden="false" customHeight="false" outlineLevel="0" collapsed="false">
      <c r="A789" s="13" t="n">
        <v>44578.4166666667</v>
      </c>
      <c r="B789" s="12" t="n">
        <v>993.86</v>
      </c>
      <c r="C789" s="0" t="n">
        <f aca="false">WEEKDAY(A789,2)</f>
        <v>1</v>
      </c>
      <c r="D789" s="0" t="n">
        <f aca="false">DAY(A789)</f>
        <v>17</v>
      </c>
      <c r="E789" s="0" t="n">
        <f aca="false">HOUR(A789)</f>
        <v>10</v>
      </c>
      <c r="F789" s="0" t="n">
        <f aca="false">IF(C789&gt;=6,0,1)</f>
        <v>1</v>
      </c>
      <c r="G789" s="0" t="n">
        <f aca="false">VLOOKUP(E789,Sheet1!$A$2:$B$25,2,0)</f>
        <v>1</v>
      </c>
    </row>
    <row r="790" customFormat="false" ht="15" hidden="false" customHeight="false" outlineLevel="0" collapsed="false">
      <c r="A790" s="13" t="n">
        <v>44578.4375</v>
      </c>
      <c r="B790" s="12" t="n">
        <v>953.66</v>
      </c>
      <c r="C790" s="0" t="n">
        <f aca="false">WEEKDAY(A790,2)</f>
        <v>1</v>
      </c>
      <c r="D790" s="0" t="n">
        <f aca="false">DAY(A790)</f>
        <v>17</v>
      </c>
      <c r="E790" s="0" t="n">
        <f aca="false">HOUR(A790)</f>
        <v>10</v>
      </c>
      <c r="F790" s="0" t="n">
        <f aca="false">IF(C790&gt;=6,0,1)</f>
        <v>1</v>
      </c>
      <c r="G790" s="0" t="n">
        <f aca="false">VLOOKUP(E790,Sheet1!$A$2:$B$25,2,0)</f>
        <v>1</v>
      </c>
    </row>
    <row r="791" customFormat="false" ht="15" hidden="false" customHeight="false" outlineLevel="0" collapsed="false">
      <c r="A791" s="13" t="n">
        <v>44578.4583333333</v>
      </c>
      <c r="B791" s="12" t="n">
        <v>948.86</v>
      </c>
      <c r="C791" s="0" t="n">
        <f aca="false">WEEKDAY(A791,2)</f>
        <v>1</v>
      </c>
      <c r="D791" s="0" t="n">
        <f aca="false">DAY(A791)</f>
        <v>17</v>
      </c>
      <c r="E791" s="0" t="n">
        <f aca="false">HOUR(A791)</f>
        <v>11</v>
      </c>
      <c r="F791" s="0" t="n">
        <f aca="false">IF(C791&gt;=6,0,1)</f>
        <v>1</v>
      </c>
      <c r="G791" s="0" t="n">
        <f aca="false">VLOOKUP(E791,Sheet1!$A$2:$B$25,2,0)</f>
        <v>1</v>
      </c>
    </row>
    <row r="792" customFormat="false" ht="15" hidden="false" customHeight="false" outlineLevel="0" collapsed="false">
      <c r="A792" s="13" t="n">
        <v>44578.4791666667</v>
      </c>
      <c r="B792" s="12" t="n">
        <v>977.156</v>
      </c>
      <c r="C792" s="0" t="n">
        <f aca="false">WEEKDAY(A792,2)</f>
        <v>1</v>
      </c>
      <c r="D792" s="0" t="n">
        <f aca="false">DAY(A792)</f>
        <v>17</v>
      </c>
      <c r="E792" s="0" t="n">
        <f aca="false">HOUR(A792)</f>
        <v>11</v>
      </c>
      <c r="F792" s="0" t="n">
        <f aca="false">IF(C792&gt;=6,0,1)</f>
        <v>1</v>
      </c>
      <c r="G792" s="0" t="n">
        <f aca="false">VLOOKUP(E792,Sheet1!$A$2:$B$25,2,0)</f>
        <v>1</v>
      </c>
    </row>
    <row r="793" customFormat="false" ht="15" hidden="false" customHeight="false" outlineLevel="0" collapsed="false">
      <c r="A793" s="13" t="n">
        <v>44578.5</v>
      </c>
      <c r="B793" s="12" t="n">
        <v>957.505</v>
      </c>
      <c r="C793" s="0" t="n">
        <f aca="false">WEEKDAY(A793,2)</f>
        <v>1</v>
      </c>
      <c r="D793" s="0" t="n">
        <f aca="false">DAY(A793)</f>
        <v>17</v>
      </c>
      <c r="E793" s="0" t="n">
        <f aca="false">HOUR(A793)</f>
        <v>12</v>
      </c>
      <c r="F793" s="0" t="n">
        <f aca="false">IF(C793&gt;=6,0,1)</f>
        <v>1</v>
      </c>
      <c r="G793" s="0" t="n">
        <f aca="false">VLOOKUP(E793,Sheet1!$A$2:$B$25,2,0)</f>
        <v>1</v>
      </c>
    </row>
    <row r="794" customFormat="false" ht="15" hidden="false" customHeight="false" outlineLevel="0" collapsed="false">
      <c r="A794" s="13" t="n">
        <v>44578.5208333333</v>
      </c>
      <c r="B794" s="12" t="n">
        <v>977.516</v>
      </c>
      <c r="C794" s="0" t="n">
        <f aca="false">WEEKDAY(A794,2)</f>
        <v>1</v>
      </c>
      <c r="D794" s="0" t="n">
        <f aca="false">DAY(A794)</f>
        <v>17</v>
      </c>
      <c r="E794" s="0" t="n">
        <f aca="false">HOUR(A794)</f>
        <v>12</v>
      </c>
      <c r="F794" s="0" t="n">
        <f aca="false">IF(C794&gt;=6,0,1)</f>
        <v>1</v>
      </c>
      <c r="G794" s="0" t="n">
        <f aca="false">VLOOKUP(E794,Sheet1!$A$2:$B$25,2,0)</f>
        <v>1</v>
      </c>
    </row>
    <row r="795" customFormat="false" ht="15" hidden="false" customHeight="false" outlineLevel="0" collapsed="false">
      <c r="A795" s="13" t="n">
        <v>44578.5416666667</v>
      </c>
      <c r="B795" s="12" t="n">
        <v>954.116</v>
      </c>
      <c r="C795" s="0" t="n">
        <f aca="false">WEEKDAY(A795,2)</f>
        <v>1</v>
      </c>
      <c r="D795" s="0" t="n">
        <f aca="false">DAY(A795)</f>
        <v>17</v>
      </c>
      <c r="E795" s="0" t="n">
        <f aca="false">HOUR(A795)</f>
        <v>13</v>
      </c>
      <c r="F795" s="0" t="n">
        <f aca="false">IF(C795&gt;=6,0,1)</f>
        <v>1</v>
      </c>
      <c r="G795" s="0" t="n">
        <f aca="false">VLOOKUP(E795,Sheet1!$A$2:$B$25,2,0)</f>
        <v>1</v>
      </c>
    </row>
    <row r="796" customFormat="false" ht="15" hidden="false" customHeight="false" outlineLevel="0" collapsed="false">
      <c r="A796" s="13" t="n">
        <v>44578.5625</v>
      </c>
      <c r="B796" s="12" t="n">
        <v>972.721</v>
      </c>
      <c r="C796" s="0" t="n">
        <f aca="false">WEEKDAY(A796,2)</f>
        <v>1</v>
      </c>
      <c r="D796" s="0" t="n">
        <f aca="false">DAY(A796)</f>
        <v>17</v>
      </c>
      <c r="E796" s="0" t="n">
        <f aca="false">HOUR(A796)</f>
        <v>13</v>
      </c>
      <c r="F796" s="0" t="n">
        <f aca="false">IF(C796&gt;=6,0,1)</f>
        <v>1</v>
      </c>
      <c r="G796" s="0" t="n">
        <f aca="false">VLOOKUP(E796,Sheet1!$A$2:$B$25,2,0)</f>
        <v>1</v>
      </c>
    </row>
    <row r="797" customFormat="false" ht="15" hidden="false" customHeight="false" outlineLevel="0" collapsed="false">
      <c r="A797" s="13" t="n">
        <v>44578.5833333333</v>
      </c>
      <c r="B797" s="12" t="n">
        <v>927.5</v>
      </c>
      <c r="C797" s="0" t="n">
        <f aca="false">WEEKDAY(A797,2)</f>
        <v>1</v>
      </c>
      <c r="D797" s="0" t="n">
        <f aca="false">DAY(A797)</f>
        <v>17</v>
      </c>
      <c r="E797" s="0" t="n">
        <f aca="false">HOUR(A797)</f>
        <v>14</v>
      </c>
      <c r="F797" s="0" t="n">
        <f aca="false">IF(C797&gt;=6,0,1)</f>
        <v>1</v>
      </c>
      <c r="G797" s="0" t="n">
        <f aca="false">VLOOKUP(E797,Sheet1!$A$2:$B$25,2,0)</f>
        <v>1</v>
      </c>
    </row>
    <row r="798" customFormat="false" ht="15" hidden="false" customHeight="false" outlineLevel="0" collapsed="false">
      <c r="A798" s="13" t="n">
        <v>44578.6041666667</v>
      </c>
      <c r="B798" s="12" t="n">
        <v>687.38</v>
      </c>
      <c r="C798" s="0" t="n">
        <f aca="false">WEEKDAY(A798,2)</f>
        <v>1</v>
      </c>
      <c r="D798" s="0" t="n">
        <f aca="false">DAY(A798)</f>
        <v>17</v>
      </c>
      <c r="E798" s="0" t="n">
        <f aca="false">HOUR(A798)</f>
        <v>14</v>
      </c>
      <c r="F798" s="0" t="n">
        <f aca="false">IF(C798&gt;=6,0,1)</f>
        <v>1</v>
      </c>
      <c r="G798" s="0" t="n">
        <f aca="false">VLOOKUP(E798,Sheet1!$A$2:$B$25,2,0)</f>
        <v>1</v>
      </c>
    </row>
    <row r="799" customFormat="false" ht="15" hidden="false" customHeight="false" outlineLevel="0" collapsed="false">
      <c r="A799" s="13" t="n">
        <v>44578.625</v>
      </c>
      <c r="B799" s="12" t="n">
        <v>679.465</v>
      </c>
      <c r="C799" s="0" t="n">
        <f aca="false">WEEKDAY(A799,2)</f>
        <v>1</v>
      </c>
      <c r="D799" s="0" t="n">
        <f aca="false">DAY(A799)</f>
        <v>17</v>
      </c>
      <c r="E799" s="0" t="n">
        <f aca="false">HOUR(A799)</f>
        <v>15</v>
      </c>
      <c r="F799" s="0" t="n">
        <f aca="false">IF(C799&gt;=6,0,1)</f>
        <v>1</v>
      </c>
      <c r="G799" s="0" t="n">
        <f aca="false">VLOOKUP(E799,Sheet1!$A$2:$B$25,2,0)</f>
        <v>1</v>
      </c>
    </row>
    <row r="800" customFormat="false" ht="15" hidden="false" customHeight="false" outlineLevel="0" collapsed="false">
      <c r="A800" s="13" t="n">
        <v>44578.6458333333</v>
      </c>
      <c r="B800" s="12" t="n">
        <v>666.62</v>
      </c>
      <c r="C800" s="0" t="n">
        <f aca="false">WEEKDAY(A800,2)</f>
        <v>1</v>
      </c>
      <c r="D800" s="0" t="n">
        <f aca="false">DAY(A800)</f>
        <v>17</v>
      </c>
      <c r="E800" s="0" t="n">
        <f aca="false">HOUR(A800)</f>
        <v>15</v>
      </c>
      <c r="F800" s="0" t="n">
        <f aca="false">IF(C800&gt;=6,0,1)</f>
        <v>1</v>
      </c>
      <c r="G800" s="0" t="n">
        <f aca="false">VLOOKUP(E800,Sheet1!$A$2:$B$25,2,0)</f>
        <v>1</v>
      </c>
    </row>
    <row r="801" customFormat="false" ht="15" hidden="false" customHeight="false" outlineLevel="0" collapsed="false">
      <c r="A801" s="13" t="n">
        <v>44578.6666666667</v>
      </c>
      <c r="B801" s="12" t="n">
        <v>552.476</v>
      </c>
      <c r="C801" s="0" t="n">
        <f aca="false">WEEKDAY(A801,2)</f>
        <v>1</v>
      </c>
      <c r="D801" s="0" t="n">
        <f aca="false">DAY(A801)</f>
        <v>17</v>
      </c>
      <c r="E801" s="0" t="n">
        <f aca="false">HOUR(A801)</f>
        <v>16</v>
      </c>
      <c r="F801" s="0" t="n">
        <f aca="false">IF(C801&gt;=6,0,1)</f>
        <v>1</v>
      </c>
      <c r="G801" s="0" t="n">
        <f aca="false">VLOOKUP(E801,Sheet1!$A$2:$B$25,2,0)</f>
        <v>0</v>
      </c>
    </row>
    <row r="802" customFormat="false" ht="15" hidden="false" customHeight="false" outlineLevel="0" collapsed="false">
      <c r="A802" s="13" t="n">
        <v>44578.6875</v>
      </c>
      <c r="B802" s="12" t="n">
        <v>475.676</v>
      </c>
      <c r="C802" s="0" t="n">
        <f aca="false">WEEKDAY(A802,2)</f>
        <v>1</v>
      </c>
      <c r="D802" s="0" t="n">
        <f aca="false">DAY(A802)</f>
        <v>17</v>
      </c>
      <c r="E802" s="0" t="n">
        <f aca="false">HOUR(A802)</f>
        <v>16</v>
      </c>
      <c r="F802" s="0" t="n">
        <f aca="false">IF(C802&gt;=6,0,1)</f>
        <v>1</v>
      </c>
      <c r="G802" s="0" t="n">
        <f aca="false">VLOOKUP(E802,Sheet1!$A$2:$B$25,2,0)</f>
        <v>0</v>
      </c>
    </row>
    <row r="803" customFormat="false" ht="15" hidden="false" customHeight="false" outlineLevel="0" collapsed="false">
      <c r="A803" s="13" t="n">
        <v>44578.7083333333</v>
      </c>
      <c r="B803" s="12" t="n">
        <v>422.545</v>
      </c>
      <c r="C803" s="0" t="n">
        <f aca="false">WEEKDAY(A803,2)</f>
        <v>1</v>
      </c>
      <c r="D803" s="0" t="n">
        <f aca="false">DAY(A803)</f>
        <v>17</v>
      </c>
      <c r="E803" s="0" t="n">
        <f aca="false">HOUR(A803)</f>
        <v>17</v>
      </c>
      <c r="F803" s="0" t="n">
        <f aca="false">IF(C803&gt;=6,0,1)</f>
        <v>1</v>
      </c>
      <c r="G803" s="0" t="n">
        <f aca="false">VLOOKUP(E803,Sheet1!$A$2:$B$25,2,0)</f>
        <v>0</v>
      </c>
    </row>
    <row r="804" customFormat="false" ht="15" hidden="false" customHeight="false" outlineLevel="0" collapsed="false">
      <c r="A804" s="13" t="n">
        <v>44578.7291666667</v>
      </c>
      <c r="B804" s="12" t="n">
        <v>390.74</v>
      </c>
      <c r="C804" s="0" t="n">
        <f aca="false">WEEKDAY(A804,2)</f>
        <v>1</v>
      </c>
      <c r="D804" s="0" t="n">
        <f aca="false">DAY(A804)</f>
        <v>17</v>
      </c>
      <c r="E804" s="0" t="n">
        <f aca="false">HOUR(A804)</f>
        <v>17</v>
      </c>
      <c r="F804" s="0" t="n">
        <f aca="false">IF(C804&gt;=6,0,1)</f>
        <v>1</v>
      </c>
      <c r="G804" s="0" t="n">
        <f aca="false">VLOOKUP(E804,Sheet1!$A$2:$B$25,2,0)</f>
        <v>0</v>
      </c>
    </row>
    <row r="805" customFormat="false" ht="15" hidden="false" customHeight="false" outlineLevel="0" collapsed="false">
      <c r="A805" s="13" t="n">
        <v>44578.75</v>
      </c>
      <c r="B805" s="12" t="n">
        <v>364.1</v>
      </c>
      <c r="C805" s="0" t="n">
        <f aca="false">WEEKDAY(A805,2)</f>
        <v>1</v>
      </c>
      <c r="D805" s="0" t="n">
        <f aca="false">DAY(A805)</f>
        <v>17</v>
      </c>
      <c r="E805" s="0" t="n">
        <f aca="false">HOUR(A805)</f>
        <v>18</v>
      </c>
      <c r="F805" s="0" t="n">
        <f aca="false">IF(C805&gt;=6,0,1)</f>
        <v>1</v>
      </c>
      <c r="G805" s="0" t="n">
        <f aca="false">VLOOKUP(E805,Sheet1!$A$2:$B$25,2,0)</f>
        <v>0</v>
      </c>
    </row>
    <row r="806" customFormat="false" ht="15" hidden="false" customHeight="false" outlineLevel="0" collapsed="false">
      <c r="A806" s="13" t="n">
        <v>44578.7708333333</v>
      </c>
      <c r="B806" s="12" t="n">
        <v>371.041</v>
      </c>
      <c r="C806" s="0" t="n">
        <f aca="false">WEEKDAY(A806,2)</f>
        <v>1</v>
      </c>
      <c r="D806" s="0" t="n">
        <f aca="false">DAY(A806)</f>
        <v>17</v>
      </c>
      <c r="E806" s="0" t="n">
        <f aca="false">HOUR(A806)</f>
        <v>18</v>
      </c>
      <c r="F806" s="0" t="n">
        <f aca="false">IF(C806&gt;=6,0,1)</f>
        <v>1</v>
      </c>
      <c r="G806" s="0" t="n">
        <f aca="false">VLOOKUP(E806,Sheet1!$A$2:$B$25,2,0)</f>
        <v>0</v>
      </c>
    </row>
    <row r="807" customFormat="false" ht="15" hidden="false" customHeight="false" outlineLevel="0" collapsed="false">
      <c r="A807" s="13" t="n">
        <v>44578.7916666667</v>
      </c>
      <c r="B807" s="12" t="n">
        <v>338.876</v>
      </c>
      <c r="C807" s="0" t="n">
        <f aca="false">WEEKDAY(A807,2)</f>
        <v>1</v>
      </c>
      <c r="D807" s="0" t="n">
        <f aca="false">DAY(A807)</f>
        <v>17</v>
      </c>
      <c r="E807" s="0" t="n">
        <f aca="false">HOUR(A807)</f>
        <v>19</v>
      </c>
      <c r="F807" s="0" t="n">
        <f aca="false">IF(C807&gt;=6,0,1)</f>
        <v>1</v>
      </c>
      <c r="G807" s="0" t="n">
        <f aca="false">VLOOKUP(E807,Sheet1!$A$2:$B$25,2,0)</f>
        <v>0</v>
      </c>
    </row>
    <row r="808" customFormat="false" ht="15" hidden="false" customHeight="false" outlineLevel="0" collapsed="false">
      <c r="A808" s="13" t="n">
        <v>44578.8125</v>
      </c>
      <c r="B808" s="12" t="n">
        <v>326.401</v>
      </c>
      <c r="C808" s="0" t="n">
        <f aca="false">WEEKDAY(A808,2)</f>
        <v>1</v>
      </c>
      <c r="D808" s="0" t="n">
        <f aca="false">DAY(A808)</f>
        <v>17</v>
      </c>
      <c r="E808" s="0" t="n">
        <f aca="false">HOUR(A808)</f>
        <v>19</v>
      </c>
      <c r="F808" s="0" t="n">
        <f aca="false">IF(C808&gt;=6,0,1)</f>
        <v>1</v>
      </c>
      <c r="G808" s="0" t="n">
        <f aca="false">VLOOKUP(E808,Sheet1!$A$2:$B$25,2,0)</f>
        <v>0</v>
      </c>
    </row>
    <row r="809" customFormat="false" ht="15" hidden="false" customHeight="false" outlineLevel="0" collapsed="false">
      <c r="A809" s="13" t="n">
        <v>44578.8333333333</v>
      </c>
      <c r="B809" s="12" t="n">
        <v>336.596</v>
      </c>
      <c r="C809" s="0" t="n">
        <f aca="false">WEEKDAY(A809,2)</f>
        <v>1</v>
      </c>
      <c r="D809" s="0" t="n">
        <f aca="false">DAY(A809)</f>
        <v>17</v>
      </c>
      <c r="E809" s="0" t="n">
        <f aca="false">HOUR(A809)</f>
        <v>20</v>
      </c>
      <c r="F809" s="0" t="n">
        <f aca="false">IF(C809&gt;=6,0,1)</f>
        <v>1</v>
      </c>
      <c r="G809" s="0" t="n">
        <f aca="false">VLOOKUP(E809,Sheet1!$A$2:$B$25,2,0)</f>
        <v>0</v>
      </c>
    </row>
    <row r="810" customFormat="false" ht="15" hidden="false" customHeight="false" outlineLevel="0" collapsed="false">
      <c r="A810" s="13" t="n">
        <v>44578.8541666667</v>
      </c>
      <c r="B810" s="12" t="n">
        <v>331.676</v>
      </c>
      <c r="C810" s="0" t="n">
        <f aca="false">WEEKDAY(A810,2)</f>
        <v>1</v>
      </c>
      <c r="D810" s="0" t="n">
        <f aca="false">DAY(A810)</f>
        <v>17</v>
      </c>
      <c r="E810" s="0" t="n">
        <f aca="false">HOUR(A810)</f>
        <v>20</v>
      </c>
      <c r="F810" s="0" t="n">
        <f aca="false">IF(C810&gt;=6,0,1)</f>
        <v>1</v>
      </c>
      <c r="G810" s="0" t="n">
        <f aca="false">VLOOKUP(E810,Sheet1!$A$2:$B$25,2,0)</f>
        <v>0</v>
      </c>
    </row>
    <row r="811" customFormat="false" ht="15" hidden="false" customHeight="false" outlineLevel="0" collapsed="false">
      <c r="A811" s="13" t="n">
        <v>44578.875</v>
      </c>
      <c r="B811" s="12" t="n">
        <v>328.46</v>
      </c>
      <c r="C811" s="0" t="n">
        <f aca="false">WEEKDAY(A811,2)</f>
        <v>1</v>
      </c>
      <c r="D811" s="0" t="n">
        <f aca="false">DAY(A811)</f>
        <v>17</v>
      </c>
      <c r="E811" s="0" t="n">
        <f aca="false">HOUR(A811)</f>
        <v>21</v>
      </c>
      <c r="F811" s="0" t="n">
        <f aca="false">IF(C811&gt;=6,0,1)</f>
        <v>1</v>
      </c>
      <c r="G811" s="0" t="n">
        <f aca="false">VLOOKUP(E811,Sheet1!$A$2:$B$25,2,0)</f>
        <v>0</v>
      </c>
    </row>
    <row r="812" customFormat="false" ht="15" hidden="false" customHeight="false" outlineLevel="0" collapsed="false">
      <c r="A812" s="13" t="n">
        <v>44578.8958333333</v>
      </c>
      <c r="B812" s="12" t="n">
        <v>329.06</v>
      </c>
      <c r="C812" s="0" t="n">
        <f aca="false">WEEKDAY(A812,2)</f>
        <v>1</v>
      </c>
      <c r="D812" s="0" t="n">
        <f aca="false">DAY(A812)</f>
        <v>17</v>
      </c>
      <c r="E812" s="0" t="n">
        <f aca="false">HOUR(A812)</f>
        <v>21</v>
      </c>
      <c r="F812" s="0" t="n">
        <f aca="false">IF(C812&gt;=6,0,1)</f>
        <v>1</v>
      </c>
      <c r="G812" s="0" t="n">
        <f aca="false">VLOOKUP(E812,Sheet1!$A$2:$B$25,2,0)</f>
        <v>0</v>
      </c>
    </row>
    <row r="813" customFormat="false" ht="15" hidden="false" customHeight="false" outlineLevel="0" collapsed="false">
      <c r="A813" s="13" t="n">
        <v>44578.9166666667</v>
      </c>
      <c r="B813" s="12" t="n">
        <v>334.441</v>
      </c>
      <c r="C813" s="0" t="n">
        <f aca="false">WEEKDAY(A813,2)</f>
        <v>1</v>
      </c>
      <c r="D813" s="0" t="n">
        <f aca="false">DAY(A813)</f>
        <v>17</v>
      </c>
      <c r="E813" s="0" t="n">
        <f aca="false">HOUR(A813)</f>
        <v>22</v>
      </c>
      <c r="F813" s="0" t="n">
        <f aca="false">IF(C813&gt;=6,0,1)</f>
        <v>1</v>
      </c>
      <c r="G813" s="0" t="n">
        <f aca="false">VLOOKUP(E813,Sheet1!$A$2:$B$25,2,0)</f>
        <v>0</v>
      </c>
    </row>
    <row r="814" customFormat="false" ht="15" hidden="false" customHeight="false" outlineLevel="0" collapsed="false">
      <c r="A814" s="13" t="n">
        <v>44578.9375</v>
      </c>
      <c r="B814" s="12" t="n">
        <v>312.74</v>
      </c>
      <c r="C814" s="0" t="n">
        <f aca="false">WEEKDAY(A814,2)</f>
        <v>1</v>
      </c>
      <c r="D814" s="0" t="n">
        <f aca="false">DAY(A814)</f>
        <v>17</v>
      </c>
      <c r="E814" s="0" t="n">
        <f aca="false">HOUR(A814)</f>
        <v>22</v>
      </c>
      <c r="F814" s="0" t="n">
        <f aca="false">IF(C814&gt;=6,0,1)</f>
        <v>1</v>
      </c>
      <c r="G814" s="0" t="n">
        <f aca="false">VLOOKUP(E814,Sheet1!$A$2:$B$25,2,0)</f>
        <v>0</v>
      </c>
    </row>
    <row r="815" customFormat="false" ht="15" hidden="false" customHeight="false" outlineLevel="0" collapsed="false">
      <c r="A815" s="13" t="n">
        <v>44578.9583333333</v>
      </c>
      <c r="B815" s="12" t="n">
        <v>310.196</v>
      </c>
      <c r="C815" s="0" t="n">
        <f aca="false">WEEKDAY(A815,2)</f>
        <v>1</v>
      </c>
      <c r="D815" s="0" t="n">
        <f aca="false">DAY(A815)</f>
        <v>17</v>
      </c>
      <c r="E815" s="0" t="n">
        <f aca="false">HOUR(A815)</f>
        <v>23</v>
      </c>
      <c r="F815" s="0" t="n">
        <f aca="false">IF(C815&gt;=6,0,1)</f>
        <v>1</v>
      </c>
      <c r="G815" s="0" t="n">
        <f aca="false">VLOOKUP(E815,Sheet1!$A$2:$B$25,2,0)</f>
        <v>0</v>
      </c>
    </row>
    <row r="816" customFormat="false" ht="15" hidden="false" customHeight="false" outlineLevel="0" collapsed="false">
      <c r="A816" s="13" t="n">
        <v>44578.9791666667</v>
      </c>
      <c r="B816" s="12" t="n">
        <v>304.436</v>
      </c>
      <c r="C816" s="0" t="n">
        <f aca="false">WEEKDAY(A816,2)</f>
        <v>1</v>
      </c>
      <c r="D816" s="0" t="n">
        <f aca="false">DAY(A816)</f>
        <v>17</v>
      </c>
      <c r="E816" s="0" t="n">
        <f aca="false">HOUR(A816)</f>
        <v>23</v>
      </c>
      <c r="F816" s="0" t="n">
        <f aca="false">IF(C816&gt;=6,0,1)</f>
        <v>1</v>
      </c>
      <c r="G816" s="0" t="n">
        <f aca="false">VLOOKUP(E816,Sheet1!$A$2:$B$25,2,0)</f>
        <v>0</v>
      </c>
    </row>
    <row r="817" customFormat="false" ht="15" hidden="false" customHeight="false" outlineLevel="0" collapsed="false">
      <c r="A817" s="13" t="n">
        <v>44579</v>
      </c>
      <c r="B817" s="12" t="n">
        <v>305.905</v>
      </c>
      <c r="C817" s="0" t="n">
        <f aca="false">WEEKDAY(A817,2)</f>
        <v>2</v>
      </c>
      <c r="D817" s="0" t="n">
        <f aca="false">DAY(A817)</f>
        <v>18</v>
      </c>
      <c r="E817" s="0" t="n">
        <f aca="false">HOUR(A817)</f>
        <v>0</v>
      </c>
      <c r="F817" s="0" t="n">
        <f aca="false">IF(C817&gt;=6,0,1)</f>
        <v>1</v>
      </c>
      <c r="G817" s="0" t="n">
        <f aca="false">VLOOKUP(E817,Sheet1!$A$2:$B$25,2,0)</f>
        <v>0</v>
      </c>
    </row>
    <row r="818" customFormat="false" ht="15" hidden="false" customHeight="false" outlineLevel="0" collapsed="false">
      <c r="A818" s="13" t="n">
        <v>44579.0208333333</v>
      </c>
      <c r="B818" s="12" t="n">
        <v>307.82</v>
      </c>
      <c r="C818" s="0" t="n">
        <f aca="false">WEEKDAY(A818,2)</f>
        <v>2</v>
      </c>
      <c r="D818" s="0" t="n">
        <f aca="false">DAY(A818)</f>
        <v>18</v>
      </c>
      <c r="E818" s="0" t="n">
        <f aca="false">HOUR(A818)</f>
        <v>0</v>
      </c>
      <c r="F818" s="0" t="n">
        <f aca="false">IF(C818&gt;=6,0,1)</f>
        <v>1</v>
      </c>
      <c r="G818" s="0" t="n">
        <f aca="false">VLOOKUP(E818,Sheet1!$A$2:$B$25,2,0)</f>
        <v>0</v>
      </c>
    </row>
    <row r="819" customFormat="false" ht="15" hidden="false" customHeight="false" outlineLevel="0" collapsed="false">
      <c r="A819" s="13" t="n">
        <v>44579.0416666667</v>
      </c>
      <c r="B819" s="12" t="n">
        <v>304.076</v>
      </c>
      <c r="C819" s="0" t="n">
        <f aca="false">WEEKDAY(A819,2)</f>
        <v>2</v>
      </c>
      <c r="D819" s="0" t="n">
        <f aca="false">DAY(A819)</f>
        <v>18</v>
      </c>
      <c r="E819" s="0" t="n">
        <f aca="false">HOUR(A819)</f>
        <v>1</v>
      </c>
      <c r="F819" s="0" t="n">
        <f aca="false">IF(C819&gt;=6,0,1)</f>
        <v>1</v>
      </c>
      <c r="G819" s="0" t="n">
        <f aca="false">VLOOKUP(E819,Sheet1!$A$2:$B$25,2,0)</f>
        <v>0</v>
      </c>
    </row>
    <row r="820" customFormat="false" ht="15" hidden="false" customHeight="false" outlineLevel="0" collapsed="false">
      <c r="A820" s="13" t="n">
        <v>44579.0625</v>
      </c>
      <c r="B820" s="12" t="n">
        <v>308.156</v>
      </c>
      <c r="C820" s="0" t="n">
        <f aca="false">WEEKDAY(A820,2)</f>
        <v>2</v>
      </c>
      <c r="D820" s="0" t="n">
        <f aca="false">DAY(A820)</f>
        <v>18</v>
      </c>
      <c r="E820" s="0" t="n">
        <f aca="false">HOUR(A820)</f>
        <v>1</v>
      </c>
      <c r="F820" s="0" t="n">
        <f aca="false">IF(C820&gt;=6,0,1)</f>
        <v>1</v>
      </c>
      <c r="G820" s="0" t="n">
        <f aca="false">VLOOKUP(E820,Sheet1!$A$2:$B$25,2,0)</f>
        <v>0</v>
      </c>
    </row>
    <row r="821" customFormat="false" ht="15" hidden="false" customHeight="false" outlineLevel="0" collapsed="false">
      <c r="A821" s="13" t="n">
        <v>44579.0833333333</v>
      </c>
      <c r="B821" s="12" t="n">
        <v>315.145</v>
      </c>
      <c r="C821" s="0" t="n">
        <f aca="false">WEEKDAY(A821,2)</f>
        <v>2</v>
      </c>
      <c r="D821" s="0" t="n">
        <f aca="false">DAY(A821)</f>
        <v>18</v>
      </c>
      <c r="E821" s="0" t="n">
        <f aca="false">HOUR(A821)</f>
        <v>2</v>
      </c>
      <c r="F821" s="0" t="n">
        <f aca="false">IF(C821&gt;=6,0,1)</f>
        <v>1</v>
      </c>
      <c r="G821" s="0" t="n">
        <f aca="false">VLOOKUP(E821,Sheet1!$A$2:$B$25,2,0)</f>
        <v>0</v>
      </c>
    </row>
    <row r="822" customFormat="false" ht="15" hidden="false" customHeight="false" outlineLevel="0" collapsed="false">
      <c r="A822" s="13" t="n">
        <v>44579.1041666667</v>
      </c>
      <c r="B822" s="12" t="n">
        <v>311.516</v>
      </c>
      <c r="C822" s="0" t="n">
        <f aca="false">WEEKDAY(A822,2)</f>
        <v>2</v>
      </c>
      <c r="D822" s="0" t="n">
        <f aca="false">DAY(A822)</f>
        <v>18</v>
      </c>
      <c r="E822" s="0" t="n">
        <f aca="false">HOUR(A822)</f>
        <v>2</v>
      </c>
      <c r="F822" s="0" t="n">
        <f aca="false">IF(C822&gt;=6,0,1)</f>
        <v>1</v>
      </c>
      <c r="G822" s="0" t="n">
        <f aca="false">VLOOKUP(E822,Sheet1!$A$2:$B$25,2,0)</f>
        <v>0</v>
      </c>
    </row>
    <row r="823" customFormat="false" ht="15" hidden="false" customHeight="false" outlineLevel="0" collapsed="false">
      <c r="A823" s="13" t="n">
        <v>44579.125</v>
      </c>
      <c r="B823" s="12" t="n">
        <v>312.356</v>
      </c>
      <c r="C823" s="0" t="n">
        <f aca="false">WEEKDAY(A823,2)</f>
        <v>2</v>
      </c>
      <c r="D823" s="0" t="n">
        <f aca="false">DAY(A823)</f>
        <v>18</v>
      </c>
      <c r="E823" s="0" t="n">
        <f aca="false">HOUR(A823)</f>
        <v>3</v>
      </c>
      <c r="F823" s="0" t="n">
        <f aca="false">IF(C823&gt;=6,0,1)</f>
        <v>1</v>
      </c>
      <c r="G823" s="0" t="n">
        <f aca="false">VLOOKUP(E823,Sheet1!$A$2:$B$25,2,0)</f>
        <v>0</v>
      </c>
    </row>
    <row r="824" customFormat="false" ht="15" hidden="false" customHeight="false" outlineLevel="0" collapsed="false">
      <c r="A824" s="13" t="n">
        <v>44579.1458333333</v>
      </c>
      <c r="B824" s="12" t="n">
        <v>310.105</v>
      </c>
      <c r="C824" s="0" t="n">
        <f aca="false">WEEKDAY(A824,2)</f>
        <v>2</v>
      </c>
      <c r="D824" s="0" t="n">
        <f aca="false">DAY(A824)</f>
        <v>18</v>
      </c>
      <c r="E824" s="0" t="n">
        <f aca="false">HOUR(A824)</f>
        <v>3</v>
      </c>
      <c r="F824" s="0" t="n">
        <f aca="false">IF(C824&gt;=6,0,1)</f>
        <v>1</v>
      </c>
      <c r="G824" s="0" t="n">
        <f aca="false">VLOOKUP(E824,Sheet1!$A$2:$B$25,2,0)</f>
        <v>0</v>
      </c>
    </row>
    <row r="825" customFormat="false" ht="15" hidden="false" customHeight="false" outlineLevel="0" collapsed="false">
      <c r="A825" s="13" t="n">
        <v>44579.1666666667</v>
      </c>
      <c r="B825" s="12" t="n">
        <v>322.7</v>
      </c>
      <c r="C825" s="0" t="n">
        <f aca="false">WEEKDAY(A825,2)</f>
        <v>2</v>
      </c>
      <c r="D825" s="0" t="n">
        <f aca="false">DAY(A825)</f>
        <v>18</v>
      </c>
      <c r="E825" s="0" t="n">
        <f aca="false">HOUR(A825)</f>
        <v>4</v>
      </c>
      <c r="F825" s="0" t="n">
        <f aca="false">IF(C825&gt;=6,0,1)</f>
        <v>1</v>
      </c>
      <c r="G825" s="0" t="n">
        <f aca="false">VLOOKUP(E825,Sheet1!$A$2:$B$25,2,0)</f>
        <v>1</v>
      </c>
    </row>
    <row r="826" customFormat="false" ht="15" hidden="false" customHeight="false" outlineLevel="0" collapsed="false">
      <c r="A826" s="13" t="n">
        <v>44579.1875</v>
      </c>
      <c r="B826" s="12" t="n">
        <v>724.58</v>
      </c>
      <c r="C826" s="0" t="n">
        <f aca="false">WEEKDAY(A826,2)</f>
        <v>2</v>
      </c>
      <c r="D826" s="0" t="n">
        <f aca="false">DAY(A826)</f>
        <v>18</v>
      </c>
      <c r="E826" s="0" t="n">
        <f aca="false">HOUR(A826)</f>
        <v>4</v>
      </c>
      <c r="F826" s="0" t="n">
        <f aca="false">IF(C826&gt;=6,0,1)</f>
        <v>1</v>
      </c>
      <c r="G826" s="0" t="n">
        <f aca="false">VLOOKUP(E826,Sheet1!$A$2:$B$25,2,0)</f>
        <v>1</v>
      </c>
    </row>
    <row r="827" customFormat="false" ht="15" hidden="false" customHeight="false" outlineLevel="0" collapsed="false">
      <c r="A827" s="13" t="n">
        <v>44579.2083333333</v>
      </c>
      <c r="B827" s="12" t="n">
        <v>661.081</v>
      </c>
      <c r="C827" s="0" t="n">
        <f aca="false">WEEKDAY(A827,2)</f>
        <v>2</v>
      </c>
      <c r="D827" s="0" t="n">
        <f aca="false">DAY(A827)</f>
        <v>18</v>
      </c>
      <c r="E827" s="0" t="n">
        <f aca="false">HOUR(A827)</f>
        <v>5</v>
      </c>
      <c r="F827" s="0" t="n">
        <f aca="false">IF(C827&gt;=6,0,1)</f>
        <v>1</v>
      </c>
      <c r="G827" s="0" t="n">
        <f aca="false">VLOOKUP(E827,Sheet1!$A$2:$B$25,2,0)</f>
        <v>1</v>
      </c>
    </row>
    <row r="828" customFormat="false" ht="15" hidden="false" customHeight="false" outlineLevel="0" collapsed="false">
      <c r="A828" s="13" t="n">
        <v>44579.2291666667</v>
      </c>
      <c r="B828" s="12" t="n">
        <v>674.18</v>
      </c>
      <c r="C828" s="0" t="n">
        <f aca="false">WEEKDAY(A828,2)</f>
        <v>2</v>
      </c>
      <c r="D828" s="0" t="n">
        <f aca="false">DAY(A828)</f>
        <v>18</v>
      </c>
      <c r="E828" s="0" t="n">
        <f aca="false">HOUR(A828)</f>
        <v>5</v>
      </c>
      <c r="F828" s="0" t="n">
        <f aca="false">IF(C828&gt;=6,0,1)</f>
        <v>1</v>
      </c>
      <c r="G828" s="0" t="n">
        <f aca="false">VLOOKUP(E828,Sheet1!$A$2:$B$25,2,0)</f>
        <v>1</v>
      </c>
    </row>
    <row r="829" customFormat="false" ht="15" hidden="false" customHeight="false" outlineLevel="0" collapsed="false">
      <c r="A829" s="13" t="n">
        <v>44579.25</v>
      </c>
      <c r="B829" s="12" t="n">
        <v>737.276</v>
      </c>
      <c r="C829" s="0" t="n">
        <f aca="false">WEEKDAY(A829,2)</f>
        <v>2</v>
      </c>
      <c r="D829" s="0" t="n">
        <f aca="false">DAY(A829)</f>
        <v>18</v>
      </c>
      <c r="E829" s="0" t="n">
        <f aca="false">HOUR(A829)</f>
        <v>6</v>
      </c>
      <c r="F829" s="0" t="n">
        <f aca="false">IF(C829&gt;=6,0,1)</f>
        <v>1</v>
      </c>
      <c r="G829" s="0" t="n">
        <f aca="false">VLOOKUP(E829,Sheet1!$A$2:$B$25,2,0)</f>
        <v>1</v>
      </c>
    </row>
    <row r="830" customFormat="false" ht="15" hidden="false" customHeight="false" outlineLevel="0" collapsed="false">
      <c r="A830" s="13" t="n">
        <v>44579.2708333333</v>
      </c>
      <c r="B830" s="12" t="n">
        <v>830.636</v>
      </c>
      <c r="C830" s="0" t="n">
        <f aca="false">WEEKDAY(A830,2)</f>
        <v>2</v>
      </c>
      <c r="D830" s="0" t="n">
        <f aca="false">DAY(A830)</f>
        <v>18</v>
      </c>
      <c r="E830" s="0" t="n">
        <f aca="false">HOUR(A830)</f>
        <v>6</v>
      </c>
      <c r="F830" s="0" t="n">
        <f aca="false">IF(C830&gt;=6,0,1)</f>
        <v>1</v>
      </c>
      <c r="G830" s="0" t="n">
        <f aca="false">VLOOKUP(E830,Sheet1!$A$2:$B$25,2,0)</f>
        <v>1</v>
      </c>
    </row>
    <row r="831" customFormat="false" ht="15" hidden="false" customHeight="false" outlineLevel="0" collapsed="false">
      <c r="A831" s="13" t="n">
        <v>44579.2916666667</v>
      </c>
      <c r="B831" s="12" t="n">
        <v>888.001</v>
      </c>
      <c r="C831" s="0" t="n">
        <f aca="false">WEEKDAY(A831,2)</f>
        <v>2</v>
      </c>
      <c r="D831" s="0" t="n">
        <f aca="false">DAY(A831)</f>
        <v>18</v>
      </c>
      <c r="E831" s="0" t="n">
        <f aca="false">HOUR(A831)</f>
        <v>7</v>
      </c>
      <c r="F831" s="0" t="n">
        <f aca="false">IF(C831&gt;=6,0,1)</f>
        <v>1</v>
      </c>
      <c r="G831" s="0" t="n">
        <f aca="false">VLOOKUP(E831,Sheet1!$A$2:$B$25,2,0)</f>
        <v>1</v>
      </c>
    </row>
    <row r="832" customFormat="false" ht="15" hidden="false" customHeight="false" outlineLevel="0" collapsed="false">
      <c r="A832" s="13" t="n">
        <v>44579.3125</v>
      </c>
      <c r="B832" s="12" t="n">
        <v>860.18</v>
      </c>
      <c r="C832" s="0" t="n">
        <f aca="false">WEEKDAY(A832,2)</f>
        <v>2</v>
      </c>
      <c r="D832" s="0" t="n">
        <f aca="false">DAY(A832)</f>
        <v>18</v>
      </c>
      <c r="E832" s="0" t="n">
        <f aca="false">HOUR(A832)</f>
        <v>7</v>
      </c>
      <c r="F832" s="0" t="n">
        <f aca="false">IF(C832&gt;=6,0,1)</f>
        <v>1</v>
      </c>
      <c r="G832" s="0" t="n">
        <f aca="false">VLOOKUP(E832,Sheet1!$A$2:$B$25,2,0)</f>
        <v>1</v>
      </c>
    </row>
    <row r="833" customFormat="false" ht="15" hidden="false" customHeight="false" outlineLevel="0" collapsed="false">
      <c r="A833" s="13" t="n">
        <v>44579.3333333333</v>
      </c>
      <c r="B833" s="12" t="n">
        <v>859.1</v>
      </c>
      <c r="C833" s="0" t="n">
        <f aca="false">WEEKDAY(A833,2)</f>
        <v>2</v>
      </c>
      <c r="D833" s="0" t="n">
        <f aca="false">DAY(A833)</f>
        <v>18</v>
      </c>
      <c r="E833" s="0" t="n">
        <f aca="false">HOUR(A833)</f>
        <v>8</v>
      </c>
      <c r="F833" s="0" t="n">
        <f aca="false">IF(C833&gt;=6,0,1)</f>
        <v>1</v>
      </c>
      <c r="G833" s="0" t="n">
        <f aca="false">VLOOKUP(E833,Sheet1!$A$2:$B$25,2,0)</f>
        <v>1</v>
      </c>
    </row>
    <row r="834" customFormat="false" ht="15" hidden="false" customHeight="false" outlineLevel="0" collapsed="false">
      <c r="A834" s="13" t="n">
        <v>44579.3541666667</v>
      </c>
      <c r="B834" s="12" t="n">
        <v>813.86</v>
      </c>
      <c r="C834" s="0" t="n">
        <f aca="false">WEEKDAY(A834,2)</f>
        <v>2</v>
      </c>
      <c r="D834" s="0" t="n">
        <f aca="false">DAY(A834)</f>
        <v>18</v>
      </c>
      <c r="E834" s="0" t="n">
        <f aca="false">HOUR(A834)</f>
        <v>8</v>
      </c>
      <c r="F834" s="0" t="n">
        <f aca="false">IF(C834&gt;=6,0,1)</f>
        <v>1</v>
      </c>
      <c r="G834" s="0" t="n">
        <f aca="false">VLOOKUP(E834,Sheet1!$A$2:$B$25,2,0)</f>
        <v>1</v>
      </c>
    </row>
    <row r="835" customFormat="false" ht="15" hidden="false" customHeight="false" outlineLevel="0" collapsed="false">
      <c r="A835" s="13" t="n">
        <v>44579.375</v>
      </c>
      <c r="B835" s="12" t="n">
        <v>909.26</v>
      </c>
      <c r="C835" s="0" t="n">
        <f aca="false">WEEKDAY(A835,2)</f>
        <v>2</v>
      </c>
      <c r="D835" s="0" t="n">
        <f aca="false">DAY(A835)</f>
        <v>18</v>
      </c>
      <c r="E835" s="0" t="n">
        <f aca="false">HOUR(A835)</f>
        <v>9</v>
      </c>
      <c r="F835" s="0" t="n">
        <f aca="false">IF(C835&gt;=6,0,1)</f>
        <v>1</v>
      </c>
      <c r="G835" s="0" t="n">
        <f aca="false">VLOOKUP(E835,Sheet1!$A$2:$B$25,2,0)</f>
        <v>1</v>
      </c>
    </row>
    <row r="836" customFormat="false" ht="15" hidden="false" customHeight="false" outlineLevel="0" collapsed="false">
      <c r="A836" s="13" t="n">
        <v>44579.3958333333</v>
      </c>
      <c r="B836" s="12" t="n">
        <v>881.876</v>
      </c>
      <c r="C836" s="0" t="n">
        <f aca="false">WEEKDAY(A836,2)</f>
        <v>2</v>
      </c>
      <c r="D836" s="0" t="n">
        <f aca="false">DAY(A836)</f>
        <v>18</v>
      </c>
      <c r="E836" s="0" t="n">
        <f aca="false">HOUR(A836)</f>
        <v>9</v>
      </c>
      <c r="F836" s="0" t="n">
        <f aca="false">IF(C836&gt;=6,0,1)</f>
        <v>1</v>
      </c>
      <c r="G836" s="0" t="n">
        <f aca="false">VLOOKUP(E836,Sheet1!$A$2:$B$25,2,0)</f>
        <v>1</v>
      </c>
    </row>
    <row r="837" customFormat="false" ht="15" hidden="false" customHeight="false" outlineLevel="0" collapsed="false">
      <c r="A837" s="13" t="n">
        <v>44579.4166666667</v>
      </c>
      <c r="B837" s="12" t="n">
        <v>830.425</v>
      </c>
      <c r="C837" s="0" t="n">
        <f aca="false">WEEKDAY(A837,2)</f>
        <v>2</v>
      </c>
      <c r="D837" s="0" t="n">
        <f aca="false">DAY(A837)</f>
        <v>18</v>
      </c>
      <c r="E837" s="0" t="n">
        <f aca="false">HOUR(A837)</f>
        <v>10</v>
      </c>
      <c r="F837" s="0" t="n">
        <f aca="false">IF(C837&gt;=6,0,1)</f>
        <v>1</v>
      </c>
      <c r="G837" s="0" t="n">
        <f aca="false">VLOOKUP(E837,Sheet1!$A$2:$B$25,2,0)</f>
        <v>1</v>
      </c>
    </row>
    <row r="838" customFormat="false" ht="15" hidden="false" customHeight="false" outlineLevel="0" collapsed="false">
      <c r="A838" s="13" t="n">
        <v>44579.4375</v>
      </c>
      <c r="B838" s="12" t="n">
        <v>804.74</v>
      </c>
      <c r="C838" s="0" t="n">
        <f aca="false">WEEKDAY(A838,2)</f>
        <v>2</v>
      </c>
      <c r="D838" s="0" t="n">
        <f aca="false">DAY(A838)</f>
        <v>18</v>
      </c>
      <c r="E838" s="0" t="n">
        <f aca="false">HOUR(A838)</f>
        <v>10</v>
      </c>
      <c r="F838" s="0" t="n">
        <f aca="false">IF(C838&gt;=6,0,1)</f>
        <v>1</v>
      </c>
      <c r="G838" s="0" t="n">
        <f aca="false">VLOOKUP(E838,Sheet1!$A$2:$B$25,2,0)</f>
        <v>1</v>
      </c>
    </row>
    <row r="839" customFormat="false" ht="15" hidden="false" customHeight="false" outlineLevel="0" collapsed="false">
      <c r="A839" s="13" t="n">
        <v>44579.4583333333</v>
      </c>
      <c r="B839" s="12" t="n">
        <v>890.996</v>
      </c>
      <c r="C839" s="0" t="n">
        <f aca="false">WEEKDAY(A839,2)</f>
        <v>2</v>
      </c>
      <c r="D839" s="0" t="n">
        <f aca="false">DAY(A839)</f>
        <v>18</v>
      </c>
      <c r="E839" s="0" t="n">
        <f aca="false">HOUR(A839)</f>
        <v>11</v>
      </c>
      <c r="F839" s="0" t="n">
        <f aca="false">IF(C839&gt;=6,0,1)</f>
        <v>1</v>
      </c>
      <c r="G839" s="0" t="n">
        <f aca="false">VLOOKUP(E839,Sheet1!$A$2:$B$25,2,0)</f>
        <v>1</v>
      </c>
    </row>
    <row r="840" customFormat="false" ht="15" hidden="false" customHeight="false" outlineLevel="0" collapsed="false">
      <c r="A840" s="13" t="n">
        <v>44579.4791666667</v>
      </c>
      <c r="B840" s="12" t="n">
        <v>832.46</v>
      </c>
      <c r="C840" s="0" t="n">
        <f aca="false">WEEKDAY(A840,2)</f>
        <v>2</v>
      </c>
      <c r="D840" s="0" t="n">
        <f aca="false">DAY(A840)</f>
        <v>18</v>
      </c>
      <c r="E840" s="0" t="n">
        <f aca="false">HOUR(A840)</f>
        <v>11</v>
      </c>
      <c r="F840" s="0" t="n">
        <f aca="false">IF(C840&gt;=6,0,1)</f>
        <v>1</v>
      </c>
      <c r="G840" s="0" t="n">
        <f aca="false">VLOOKUP(E840,Sheet1!$A$2:$B$25,2,0)</f>
        <v>1</v>
      </c>
    </row>
    <row r="841" customFormat="false" ht="15" hidden="false" customHeight="false" outlineLevel="0" collapsed="false">
      <c r="A841" s="13" t="n">
        <v>44579.5</v>
      </c>
      <c r="B841" s="12" t="n">
        <v>884.065</v>
      </c>
      <c r="C841" s="0" t="n">
        <f aca="false">WEEKDAY(A841,2)</f>
        <v>2</v>
      </c>
      <c r="D841" s="0" t="n">
        <f aca="false">DAY(A841)</f>
        <v>18</v>
      </c>
      <c r="E841" s="0" t="n">
        <f aca="false">HOUR(A841)</f>
        <v>12</v>
      </c>
      <c r="F841" s="0" t="n">
        <f aca="false">IF(C841&gt;=6,0,1)</f>
        <v>1</v>
      </c>
      <c r="G841" s="0" t="n">
        <f aca="false">VLOOKUP(E841,Sheet1!$A$2:$B$25,2,0)</f>
        <v>1</v>
      </c>
    </row>
    <row r="842" customFormat="false" ht="15" hidden="false" customHeight="false" outlineLevel="0" collapsed="false">
      <c r="A842" s="13" t="n">
        <v>44579.5208333333</v>
      </c>
      <c r="B842" s="12" t="n">
        <v>876.236</v>
      </c>
      <c r="C842" s="0" t="n">
        <f aca="false">WEEKDAY(A842,2)</f>
        <v>2</v>
      </c>
      <c r="D842" s="0" t="n">
        <f aca="false">DAY(A842)</f>
        <v>18</v>
      </c>
      <c r="E842" s="0" t="n">
        <f aca="false">HOUR(A842)</f>
        <v>12</v>
      </c>
      <c r="F842" s="0" t="n">
        <f aca="false">IF(C842&gt;=6,0,1)</f>
        <v>1</v>
      </c>
      <c r="G842" s="0" t="n">
        <f aca="false">VLOOKUP(E842,Sheet1!$A$2:$B$25,2,0)</f>
        <v>1</v>
      </c>
    </row>
    <row r="843" customFormat="false" ht="15" hidden="false" customHeight="false" outlineLevel="0" collapsed="false">
      <c r="A843" s="13" t="n">
        <v>44579.5416666667</v>
      </c>
      <c r="B843" s="12" t="n">
        <v>839.156</v>
      </c>
      <c r="C843" s="0" t="n">
        <f aca="false">WEEKDAY(A843,2)</f>
        <v>2</v>
      </c>
      <c r="D843" s="0" t="n">
        <f aca="false">DAY(A843)</f>
        <v>18</v>
      </c>
      <c r="E843" s="0" t="n">
        <f aca="false">HOUR(A843)</f>
        <v>13</v>
      </c>
      <c r="F843" s="0" t="n">
        <f aca="false">IF(C843&gt;=6,0,1)</f>
        <v>1</v>
      </c>
      <c r="G843" s="0" t="n">
        <f aca="false">VLOOKUP(E843,Sheet1!$A$2:$B$25,2,0)</f>
        <v>1</v>
      </c>
    </row>
    <row r="844" customFormat="false" ht="15" hidden="false" customHeight="false" outlineLevel="0" collapsed="false">
      <c r="A844" s="13" t="n">
        <v>44579.5625</v>
      </c>
      <c r="B844" s="12" t="n">
        <v>803.425</v>
      </c>
      <c r="C844" s="0" t="n">
        <f aca="false">WEEKDAY(A844,2)</f>
        <v>2</v>
      </c>
      <c r="D844" s="0" t="n">
        <f aca="false">DAY(A844)</f>
        <v>18</v>
      </c>
      <c r="E844" s="0" t="n">
        <f aca="false">HOUR(A844)</f>
        <v>13</v>
      </c>
      <c r="F844" s="0" t="n">
        <f aca="false">IF(C844&gt;=6,0,1)</f>
        <v>1</v>
      </c>
      <c r="G844" s="0" t="n">
        <f aca="false">VLOOKUP(E844,Sheet1!$A$2:$B$25,2,0)</f>
        <v>1</v>
      </c>
    </row>
    <row r="845" customFormat="false" ht="15" hidden="false" customHeight="false" outlineLevel="0" collapsed="false">
      <c r="A845" s="13" t="n">
        <v>44579.5833333333</v>
      </c>
      <c r="B845" s="12" t="n">
        <v>758.9</v>
      </c>
      <c r="C845" s="0" t="n">
        <f aca="false">WEEKDAY(A845,2)</f>
        <v>2</v>
      </c>
      <c r="D845" s="0" t="n">
        <f aca="false">DAY(A845)</f>
        <v>18</v>
      </c>
      <c r="E845" s="0" t="n">
        <f aca="false">HOUR(A845)</f>
        <v>14</v>
      </c>
      <c r="F845" s="0" t="n">
        <f aca="false">IF(C845&gt;=6,0,1)</f>
        <v>1</v>
      </c>
      <c r="G845" s="0" t="n">
        <f aca="false">VLOOKUP(E845,Sheet1!$A$2:$B$25,2,0)</f>
        <v>1</v>
      </c>
    </row>
    <row r="846" customFormat="false" ht="15" hidden="false" customHeight="false" outlineLevel="0" collapsed="false">
      <c r="A846" s="13" t="n">
        <v>44579.6041666667</v>
      </c>
      <c r="B846" s="12" t="n">
        <v>502.916</v>
      </c>
      <c r="C846" s="0" t="n">
        <f aca="false">WEEKDAY(A846,2)</f>
        <v>2</v>
      </c>
      <c r="D846" s="0" t="n">
        <f aca="false">DAY(A846)</f>
        <v>18</v>
      </c>
      <c r="E846" s="0" t="n">
        <f aca="false">HOUR(A846)</f>
        <v>14</v>
      </c>
      <c r="F846" s="0" t="n">
        <f aca="false">IF(C846&gt;=6,0,1)</f>
        <v>1</v>
      </c>
      <c r="G846" s="0" t="n">
        <f aca="false">VLOOKUP(E846,Sheet1!$A$2:$B$25,2,0)</f>
        <v>1</v>
      </c>
    </row>
    <row r="847" customFormat="false" ht="15" hidden="false" customHeight="false" outlineLevel="0" collapsed="false">
      <c r="A847" s="13" t="n">
        <v>44579.625</v>
      </c>
      <c r="B847" s="12" t="n">
        <v>460.081</v>
      </c>
      <c r="C847" s="0" t="n">
        <f aca="false">WEEKDAY(A847,2)</f>
        <v>2</v>
      </c>
      <c r="D847" s="0" t="n">
        <f aca="false">DAY(A847)</f>
        <v>18</v>
      </c>
      <c r="E847" s="0" t="n">
        <f aca="false">HOUR(A847)</f>
        <v>15</v>
      </c>
      <c r="F847" s="0" t="n">
        <f aca="false">IF(C847&gt;=6,0,1)</f>
        <v>1</v>
      </c>
      <c r="G847" s="0" t="n">
        <f aca="false">VLOOKUP(E847,Sheet1!$A$2:$B$25,2,0)</f>
        <v>1</v>
      </c>
    </row>
    <row r="848" customFormat="false" ht="15" hidden="false" customHeight="false" outlineLevel="0" collapsed="false">
      <c r="A848" s="13" t="n">
        <v>44579.6458333333</v>
      </c>
      <c r="B848" s="12" t="n">
        <v>441.74</v>
      </c>
      <c r="C848" s="0" t="n">
        <f aca="false">WEEKDAY(A848,2)</f>
        <v>2</v>
      </c>
      <c r="D848" s="0" t="n">
        <f aca="false">DAY(A848)</f>
        <v>18</v>
      </c>
      <c r="E848" s="0" t="n">
        <f aca="false">HOUR(A848)</f>
        <v>15</v>
      </c>
      <c r="F848" s="0" t="n">
        <f aca="false">IF(C848&gt;=6,0,1)</f>
        <v>1</v>
      </c>
      <c r="G848" s="0" t="n">
        <f aca="false">VLOOKUP(E848,Sheet1!$A$2:$B$25,2,0)</f>
        <v>1</v>
      </c>
    </row>
    <row r="849" customFormat="false" ht="15" hidden="false" customHeight="false" outlineLevel="0" collapsed="false">
      <c r="A849" s="13" t="n">
        <v>44579.6666666667</v>
      </c>
      <c r="B849" s="12" t="n">
        <v>413.756</v>
      </c>
      <c r="C849" s="0" t="n">
        <f aca="false">WEEKDAY(A849,2)</f>
        <v>2</v>
      </c>
      <c r="D849" s="0" t="n">
        <f aca="false">DAY(A849)</f>
        <v>18</v>
      </c>
      <c r="E849" s="0" t="n">
        <f aca="false">HOUR(A849)</f>
        <v>16</v>
      </c>
      <c r="F849" s="0" t="n">
        <f aca="false">IF(C849&gt;=6,0,1)</f>
        <v>1</v>
      </c>
      <c r="G849" s="0" t="n">
        <f aca="false">VLOOKUP(E849,Sheet1!$A$2:$B$25,2,0)</f>
        <v>0</v>
      </c>
    </row>
    <row r="850" customFormat="false" ht="15" hidden="false" customHeight="false" outlineLevel="0" collapsed="false">
      <c r="A850" s="13" t="n">
        <v>44579.6875</v>
      </c>
      <c r="B850" s="12" t="n">
        <v>369.865</v>
      </c>
      <c r="C850" s="0" t="n">
        <f aca="false">WEEKDAY(A850,2)</f>
        <v>2</v>
      </c>
      <c r="D850" s="0" t="n">
        <f aca="false">DAY(A850)</f>
        <v>18</v>
      </c>
      <c r="E850" s="0" t="n">
        <f aca="false">HOUR(A850)</f>
        <v>16</v>
      </c>
      <c r="F850" s="0" t="n">
        <f aca="false">IF(C850&gt;=6,0,1)</f>
        <v>1</v>
      </c>
      <c r="G850" s="0" t="n">
        <f aca="false">VLOOKUP(E850,Sheet1!$A$2:$B$25,2,0)</f>
        <v>0</v>
      </c>
    </row>
    <row r="851" customFormat="false" ht="15" hidden="false" customHeight="false" outlineLevel="0" collapsed="false">
      <c r="A851" s="13" t="n">
        <v>44579.7083333333</v>
      </c>
      <c r="B851" s="12" t="n">
        <v>358.676</v>
      </c>
      <c r="C851" s="0" t="n">
        <f aca="false">WEEKDAY(A851,2)</f>
        <v>2</v>
      </c>
      <c r="D851" s="0" t="n">
        <f aca="false">DAY(A851)</f>
        <v>18</v>
      </c>
      <c r="E851" s="0" t="n">
        <f aca="false">HOUR(A851)</f>
        <v>17</v>
      </c>
      <c r="F851" s="0" t="n">
        <f aca="false">IF(C851&gt;=6,0,1)</f>
        <v>1</v>
      </c>
      <c r="G851" s="0" t="n">
        <f aca="false">VLOOKUP(E851,Sheet1!$A$2:$B$25,2,0)</f>
        <v>0</v>
      </c>
    </row>
    <row r="852" customFormat="false" ht="15" hidden="false" customHeight="false" outlineLevel="0" collapsed="false">
      <c r="A852" s="13" t="n">
        <v>44579.7291666667</v>
      </c>
      <c r="B852" s="12" t="n">
        <v>366.5</v>
      </c>
      <c r="C852" s="0" t="n">
        <f aca="false">WEEKDAY(A852,2)</f>
        <v>2</v>
      </c>
      <c r="D852" s="0" t="n">
        <f aca="false">DAY(A852)</f>
        <v>18</v>
      </c>
      <c r="E852" s="0" t="n">
        <f aca="false">HOUR(A852)</f>
        <v>17</v>
      </c>
      <c r="F852" s="0" t="n">
        <f aca="false">IF(C852&gt;=6,0,1)</f>
        <v>1</v>
      </c>
      <c r="G852" s="0" t="n">
        <f aca="false">VLOOKUP(E852,Sheet1!$A$2:$B$25,2,0)</f>
        <v>0</v>
      </c>
    </row>
    <row r="853" customFormat="false" ht="15" hidden="false" customHeight="false" outlineLevel="0" collapsed="false">
      <c r="A853" s="13" t="n">
        <v>44579.75</v>
      </c>
      <c r="B853" s="12" t="n">
        <v>349.916</v>
      </c>
      <c r="C853" s="0" t="n">
        <f aca="false">WEEKDAY(A853,2)</f>
        <v>2</v>
      </c>
      <c r="D853" s="0" t="n">
        <f aca="false">DAY(A853)</f>
        <v>18</v>
      </c>
      <c r="E853" s="0" t="n">
        <f aca="false">HOUR(A853)</f>
        <v>18</v>
      </c>
      <c r="F853" s="0" t="n">
        <f aca="false">IF(C853&gt;=6,0,1)</f>
        <v>1</v>
      </c>
      <c r="G853" s="0" t="n">
        <f aca="false">VLOOKUP(E853,Sheet1!$A$2:$B$25,2,0)</f>
        <v>0</v>
      </c>
    </row>
    <row r="854" customFormat="false" ht="15" hidden="false" customHeight="false" outlineLevel="0" collapsed="false">
      <c r="A854" s="13" t="n">
        <v>44579.7708333333</v>
      </c>
      <c r="B854" s="12" t="n">
        <v>348.98</v>
      </c>
      <c r="C854" s="0" t="n">
        <f aca="false">WEEKDAY(A854,2)</f>
        <v>2</v>
      </c>
      <c r="D854" s="0" t="n">
        <f aca="false">DAY(A854)</f>
        <v>18</v>
      </c>
      <c r="E854" s="0" t="n">
        <f aca="false">HOUR(A854)</f>
        <v>18</v>
      </c>
      <c r="F854" s="0" t="n">
        <f aca="false">IF(C854&gt;=6,0,1)</f>
        <v>1</v>
      </c>
      <c r="G854" s="0" t="n">
        <f aca="false">VLOOKUP(E854,Sheet1!$A$2:$B$25,2,0)</f>
        <v>0</v>
      </c>
    </row>
    <row r="855" customFormat="false" ht="15" hidden="false" customHeight="false" outlineLevel="0" collapsed="false">
      <c r="A855" s="13" t="n">
        <v>44579.7916666667</v>
      </c>
      <c r="B855" s="12" t="n">
        <v>352.225</v>
      </c>
      <c r="C855" s="0" t="n">
        <f aca="false">WEEKDAY(A855,2)</f>
        <v>2</v>
      </c>
      <c r="D855" s="0" t="n">
        <f aca="false">DAY(A855)</f>
        <v>18</v>
      </c>
      <c r="E855" s="0" t="n">
        <f aca="false">HOUR(A855)</f>
        <v>19</v>
      </c>
      <c r="F855" s="0" t="n">
        <f aca="false">IF(C855&gt;=6,0,1)</f>
        <v>1</v>
      </c>
      <c r="G855" s="0" t="n">
        <f aca="false">VLOOKUP(E855,Sheet1!$A$2:$B$25,2,0)</f>
        <v>0</v>
      </c>
    </row>
    <row r="856" customFormat="false" ht="15" hidden="false" customHeight="false" outlineLevel="0" collapsed="false">
      <c r="A856" s="13" t="n">
        <v>44579.8125</v>
      </c>
      <c r="B856" s="12" t="n">
        <v>343.436</v>
      </c>
      <c r="C856" s="0" t="n">
        <f aca="false">WEEKDAY(A856,2)</f>
        <v>2</v>
      </c>
      <c r="D856" s="0" t="n">
        <f aca="false">DAY(A856)</f>
        <v>18</v>
      </c>
      <c r="E856" s="0" t="n">
        <f aca="false">HOUR(A856)</f>
        <v>19</v>
      </c>
      <c r="F856" s="0" t="n">
        <f aca="false">IF(C856&gt;=6,0,1)</f>
        <v>1</v>
      </c>
      <c r="G856" s="0" t="n">
        <f aca="false">VLOOKUP(E856,Sheet1!$A$2:$B$25,2,0)</f>
        <v>0</v>
      </c>
    </row>
    <row r="857" customFormat="false" ht="15" hidden="false" customHeight="false" outlineLevel="0" collapsed="false">
      <c r="A857" s="13" t="n">
        <v>44579.8333333333</v>
      </c>
      <c r="B857" s="12" t="n">
        <v>343.316</v>
      </c>
      <c r="C857" s="0" t="n">
        <f aca="false">WEEKDAY(A857,2)</f>
        <v>2</v>
      </c>
      <c r="D857" s="0" t="n">
        <f aca="false">DAY(A857)</f>
        <v>18</v>
      </c>
      <c r="E857" s="0" t="n">
        <f aca="false">HOUR(A857)</f>
        <v>20</v>
      </c>
      <c r="F857" s="0" t="n">
        <f aca="false">IF(C857&gt;=6,0,1)</f>
        <v>1</v>
      </c>
      <c r="G857" s="0" t="n">
        <f aca="false">VLOOKUP(E857,Sheet1!$A$2:$B$25,2,0)</f>
        <v>0</v>
      </c>
    </row>
    <row r="858" customFormat="false" ht="15" hidden="false" customHeight="false" outlineLevel="0" collapsed="false">
      <c r="A858" s="13" t="n">
        <v>44579.8541666667</v>
      </c>
      <c r="B858" s="12" t="n">
        <v>344.761</v>
      </c>
      <c r="C858" s="0" t="n">
        <f aca="false">WEEKDAY(A858,2)</f>
        <v>2</v>
      </c>
      <c r="D858" s="0" t="n">
        <f aca="false">DAY(A858)</f>
        <v>18</v>
      </c>
      <c r="E858" s="0" t="n">
        <f aca="false">HOUR(A858)</f>
        <v>20</v>
      </c>
      <c r="F858" s="0" t="n">
        <f aca="false">IF(C858&gt;=6,0,1)</f>
        <v>1</v>
      </c>
      <c r="G858" s="0" t="n">
        <f aca="false">VLOOKUP(E858,Sheet1!$A$2:$B$25,2,0)</f>
        <v>0</v>
      </c>
    </row>
    <row r="859" customFormat="false" ht="15" hidden="false" customHeight="false" outlineLevel="0" collapsed="false">
      <c r="A859" s="13" t="n">
        <v>44579.875</v>
      </c>
      <c r="B859" s="12" t="n">
        <v>332.18</v>
      </c>
      <c r="C859" s="0" t="n">
        <f aca="false">WEEKDAY(A859,2)</f>
        <v>2</v>
      </c>
      <c r="D859" s="0" t="n">
        <f aca="false">DAY(A859)</f>
        <v>18</v>
      </c>
      <c r="E859" s="0" t="n">
        <f aca="false">HOUR(A859)</f>
        <v>21</v>
      </c>
      <c r="F859" s="0" t="n">
        <f aca="false">IF(C859&gt;=6,0,1)</f>
        <v>1</v>
      </c>
      <c r="G859" s="0" t="n">
        <f aca="false">VLOOKUP(E859,Sheet1!$A$2:$B$25,2,0)</f>
        <v>0</v>
      </c>
    </row>
    <row r="860" customFormat="false" ht="15" hidden="false" customHeight="false" outlineLevel="0" collapsed="false">
      <c r="A860" s="13" t="n">
        <v>44579.8958333333</v>
      </c>
      <c r="B860" s="12" t="n">
        <v>334.556</v>
      </c>
      <c r="C860" s="0" t="n">
        <f aca="false">WEEKDAY(A860,2)</f>
        <v>2</v>
      </c>
      <c r="D860" s="0" t="n">
        <f aca="false">DAY(A860)</f>
        <v>18</v>
      </c>
      <c r="E860" s="0" t="n">
        <f aca="false">HOUR(A860)</f>
        <v>21</v>
      </c>
      <c r="F860" s="0" t="n">
        <f aca="false">IF(C860&gt;=6,0,1)</f>
        <v>1</v>
      </c>
      <c r="G860" s="0" t="n">
        <f aca="false">VLOOKUP(E860,Sheet1!$A$2:$B$25,2,0)</f>
        <v>0</v>
      </c>
    </row>
    <row r="861" customFormat="false" ht="15" hidden="false" customHeight="false" outlineLevel="0" collapsed="false">
      <c r="A861" s="13" t="n">
        <v>44579.9166666667</v>
      </c>
      <c r="B861" s="12" t="n">
        <v>332.905</v>
      </c>
      <c r="C861" s="0" t="n">
        <f aca="false">WEEKDAY(A861,2)</f>
        <v>2</v>
      </c>
      <c r="D861" s="0" t="n">
        <f aca="false">DAY(A861)</f>
        <v>18</v>
      </c>
      <c r="E861" s="0" t="n">
        <f aca="false">HOUR(A861)</f>
        <v>22</v>
      </c>
      <c r="F861" s="0" t="n">
        <f aca="false">IF(C861&gt;=6,0,1)</f>
        <v>1</v>
      </c>
      <c r="G861" s="0" t="n">
        <f aca="false">VLOOKUP(E861,Sheet1!$A$2:$B$25,2,0)</f>
        <v>0</v>
      </c>
    </row>
    <row r="862" customFormat="false" ht="15" hidden="false" customHeight="false" outlineLevel="0" collapsed="false">
      <c r="A862" s="13" t="n">
        <v>44579.9375</v>
      </c>
      <c r="B862" s="12" t="n">
        <v>314.78</v>
      </c>
      <c r="C862" s="0" t="n">
        <f aca="false">WEEKDAY(A862,2)</f>
        <v>2</v>
      </c>
      <c r="D862" s="0" t="n">
        <f aca="false">DAY(A862)</f>
        <v>18</v>
      </c>
      <c r="E862" s="0" t="n">
        <f aca="false">HOUR(A862)</f>
        <v>22</v>
      </c>
      <c r="F862" s="0" t="n">
        <f aca="false">IF(C862&gt;=6,0,1)</f>
        <v>1</v>
      </c>
      <c r="G862" s="0" t="n">
        <f aca="false">VLOOKUP(E862,Sheet1!$A$2:$B$25,2,0)</f>
        <v>0</v>
      </c>
    </row>
    <row r="863" customFormat="false" ht="15" hidden="false" customHeight="false" outlineLevel="0" collapsed="false">
      <c r="A863" s="13" t="n">
        <v>44579.9583333333</v>
      </c>
      <c r="B863" s="12" t="n">
        <v>309.86</v>
      </c>
      <c r="C863" s="0" t="n">
        <f aca="false">WEEKDAY(A863,2)</f>
        <v>2</v>
      </c>
      <c r="D863" s="0" t="n">
        <f aca="false">DAY(A863)</f>
        <v>18</v>
      </c>
      <c r="E863" s="0" t="n">
        <f aca="false">HOUR(A863)</f>
        <v>23</v>
      </c>
      <c r="F863" s="0" t="n">
        <f aca="false">IF(C863&gt;=6,0,1)</f>
        <v>1</v>
      </c>
      <c r="G863" s="0" t="n">
        <f aca="false">VLOOKUP(E863,Sheet1!$A$2:$B$25,2,0)</f>
        <v>0</v>
      </c>
    </row>
    <row r="864" customFormat="false" ht="15" hidden="false" customHeight="false" outlineLevel="0" collapsed="false">
      <c r="A864" s="13" t="n">
        <v>44579.9791666667</v>
      </c>
      <c r="B864" s="12" t="n">
        <v>313.82</v>
      </c>
      <c r="C864" s="0" t="n">
        <f aca="false">WEEKDAY(A864,2)</f>
        <v>2</v>
      </c>
      <c r="D864" s="0" t="n">
        <f aca="false">DAY(A864)</f>
        <v>18</v>
      </c>
      <c r="E864" s="0" t="n">
        <f aca="false">HOUR(A864)</f>
        <v>23</v>
      </c>
      <c r="F864" s="0" t="n">
        <f aca="false">IF(C864&gt;=6,0,1)</f>
        <v>1</v>
      </c>
      <c r="G864" s="0" t="n">
        <f aca="false">VLOOKUP(E864,Sheet1!$A$2:$B$25,2,0)</f>
        <v>0</v>
      </c>
    </row>
    <row r="865" customFormat="false" ht="15" hidden="false" customHeight="false" outlineLevel="0" collapsed="false">
      <c r="A865" s="13" t="n">
        <v>44580</v>
      </c>
      <c r="B865" s="12" t="n">
        <v>310.201</v>
      </c>
      <c r="C865" s="0" t="n">
        <f aca="false">WEEKDAY(A865,2)</f>
        <v>3</v>
      </c>
      <c r="D865" s="0" t="n">
        <f aca="false">DAY(A865)</f>
        <v>19</v>
      </c>
      <c r="E865" s="0" t="n">
        <f aca="false">HOUR(A865)</f>
        <v>0</v>
      </c>
      <c r="F865" s="0" t="n">
        <f aca="false">IF(C865&gt;=6,0,1)</f>
        <v>1</v>
      </c>
      <c r="G865" s="0" t="n">
        <f aca="false">VLOOKUP(E865,Sheet1!$A$2:$B$25,2,0)</f>
        <v>0</v>
      </c>
    </row>
    <row r="866" customFormat="false" ht="15" hidden="false" customHeight="false" outlineLevel="0" collapsed="false">
      <c r="A866" s="13" t="n">
        <v>44580.0208333333</v>
      </c>
      <c r="B866" s="12" t="n">
        <v>312.62</v>
      </c>
      <c r="C866" s="0" t="n">
        <f aca="false">WEEKDAY(A866,2)</f>
        <v>3</v>
      </c>
      <c r="D866" s="0" t="n">
        <f aca="false">DAY(A866)</f>
        <v>19</v>
      </c>
      <c r="E866" s="0" t="n">
        <f aca="false">HOUR(A866)</f>
        <v>0</v>
      </c>
      <c r="F866" s="0" t="n">
        <f aca="false">IF(C866&gt;=6,0,1)</f>
        <v>1</v>
      </c>
      <c r="G866" s="0" t="n">
        <f aca="false">VLOOKUP(E866,Sheet1!$A$2:$B$25,2,0)</f>
        <v>0</v>
      </c>
    </row>
    <row r="867" customFormat="false" ht="15" hidden="false" customHeight="false" outlineLevel="0" collapsed="false">
      <c r="A867" s="13" t="n">
        <v>44580.0416666667</v>
      </c>
      <c r="B867" s="12" t="n">
        <v>315.716</v>
      </c>
      <c r="C867" s="0" t="n">
        <f aca="false">WEEKDAY(A867,2)</f>
        <v>3</v>
      </c>
      <c r="D867" s="0" t="n">
        <f aca="false">DAY(A867)</f>
        <v>19</v>
      </c>
      <c r="E867" s="0" t="n">
        <f aca="false">HOUR(A867)</f>
        <v>1</v>
      </c>
      <c r="F867" s="0" t="n">
        <f aca="false">IF(C867&gt;=6,0,1)</f>
        <v>1</v>
      </c>
      <c r="G867" s="0" t="n">
        <f aca="false">VLOOKUP(E867,Sheet1!$A$2:$B$25,2,0)</f>
        <v>0</v>
      </c>
    </row>
    <row r="868" customFormat="false" ht="15" hidden="false" customHeight="false" outlineLevel="0" collapsed="false">
      <c r="A868" s="13" t="n">
        <v>44580.0625</v>
      </c>
      <c r="B868" s="12" t="n">
        <v>309.716</v>
      </c>
      <c r="C868" s="0" t="n">
        <f aca="false">WEEKDAY(A868,2)</f>
        <v>3</v>
      </c>
      <c r="D868" s="0" t="n">
        <f aca="false">DAY(A868)</f>
        <v>19</v>
      </c>
      <c r="E868" s="0" t="n">
        <f aca="false">HOUR(A868)</f>
        <v>1</v>
      </c>
      <c r="F868" s="0" t="n">
        <f aca="false">IF(C868&gt;=6,0,1)</f>
        <v>1</v>
      </c>
      <c r="G868" s="0" t="n">
        <f aca="false">VLOOKUP(E868,Sheet1!$A$2:$B$25,2,0)</f>
        <v>0</v>
      </c>
    </row>
    <row r="869" customFormat="false" ht="15" hidden="false" customHeight="false" outlineLevel="0" collapsed="false">
      <c r="A869" s="13" t="n">
        <v>44580.0833333333</v>
      </c>
      <c r="B869" s="12" t="n">
        <v>308.281</v>
      </c>
      <c r="C869" s="0" t="n">
        <f aca="false">WEEKDAY(A869,2)</f>
        <v>3</v>
      </c>
      <c r="D869" s="0" t="n">
        <f aca="false">DAY(A869)</f>
        <v>19</v>
      </c>
      <c r="E869" s="0" t="n">
        <f aca="false">HOUR(A869)</f>
        <v>2</v>
      </c>
      <c r="F869" s="0" t="n">
        <f aca="false">IF(C869&gt;=6,0,1)</f>
        <v>1</v>
      </c>
      <c r="G869" s="0" t="n">
        <f aca="false">VLOOKUP(E869,Sheet1!$A$2:$B$25,2,0)</f>
        <v>0</v>
      </c>
    </row>
    <row r="870" customFormat="false" ht="15" hidden="false" customHeight="false" outlineLevel="0" collapsed="false">
      <c r="A870" s="13" t="n">
        <v>44580.1041666667</v>
      </c>
      <c r="B870" s="12" t="n">
        <v>312.02</v>
      </c>
      <c r="C870" s="0" t="n">
        <f aca="false">WEEKDAY(A870,2)</f>
        <v>3</v>
      </c>
      <c r="D870" s="0" t="n">
        <f aca="false">DAY(A870)</f>
        <v>19</v>
      </c>
      <c r="E870" s="0" t="n">
        <f aca="false">HOUR(A870)</f>
        <v>2</v>
      </c>
      <c r="F870" s="0" t="n">
        <f aca="false">IF(C870&gt;=6,0,1)</f>
        <v>1</v>
      </c>
      <c r="G870" s="0" t="n">
        <f aca="false">VLOOKUP(E870,Sheet1!$A$2:$B$25,2,0)</f>
        <v>0</v>
      </c>
    </row>
    <row r="871" customFormat="false" ht="15" hidden="false" customHeight="false" outlineLevel="0" collapsed="false">
      <c r="A871" s="13" t="n">
        <v>44580.125</v>
      </c>
      <c r="B871" s="12" t="n">
        <v>316.46</v>
      </c>
      <c r="C871" s="0" t="n">
        <f aca="false">WEEKDAY(A871,2)</f>
        <v>3</v>
      </c>
      <c r="D871" s="0" t="n">
        <f aca="false">DAY(A871)</f>
        <v>19</v>
      </c>
      <c r="E871" s="0" t="n">
        <f aca="false">HOUR(A871)</f>
        <v>3</v>
      </c>
      <c r="F871" s="0" t="n">
        <f aca="false">IF(C871&gt;=6,0,1)</f>
        <v>1</v>
      </c>
      <c r="G871" s="0" t="n">
        <f aca="false">VLOOKUP(E871,Sheet1!$A$2:$B$25,2,0)</f>
        <v>0</v>
      </c>
    </row>
    <row r="872" customFormat="false" ht="15" hidden="false" customHeight="false" outlineLevel="0" collapsed="false">
      <c r="A872" s="13" t="n">
        <v>44580.1458333333</v>
      </c>
      <c r="B872" s="12" t="n">
        <v>392.42</v>
      </c>
      <c r="C872" s="0" t="n">
        <f aca="false">WEEKDAY(A872,2)</f>
        <v>3</v>
      </c>
      <c r="D872" s="0" t="n">
        <f aca="false">DAY(A872)</f>
        <v>19</v>
      </c>
      <c r="E872" s="0" t="n">
        <f aca="false">HOUR(A872)</f>
        <v>3</v>
      </c>
      <c r="F872" s="0" t="n">
        <f aca="false">IF(C872&gt;=6,0,1)</f>
        <v>1</v>
      </c>
      <c r="G872" s="0" t="n">
        <f aca="false">VLOOKUP(E872,Sheet1!$A$2:$B$25,2,0)</f>
        <v>0</v>
      </c>
    </row>
    <row r="873" customFormat="false" ht="15" hidden="false" customHeight="false" outlineLevel="0" collapsed="false">
      <c r="A873" s="13" t="n">
        <v>44580.1666666667</v>
      </c>
      <c r="B873" s="12" t="n">
        <v>330.601</v>
      </c>
      <c r="C873" s="0" t="n">
        <f aca="false">WEEKDAY(A873,2)</f>
        <v>3</v>
      </c>
      <c r="D873" s="0" t="n">
        <f aca="false">DAY(A873)</f>
        <v>19</v>
      </c>
      <c r="E873" s="0" t="n">
        <f aca="false">HOUR(A873)</f>
        <v>4</v>
      </c>
      <c r="F873" s="0" t="n">
        <f aca="false">IF(C873&gt;=6,0,1)</f>
        <v>1</v>
      </c>
      <c r="G873" s="0" t="n">
        <f aca="false">VLOOKUP(E873,Sheet1!$A$2:$B$25,2,0)</f>
        <v>1</v>
      </c>
    </row>
    <row r="874" customFormat="false" ht="15" hidden="false" customHeight="false" outlineLevel="0" collapsed="false">
      <c r="A874" s="13" t="n">
        <v>44580.1875</v>
      </c>
      <c r="B874" s="12" t="n">
        <v>425.036</v>
      </c>
      <c r="C874" s="0" t="n">
        <f aca="false">WEEKDAY(A874,2)</f>
        <v>3</v>
      </c>
      <c r="D874" s="0" t="n">
        <f aca="false">DAY(A874)</f>
        <v>19</v>
      </c>
      <c r="E874" s="0" t="n">
        <f aca="false">HOUR(A874)</f>
        <v>4</v>
      </c>
      <c r="F874" s="0" t="n">
        <f aca="false">IF(C874&gt;=6,0,1)</f>
        <v>1</v>
      </c>
      <c r="G874" s="0" t="n">
        <f aca="false">VLOOKUP(E874,Sheet1!$A$2:$B$25,2,0)</f>
        <v>1</v>
      </c>
    </row>
    <row r="875" customFormat="false" ht="15" hidden="false" customHeight="false" outlineLevel="0" collapsed="false">
      <c r="A875" s="13" t="n">
        <v>44580.2083333333</v>
      </c>
      <c r="B875" s="12" t="n">
        <v>743.036</v>
      </c>
      <c r="C875" s="0" t="n">
        <f aca="false">WEEKDAY(A875,2)</f>
        <v>3</v>
      </c>
      <c r="D875" s="0" t="n">
        <f aca="false">DAY(A875)</f>
        <v>19</v>
      </c>
      <c r="E875" s="0" t="n">
        <f aca="false">HOUR(A875)</f>
        <v>5</v>
      </c>
      <c r="F875" s="0" t="n">
        <f aca="false">IF(C875&gt;=6,0,1)</f>
        <v>1</v>
      </c>
      <c r="G875" s="0" t="n">
        <f aca="false">VLOOKUP(E875,Sheet1!$A$2:$B$25,2,0)</f>
        <v>1</v>
      </c>
    </row>
    <row r="876" customFormat="false" ht="15" hidden="false" customHeight="false" outlineLevel="0" collapsed="false">
      <c r="A876" s="13" t="n">
        <v>44580.2291666667</v>
      </c>
      <c r="B876" s="12" t="n">
        <v>653.516</v>
      </c>
      <c r="C876" s="0" t="n">
        <f aca="false">WEEKDAY(A876,2)</f>
        <v>3</v>
      </c>
      <c r="D876" s="0" t="n">
        <f aca="false">DAY(A876)</f>
        <v>19</v>
      </c>
      <c r="E876" s="0" t="n">
        <f aca="false">HOUR(A876)</f>
        <v>5</v>
      </c>
      <c r="F876" s="0" t="n">
        <f aca="false">IF(C876&gt;=6,0,1)</f>
        <v>1</v>
      </c>
      <c r="G876" s="0" t="n">
        <f aca="false">VLOOKUP(E876,Sheet1!$A$2:$B$25,2,0)</f>
        <v>1</v>
      </c>
    </row>
    <row r="877" customFormat="false" ht="15" hidden="false" customHeight="false" outlineLevel="0" collapsed="false">
      <c r="A877" s="13" t="n">
        <v>44580.25</v>
      </c>
      <c r="B877" s="12" t="n">
        <v>731.276</v>
      </c>
      <c r="C877" s="0" t="n">
        <f aca="false">WEEKDAY(A877,2)</f>
        <v>3</v>
      </c>
      <c r="D877" s="0" t="n">
        <f aca="false">DAY(A877)</f>
        <v>19</v>
      </c>
      <c r="E877" s="0" t="n">
        <f aca="false">HOUR(A877)</f>
        <v>6</v>
      </c>
      <c r="F877" s="0" t="n">
        <f aca="false">IF(C877&gt;=6,0,1)</f>
        <v>1</v>
      </c>
      <c r="G877" s="0" t="n">
        <f aca="false">VLOOKUP(E877,Sheet1!$A$2:$B$25,2,0)</f>
        <v>1</v>
      </c>
    </row>
    <row r="878" customFormat="false" ht="15" hidden="false" customHeight="false" outlineLevel="0" collapsed="false">
      <c r="A878" s="13" t="n">
        <v>44580.2708333333</v>
      </c>
      <c r="B878" s="12" t="n">
        <v>852.956</v>
      </c>
      <c r="C878" s="0" t="n">
        <f aca="false">WEEKDAY(A878,2)</f>
        <v>3</v>
      </c>
      <c r="D878" s="0" t="n">
        <f aca="false">DAY(A878)</f>
        <v>19</v>
      </c>
      <c r="E878" s="0" t="n">
        <f aca="false">HOUR(A878)</f>
        <v>6</v>
      </c>
      <c r="F878" s="0" t="n">
        <f aca="false">IF(C878&gt;=6,0,1)</f>
        <v>1</v>
      </c>
      <c r="G878" s="0" t="n">
        <f aca="false">VLOOKUP(E878,Sheet1!$A$2:$B$25,2,0)</f>
        <v>1</v>
      </c>
    </row>
    <row r="879" customFormat="false" ht="15" hidden="false" customHeight="false" outlineLevel="0" collapsed="false">
      <c r="A879" s="13" t="n">
        <v>44580.2916666667</v>
      </c>
      <c r="B879" s="12" t="n">
        <v>880.105</v>
      </c>
      <c r="C879" s="0" t="n">
        <f aca="false">WEEKDAY(A879,2)</f>
        <v>3</v>
      </c>
      <c r="D879" s="0" t="n">
        <f aca="false">DAY(A879)</f>
        <v>19</v>
      </c>
      <c r="E879" s="0" t="n">
        <f aca="false">HOUR(A879)</f>
        <v>7</v>
      </c>
      <c r="F879" s="0" t="n">
        <f aca="false">IF(C879&gt;=6,0,1)</f>
        <v>1</v>
      </c>
      <c r="G879" s="0" t="n">
        <f aca="false">VLOOKUP(E879,Sheet1!$A$2:$B$25,2,0)</f>
        <v>1</v>
      </c>
    </row>
    <row r="880" customFormat="false" ht="15" hidden="false" customHeight="false" outlineLevel="0" collapsed="false">
      <c r="A880" s="13" t="n">
        <v>44580.3125</v>
      </c>
      <c r="B880" s="12" t="n">
        <v>864.356</v>
      </c>
      <c r="C880" s="0" t="n">
        <f aca="false">WEEKDAY(A880,2)</f>
        <v>3</v>
      </c>
      <c r="D880" s="0" t="n">
        <f aca="false">DAY(A880)</f>
        <v>19</v>
      </c>
      <c r="E880" s="0" t="n">
        <f aca="false">HOUR(A880)</f>
        <v>7</v>
      </c>
      <c r="F880" s="0" t="n">
        <f aca="false">IF(C880&gt;=6,0,1)</f>
        <v>1</v>
      </c>
      <c r="G880" s="0" t="n">
        <f aca="false">VLOOKUP(E880,Sheet1!$A$2:$B$25,2,0)</f>
        <v>1</v>
      </c>
    </row>
    <row r="881" customFormat="false" ht="15" hidden="false" customHeight="false" outlineLevel="0" collapsed="false">
      <c r="A881" s="13" t="n">
        <v>44580.3333333333</v>
      </c>
      <c r="B881" s="12" t="n">
        <v>857.036</v>
      </c>
      <c r="C881" s="0" t="n">
        <f aca="false">WEEKDAY(A881,2)</f>
        <v>3</v>
      </c>
      <c r="D881" s="0" t="n">
        <f aca="false">DAY(A881)</f>
        <v>19</v>
      </c>
      <c r="E881" s="0" t="n">
        <f aca="false">HOUR(A881)</f>
        <v>8</v>
      </c>
      <c r="F881" s="0" t="n">
        <f aca="false">IF(C881&gt;=6,0,1)</f>
        <v>1</v>
      </c>
      <c r="G881" s="0" t="n">
        <f aca="false">VLOOKUP(E881,Sheet1!$A$2:$B$25,2,0)</f>
        <v>1</v>
      </c>
    </row>
    <row r="882" customFormat="false" ht="15" hidden="false" customHeight="false" outlineLevel="0" collapsed="false">
      <c r="A882" s="13" t="n">
        <v>44580.3541666667</v>
      </c>
      <c r="B882" s="12" t="n">
        <v>805.105</v>
      </c>
      <c r="C882" s="0" t="n">
        <f aca="false">WEEKDAY(A882,2)</f>
        <v>3</v>
      </c>
      <c r="D882" s="0" t="n">
        <f aca="false">DAY(A882)</f>
        <v>19</v>
      </c>
      <c r="E882" s="0" t="n">
        <f aca="false">HOUR(A882)</f>
        <v>8</v>
      </c>
      <c r="F882" s="0" t="n">
        <f aca="false">IF(C882&gt;=6,0,1)</f>
        <v>1</v>
      </c>
      <c r="G882" s="0" t="n">
        <f aca="false">VLOOKUP(E882,Sheet1!$A$2:$B$25,2,0)</f>
        <v>1</v>
      </c>
    </row>
    <row r="883" customFormat="false" ht="15" hidden="false" customHeight="false" outlineLevel="0" collapsed="false">
      <c r="A883" s="13" t="n">
        <v>44580.375</v>
      </c>
      <c r="B883" s="12" t="n">
        <v>802.676</v>
      </c>
      <c r="C883" s="0" t="n">
        <f aca="false">WEEKDAY(A883,2)</f>
        <v>3</v>
      </c>
      <c r="D883" s="0" t="n">
        <f aca="false">DAY(A883)</f>
        <v>19</v>
      </c>
      <c r="E883" s="0" t="n">
        <f aca="false">HOUR(A883)</f>
        <v>9</v>
      </c>
      <c r="F883" s="0" t="n">
        <f aca="false">IF(C883&gt;=6,0,1)</f>
        <v>1</v>
      </c>
      <c r="G883" s="0" t="n">
        <f aca="false">VLOOKUP(E883,Sheet1!$A$2:$B$25,2,0)</f>
        <v>1</v>
      </c>
    </row>
    <row r="884" customFormat="false" ht="15" hidden="false" customHeight="false" outlineLevel="0" collapsed="false">
      <c r="A884" s="13" t="n">
        <v>44580.3958333333</v>
      </c>
      <c r="B884" s="12" t="n">
        <v>796.34</v>
      </c>
      <c r="C884" s="0" t="n">
        <f aca="false">WEEKDAY(A884,2)</f>
        <v>3</v>
      </c>
      <c r="D884" s="0" t="n">
        <f aca="false">DAY(A884)</f>
        <v>19</v>
      </c>
      <c r="E884" s="0" t="n">
        <f aca="false">HOUR(A884)</f>
        <v>9</v>
      </c>
      <c r="F884" s="0" t="n">
        <f aca="false">IF(C884&gt;=6,0,1)</f>
        <v>1</v>
      </c>
      <c r="G884" s="0" t="n">
        <f aca="false">VLOOKUP(E884,Sheet1!$A$2:$B$25,2,0)</f>
        <v>1</v>
      </c>
    </row>
    <row r="885" customFormat="false" ht="15" hidden="false" customHeight="false" outlineLevel="0" collapsed="false">
      <c r="A885" s="13" t="n">
        <v>44580.4166666667</v>
      </c>
      <c r="B885" s="12" t="n">
        <v>847.441</v>
      </c>
      <c r="C885" s="0" t="n">
        <f aca="false">WEEKDAY(A885,2)</f>
        <v>3</v>
      </c>
      <c r="D885" s="0" t="n">
        <f aca="false">DAY(A885)</f>
        <v>19</v>
      </c>
      <c r="E885" s="0" t="n">
        <f aca="false">HOUR(A885)</f>
        <v>10</v>
      </c>
      <c r="F885" s="0" t="n">
        <f aca="false">IF(C885&gt;=6,0,1)</f>
        <v>1</v>
      </c>
      <c r="G885" s="0" t="n">
        <f aca="false">VLOOKUP(E885,Sheet1!$A$2:$B$25,2,0)</f>
        <v>1</v>
      </c>
    </row>
    <row r="886" customFormat="false" ht="15" hidden="false" customHeight="false" outlineLevel="0" collapsed="false">
      <c r="A886" s="13" t="n">
        <v>44580.4375</v>
      </c>
      <c r="B886" s="12" t="n">
        <v>821.756</v>
      </c>
      <c r="C886" s="0" t="n">
        <f aca="false">WEEKDAY(A886,2)</f>
        <v>3</v>
      </c>
      <c r="D886" s="0" t="n">
        <f aca="false">DAY(A886)</f>
        <v>19</v>
      </c>
      <c r="E886" s="0" t="n">
        <f aca="false">HOUR(A886)</f>
        <v>10</v>
      </c>
      <c r="F886" s="0" t="n">
        <f aca="false">IF(C886&gt;=6,0,1)</f>
        <v>1</v>
      </c>
      <c r="G886" s="0" t="n">
        <f aca="false">VLOOKUP(E886,Sheet1!$A$2:$B$25,2,0)</f>
        <v>1</v>
      </c>
    </row>
    <row r="887" customFormat="false" ht="15" hidden="false" customHeight="false" outlineLevel="0" collapsed="false">
      <c r="A887" s="13" t="n">
        <v>44580.4583333333</v>
      </c>
      <c r="B887" s="12" t="n">
        <v>883.676</v>
      </c>
      <c r="C887" s="0" t="n">
        <f aca="false">WEEKDAY(A887,2)</f>
        <v>3</v>
      </c>
      <c r="D887" s="0" t="n">
        <f aca="false">DAY(A887)</f>
        <v>19</v>
      </c>
      <c r="E887" s="0" t="n">
        <f aca="false">HOUR(A887)</f>
        <v>11</v>
      </c>
      <c r="F887" s="0" t="n">
        <f aca="false">IF(C887&gt;=6,0,1)</f>
        <v>1</v>
      </c>
      <c r="G887" s="0" t="n">
        <f aca="false">VLOOKUP(E887,Sheet1!$A$2:$B$25,2,0)</f>
        <v>1</v>
      </c>
    </row>
    <row r="888" customFormat="false" ht="15" hidden="false" customHeight="false" outlineLevel="0" collapsed="false">
      <c r="A888" s="13" t="n">
        <v>44580.4791666667</v>
      </c>
      <c r="B888" s="12" t="n">
        <v>879.86</v>
      </c>
      <c r="C888" s="0" t="n">
        <f aca="false">WEEKDAY(A888,2)</f>
        <v>3</v>
      </c>
      <c r="D888" s="0" t="n">
        <f aca="false">DAY(A888)</f>
        <v>19</v>
      </c>
      <c r="E888" s="0" t="n">
        <f aca="false">HOUR(A888)</f>
        <v>11</v>
      </c>
      <c r="F888" s="0" t="n">
        <f aca="false">IF(C888&gt;=6,0,1)</f>
        <v>1</v>
      </c>
      <c r="G888" s="0" t="n">
        <f aca="false">VLOOKUP(E888,Sheet1!$A$2:$B$25,2,0)</f>
        <v>1</v>
      </c>
    </row>
    <row r="889" customFormat="false" ht="15" hidden="false" customHeight="false" outlineLevel="0" collapsed="false">
      <c r="A889" s="13" t="n">
        <v>44580.5</v>
      </c>
      <c r="B889" s="12" t="n">
        <v>845.521</v>
      </c>
      <c r="C889" s="0" t="n">
        <f aca="false">WEEKDAY(A889,2)</f>
        <v>3</v>
      </c>
      <c r="D889" s="0" t="n">
        <f aca="false">DAY(A889)</f>
        <v>19</v>
      </c>
      <c r="E889" s="0" t="n">
        <f aca="false">HOUR(A889)</f>
        <v>12</v>
      </c>
      <c r="F889" s="0" t="n">
        <f aca="false">IF(C889&gt;=6,0,1)</f>
        <v>1</v>
      </c>
      <c r="G889" s="0" t="n">
        <f aca="false">VLOOKUP(E889,Sheet1!$A$2:$B$25,2,0)</f>
        <v>1</v>
      </c>
    </row>
    <row r="890" customFormat="false" ht="15" hidden="false" customHeight="false" outlineLevel="0" collapsed="false">
      <c r="A890" s="13" t="n">
        <v>44580.5208333333</v>
      </c>
      <c r="B890" s="12" t="n">
        <v>826.076</v>
      </c>
      <c r="C890" s="0" t="n">
        <f aca="false">WEEKDAY(A890,2)</f>
        <v>3</v>
      </c>
      <c r="D890" s="0" t="n">
        <f aca="false">DAY(A890)</f>
        <v>19</v>
      </c>
      <c r="E890" s="0" t="n">
        <f aca="false">HOUR(A890)</f>
        <v>12</v>
      </c>
      <c r="F890" s="0" t="n">
        <f aca="false">IF(C890&gt;=6,0,1)</f>
        <v>1</v>
      </c>
      <c r="G890" s="0" t="n">
        <f aca="false">VLOOKUP(E890,Sheet1!$A$2:$B$25,2,0)</f>
        <v>1</v>
      </c>
    </row>
    <row r="891" customFormat="false" ht="15" hidden="false" customHeight="false" outlineLevel="0" collapsed="false">
      <c r="A891" s="13" t="n">
        <v>44580.5416666667</v>
      </c>
      <c r="B891" s="12" t="n">
        <v>840.86</v>
      </c>
      <c r="C891" s="0" t="n">
        <f aca="false">WEEKDAY(A891,2)</f>
        <v>3</v>
      </c>
      <c r="D891" s="0" t="n">
        <f aca="false">DAY(A891)</f>
        <v>19</v>
      </c>
      <c r="E891" s="0" t="n">
        <f aca="false">HOUR(A891)</f>
        <v>13</v>
      </c>
      <c r="F891" s="0" t="n">
        <f aca="false">IF(C891&gt;=6,0,1)</f>
        <v>1</v>
      </c>
      <c r="G891" s="0" t="n">
        <f aca="false">VLOOKUP(E891,Sheet1!$A$2:$B$25,2,0)</f>
        <v>1</v>
      </c>
    </row>
    <row r="892" customFormat="false" ht="15" hidden="false" customHeight="false" outlineLevel="0" collapsed="false">
      <c r="A892" s="13" t="n">
        <v>44580.5625</v>
      </c>
      <c r="B892" s="12" t="n">
        <v>801.02</v>
      </c>
      <c r="C892" s="0" t="n">
        <f aca="false">WEEKDAY(A892,2)</f>
        <v>3</v>
      </c>
      <c r="D892" s="0" t="n">
        <f aca="false">DAY(A892)</f>
        <v>19</v>
      </c>
      <c r="E892" s="0" t="n">
        <f aca="false">HOUR(A892)</f>
        <v>13</v>
      </c>
      <c r="F892" s="0" t="n">
        <f aca="false">IF(C892&gt;=6,0,1)</f>
        <v>1</v>
      </c>
      <c r="G892" s="0" t="n">
        <f aca="false">VLOOKUP(E892,Sheet1!$A$2:$B$25,2,0)</f>
        <v>1</v>
      </c>
    </row>
    <row r="893" customFormat="false" ht="15" hidden="false" customHeight="false" outlineLevel="0" collapsed="false">
      <c r="A893" s="13" t="n">
        <v>44580.5833333333</v>
      </c>
      <c r="B893" s="12" t="n">
        <v>709.321</v>
      </c>
      <c r="C893" s="0" t="n">
        <f aca="false">WEEKDAY(A893,2)</f>
        <v>3</v>
      </c>
      <c r="D893" s="0" t="n">
        <f aca="false">DAY(A893)</f>
        <v>19</v>
      </c>
      <c r="E893" s="0" t="n">
        <f aca="false">HOUR(A893)</f>
        <v>14</v>
      </c>
      <c r="F893" s="0" t="n">
        <f aca="false">IF(C893&gt;=6,0,1)</f>
        <v>1</v>
      </c>
      <c r="G893" s="0" t="n">
        <f aca="false">VLOOKUP(E893,Sheet1!$A$2:$B$25,2,0)</f>
        <v>1</v>
      </c>
    </row>
    <row r="894" customFormat="false" ht="15" hidden="false" customHeight="false" outlineLevel="0" collapsed="false">
      <c r="A894" s="13" t="n">
        <v>44580.6041666667</v>
      </c>
      <c r="B894" s="12" t="n">
        <v>434.54</v>
      </c>
      <c r="C894" s="0" t="n">
        <f aca="false">WEEKDAY(A894,2)</f>
        <v>3</v>
      </c>
      <c r="D894" s="0" t="n">
        <f aca="false">DAY(A894)</f>
        <v>19</v>
      </c>
      <c r="E894" s="0" t="n">
        <f aca="false">HOUR(A894)</f>
        <v>14</v>
      </c>
      <c r="F894" s="0" t="n">
        <f aca="false">IF(C894&gt;=6,0,1)</f>
        <v>1</v>
      </c>
      <c r="G894" s="0" t="n">
        <f aca="false">VLOOKUP(E894,Sheet1!$A$2:$B$25,2,0)</f>
        <v>1</v>
      </c>
    </row>
    <row r="895" customFormat="false" ht="15" hidden="false" customHeight="false" outlineLevel="0" collapsed="false">
      <c r="A895" s="13" t="n">
        <v>44580.625</v>
      </c>
      <c r="B895" s="12" t="n">
        <v>409.676</v>
      </c>
      <c r="C895" s="0" t="n">
        <f aca="false">WEEKDAY(A895,2)</f>
        <v>3</v>
      </c>
      <c r="D895" s="0" t="n">
        <f aca="false">DAY(A895)</f>
        <v>19</v>
      </c>
      <c r="E895" s="0" t="n">
        <f aca="false">HOUR(A895)</f>
        <v>15</v>
      </c>
      <c r="F895" s="0" t="n">
        <f aca="false">IF(C895&gt;=6,0,1)</f>
        <v>1</v>
      </c>
      <c r="G895" s="0" t="n">
        <f aca="false">VLOOKUP(E895,Sheet1!$A$2:$B$25,2,0)</f>
        <v>1</v>
      </c>
    </row>
    <row r="896" customFormat="false" ht="15" hidden="false" customHeight="false" outlineLevel="0" collapsed="false">
      <c r="A896" s="13" t="n">
        <v>44580.6458333333</v>
      </c>
      <c r="B896" s="12" t="n">
        <v>407.185</v>
      </c>
      <c r="C896" s="0" t="n">
        <f aca="false">WEEKDAY(A896,2)</f>
        <v>3</v>
      </c>
      <c r="D896" s="0" t="n">
        <f aca="false">DAY(A896)</f>
        <v>19</v>
      </c>
      <c r="E896" s="0" t="n">
        <f aca="false">HOUR(A896)</f>
        <v>15</v>
      </c>
      <c r="F896" s="0" t="n">
        <f aca="false">IF(C896&gt;=6,0,1)</f>
        <v>1</v>
      </c>
      <c r="G896" s="0" t="n">
        <f aca="false">VLOOKUP(E896,Sheet1!$A$2:$B$25,2,0)</f>
        <v>1</v>
      </c>
    </row>
    <row r="897" customFormat="false" ht="15" hidden="false" customHeight="false" outlineLevel="0" collapsed="false">
      <c r="A897" s="13" t="n">
        <v>44580.6666666667</v>
      </c>
      <c r="B897" s="12" t="n">
        <v>383.636</v>
      </c>
      <c r="C897" s="0" t="n">
        <f aca="false">WEEKDAY(A897,2)</f>
        <v>3</v>
      </c>
      <c r="D897" s="0" t="n">
        <f aca="false">DAY(A897)</f>
        <v>19</v>
      </c>
      <c r="E897" s="0" t="n">
        <f aca="false">HOUR(A897)</f>
        <v>16</v>
      </c>
      <c r="F897" s="0" t="n">
        <f aca="false">IF(C897&gt;=6,0,1)</f>
        <v>1</v>
      </c>
      <c r="G897" s="0" t="n">
        <f aca="false">VLOOKUP(E897,Sheet1!$A$2:$B$25,2,0)</f>
        <v>0</v>
      </c>
    </row>
    <row r="898" customFormat="false" ht="15" hidden="false" customHeight="false" outlineLevel="0" collapsed="false">
      <c r="A898" s="13" t="n">
        <v>44580.6875</v>
      </c>
      <c r="B898" s="12" t="n">
        <v>378.86</v>
      </c>
      <c r="C898" s="0" t="n">
        <f aca="false">WEEKDAY(A898,2)</f>
        <v>3</v>
      </c>
      <c r="D898" s="0" t="n">
        <f aca="false">DAY(A898)</f>
        <v>19</v>
      </c>
      <c r="E898" s="0" t="n">
        <f aca="false">HOUR(A898)</f>
        <v>16</v>
      </c>
      <c r="F898" s="0" t="n">
        <f aca="false">IF(C898&gt;=6,0,1)</f>
        <v>1</v>
      </c>
      <c r="G898" s="0" t="n">
        <f aca="false">VLOOKUP(E898,Sheet1!$A$2:$B$25,2,0)</f>
        <v>0</v>
      </c>
    </row>
    <row r="899" customFormat="false" ht="15" hidden="false" customHeight="false" outlineLevel="0" collapsed="false">
      <c r="A899" s="13" t="n">
        <v>44580.7083333333</v>
      </c>
      <c r="B899" s="12" t="n">
        <v>377.665</v>
      </c>
      <c r="C899" s="0" t="n">
        <f aca="false">WEEKDAY(A899,2)</f>
        <v>3</v>
      </c>
      <c r="D899" s="0" t="n">
        <f aca="false">DAY(A899)</f>
        <v>19</v>
      </c>
      <c r="E899" s="0" t="n">
        <f aca="false">HOUR(A899)</f>
        <v>17</v>
      </c>
      <c r="F899" s="0" t="n">
        <f aca="false">IF(C899&gt;=6,0,1)</f>
        <v>1</v>
      </c>
      <c r="G899" s="0" t="n">
        <f aca="false">VLOOKUP(E899,Sheet1!$A$2:$B$25,2,0)</f>
        <v>0</v>
      </c>
    </row>
    <row r="900" customFormat="false" ht="15" hidden="false" customHeight="false" outlineLevel="0" collapsed="false">
      <c r="A900" s="13" t="n">
        <v>44580.7291666667</v>
      </c>
      <c r="B900" s="12" t="n">
        <v>377.396</v>
      </c>
      <c r="C900" s="0" t="n">
        <f aca="false">WEEKDAY(A900,2)</f>
        <v>3</v>
      </c>
      <c r="D900" s="0" t="n">
        <f aca="false">DAY(A900)</f>
        <v>19</v>
      </c>
      <c r="E900" s="0" t="n">
        <f aca="false">HOUR(A900)</f>
        <v>17</v>
      </c>
      <c r="F900" s="0" t="n">
        <f aca="false">IF(C900&gt;=6,0,1)</f>
        <v>1</v>
      </c>
      <c r="G900" s="0" t="n">
        <f aca="false">VLOOKUP(E900,Sheet1!$A$2:$B$25,2,0)</f>
        <v>0</v>
      </c>
    </row>
    <row r="901" customFormat="false" ht="15" hidden="false" customHeight="false" outlineLevel="0" collapsed="false">
      <c r="A901" s="13" t="n">
        <v>44580.75</v>
      </c>
      <c r="B901" s="12" t="n">
        <v>380.516</v>
      </c>
      <c r="C901" s="0" t="n">
        <f aca="false">WEEKDAY(A901,2)</f>
        <v>3</v>
      </c>
      <c r="D901" s="0" t="n">
        <f aca="false">DAY(A901)</f>
        <v>19</v>
      </c>
      <c r="E901" s="0" t="n">
        <f aca="false">HOUR(A901)</f>
        <v>18</v>
      </c>
      <c r="F901" s="0" t="n">
        <f aca="false">IF(C901&gt;=6,0,1)</f>
        <v>1</v>
      </c>
      <c r="G901" s="0" t="n">
        <f aca="false">VLOOKUP(E901,Sheet1!$A$2:$B$25,2,0)</f>
        <v>0</v>
      </c>
    </row>
    <row r="902" customFormat="false" ht="15" hidden="false" customHeight="false" outlineLevel="0" collapsed="false">
      <c r="A902" s="13" t="n">
        <v>44580.7708333333</v>
      </c>
      <c r="B902" s="12" t="n">
        <v>371.996</v>
      </c>
      <c r="C902" s="0" t="n">
        <f aca="false">WEEKDAY(A902,2)</f>
        <v>3</v>
      </c>
      <c r="D902" s="0" t="n">
        <f aca="false">DAY(A902)</f>
        <v>19</v>
      </c>
      <c r="E902" s="0" t="n">
        <f aca="false">HOUR(A902)</f>
        <v>18</v>
      </c>
      <c r="F902" s="0" t="n">
        <f aca="false">IF(C902&gt;=6,0,1)</f>
        <v>1</v>
      </c>
      <c r="G902" s="0" t="n">
        <f aca="false">VLOOKUP(E902,Sheet1!$A$2:$B$25,2,0)</f>
        <v>0</v>
      </c>
    </row>
    <row r="903" customFormat="false" ht="15" hidden="false" customHeight="false" outlineLevel="0" collapsed="false">
      <c r="A903" s="13" t="n">
        <v>44580.7916666667</v>
      </c>
      <c r="B903" s="12" t="n">
        <v>374.66</v>
      </c>
      <c r="C903" s="0" t="n">
        <f aca="false">WEEKDAY(A903,2)</f>
        <v>3</v>
      </c>
      <c r="D903" s="0" t="n">
        <f aca="false">DAY(A903)</f>
        <v>19</v>
      </c>
      <c r="E903" s="0" t="n">
        <f aca="false">HOUR(A903)</f>
        <v>19</v>
      </c>
      <c r="F903" s="0" t="n">
        <f aca="false">IF(C903&gt;=6,0,1)</f>
        <v>1</v>
      </c>
      <c r="G903" s="0" t="n">
        <f aca="false">VLOOKUP(E903,Sheet1!$A$2:$B$25,2,0)</f>
        <v>0</v>
      </c>
    </row>
    <row r="904" customFormat="false" ht="15" hidden="false" customHeight="false" outlineLevel="0" collapsed="false">
      <c r="A904" s="13" t="n">
        <v>44580.8125</v>
      </c>
      <c r="B904" s="12" t="n">
        <v>351.841</v>
      </c>
      <c r="C904" s="0" t="n">
        <f aca="false">WEEKDAY(A904,2)</f>
        <v>3</v>
      </c>
      <c r="D904" s="0" t="n">
        <f aca="false">DAY(A904)</f>
        <v>19</v>
      </c>
      <c r="E904" s="0" t="n">
        <f aca="false">HOUR(A904)</f>
        <v>19</v>
      </c>
      <c r="F904" s="0" t="n">
        <f aca="false">IF(C904&gt;=6,0,1)</f>
        <v>1</v>
      </c>
      <c r="G904" s="0" t="n">
        <f aca="false">VLOOKUP(E904,Sheet1!$A$2:$B$25,2,0)</f>
        <v>0</v>
      </c>
    </row>
    <row r="905" customFormat="false" ht="15" hidden="false" customHeight="false" outlineLevel="0" collapsed="false">
      <c r="A905" s="13" t="n">
        <v>44580.8333333333</v>
      </c>
      <c r="B905" s="12" t="n">
        <v>352.82</v>
      </c>
      <c r="C905" s="0" t="n">
        <f aca="false">WEEKDAY(A905,2)</f>
        <v>3</v>
      </c>
      <c r="D905" s="0" t="n">
        <f aca="false">DAY(A905)</f>
        <v>19</v>
      </c>
      <c r="E905" s="0" t="n">
        <f aca="false">HOUR(A905)</f>
        <v>20</v>
      </c>
      <c r="F905" s="0" t="n">
        <f aca="false">IF(C905&gt;=6,0,1)</f>
        <v>1</v>
      </c>
      <c r="G905" s="0" t="n">
        <f aca="false">VLOOKUP(E905,Sheet1!$A$2:$B$25,2,0)</f>
        <v>0</v>
      </c>
    </row>
    <row r="906" customFormat="false" ht="15" hidden="false" customHeight="false" outlineLevel="0" collapsed="false">
      <c r="A906" s="13" t="n">
        <v>44580.8541666667</v>
      </c>
      <c r="B906" s="12" t="n">
        <v>349.34</v>
      </c>
      <c r="C906" s="0" t="n">
        <f aca="false">WEEKDAY(A906,2)</f>
        <v>3</v>
      </c>
      <c r="D906" s="0" t="n">
        <f aca="false">DAY(A906)</f>
        <v>19</v>
      </c>
      <c r="E906" s="0" t="n">
        <f aca="false">HOUR(A906)</f>
        <v>20</v>
      </c>
      <c r="F906" s="0" t="n">
        <f aca="false">IF(C906&gt;=6,0,1)</f>
        <v>1</v>
      </c>
      <c r="G906" s="0" t="n">
        <f aca="false">VLOOKUP(E906,Sheet1!$A$2:$B$25,2,0)</f>
        <v>0</v>
      </c>
    </row>
    <row r="907" customFormat="false" ht="15" hidden="false" customHeight="false" outlineLevel="0" collapsed="false">
      <c r="A907" s="13" t="n">
        <v>44580.875</v>
      </c>
      <c r="B907" s="12" t="n">
        <v>337.436</v>
      </c>
      <c r="C907" s="0" t="n">
        <f aca="false">WEEKDAY(A907,2)</f>
        <v>3</v>
      </c>
      <c r="D907" s="0" t="n">
        <f aca="false">DAY(A907)</f>
        <v>19</v>
      </c>
      <c r="E907" s="0" t="n">
        <f aca="false">HOUR(A907)</f>
        <v>21</v>
      </c>
      <c r="F907" s="0" t="n">
        <f aca="false">IF(C907&gt;=6,0,1)</f>
        <v>1</v>
      </c>
      <c r="G907" s="0" t="n">
        <f aca="false">VLOOKUP(E907,Sheet1!$A$2:$B$25,2,0)</f>
        <v>0</v>
      </c>
    </row>
    <row r="908" customFormat="false" ht="15" hidden="false" customHeight="false" outlineLevel="0" collapsed="false">
      <c r="A908" s="13" t="n">
        <v>44580.8958333333</v>
      </c>
      <c r="B908" s="12" t="n">
        <v>329.54</v>
      </c>
      <c r="C908" s="0" t="n">
        <f aca="false">WEEKDAY(A908,2)</f>
        <v>3</v>
      </c>
      <c r="D908" s="0" t="n">
        <f aca="false">DAY(A908)</f>
        <v>19</v>
      </c>
      <c r="E908" s="0" t="n">
        <f aca="false">HOUR(A908)</f>
        <v>21</v>
      </c>
      <c r="F908" s="0" t="n">
        <f aca="false">IF(C908&gt;=6,0,1)</f>
        <v>1</v>
      </c>
      <c r="G908" s="0" t="n">
        <f aca="false">VLOOKUP(E908,Sheet1!$A$2:$B$25,2,0)</f>
        <v>0</v>
      </c>
    </row>
    <row r="909" customFormat="false" ht="15" hidden="false" customHeight="false" outlineLevel="0" collapsed="false">
      <c r="A909" s="13" t="n">
        <v>44580.9166666667</v>
      </c>
      <c r="B909" s="12" t="n">
        <v>329.06</v>
      </c>
      <c r="C909" s="0" t="n">
        <f aca="false">WEEKDAY(A909,2)</f>
        <v>3</v>
      </c>
      <c r="D909" s="0" t="n">
        <f aca="false">DAY(A909)</f>
        <v>19</v>
      </c>
      <c r="E909" s="0" t="n">
        <f aca="false">HOUR(A909)</f>
        <v>22</v>
      </c>
      <c r="F909" s="0" t="n">
        <f aca="false">IF(C909&gt;=6,0,1)</f>
        <v>1</v>
      </c>
      <c r="G909" s="0" t="n">
        <f aca="false">VLOOKUP(E909,Sheet1!$A$2:$B$25,2,0)</f>
        <v>0</v>
      </c>
    </row>
    <row r="910" customFormat="false" ht="15" hidden="false" customHeight="false" outlineLevel="0" collapsed="false">
      <c r="A910" s="13" t="n">
        <v>44580.9375</v>
      </c>
      <c r="B910" s="12" t="n">
        <v>328.705</v>
      </c>
      <c r="C910" s="0" t="n">
        <f aca="false">WEEKDAY(A910,2)</f>
        <v>3</v>
      </c>
      <c r="D910" s="0" t="n">
        <f aca="false">DAY(A910)</f>
        <v>19</v>
      </c>
      <c r="E910" s="0" t="n">
        <f aca="false">HOUR(A910)</f>
        <v>22</v>
      </c>
      <c r="F910" s="0" t="n">
        <f aca="false">IF(C910&gt;=6,0,1)</f>
        <v>1</v>
      </c>
      <c r="G910" s="0" t="n">
        <f aca="false">VLOOKUP(E910,Sheet1!$A$2:$B$25,2,0)</f>
        <v>0</v>
      </c>
    </row>
    <row r="911" customFormat="false" ht="15" hidden="false" customHeight="false" outlineLevel="0" collapsed="false">
      <c r="A911" s="13" t="n">
        <v>44580.9583333333</v>
      </c>
      <c r="B911" s="12" t="n">
        <v>330.116</v>
      </c>
      <c r="C911" s="0" t="n">
        <f aca="false">WEEKDAY(A911,2)</f>
        <v>3</v>
      </c>
      <c r="D911" s="0" t="n">
        <f aca="false">DAY(A911)</f>
        <v>19</v>
      </c>
      <c r="E911" s="0" t="n">
        <f aca="false">HOUR(A911)</f>
        <v>23</v>
      </c>
      <c r="F911" s="0" t="n">
        <f aca="false">IF(C911&gt;=6,0,1)</f>
        <v>1</v>
      </c>
      <c r="G911" s="0" t="n">
        <f aca="false">VLOOKUP(E911,Sheet1!$A$2:$B$25,2,0)</f>
        <v>0</v>
      </c>
    </row>
    <row r="912" customFormat="false" ht="15" hidden="false" customHeight="false" outlineLevel="0" collapsed="false">
      <c r="A912" s="13" t="n">
        <v>44580.9791666667</v>
      </c>
      <c r="B912" s="12" t="n">
        <v>330.74</v>
      </c>
      <c r="C912" s="0" t="n">
        <f aca="false">WEEKDAY(A912,2)</f>
        <v>3</v>
      </c>
      <c r="D912" s="0" t="n">
        <f aca="false">DAY(A912)</f>
        <v>19</v>
      </c>
      <c r="E912" s="0" t="n">
        <f aca="false">HOUR(A912)</f>
        <v>23</v>
      </c>
      <c r="F912" s="0" t="n">
        <f aca="false">IF(C912&gt;=6,0,1)</f>
        <v>1</v>
      </c>
      <c r="G912" s="0" t="n">
        <f aca="false">VLOOKUP(E912,Sheet1!$A$2:$B$25,2,0)</f>
        <v>0</v>
      </c>
    </row>
    <row r="913" customFormat="false" ht="15" hidden="false" customHeight="false" outlineLevel="0" collapsed="false">
      <c r="A913" s="13" t="n">
        <v>44581</v>
      </c>
      <c r="B913" s="12" t="n">
        <v>328.076</v>
      </c>
      <c r="C913" s="0" t="n">
        <f aca="false">WEEKDAY(A913,2)</f>
        <v>4</v>
      </c>
      <c r="D913" s="0" t="n">
        <f aca="false">DAY(A913)</f>
        <v>20</v>
      </c>
      <c r="E913" s="0" t="n">
        <f aca="false">HOUR(A913)</f>
        <v>0</v>
      </c>
      <c r="F913" s="0" t="n">
        <f aca="false">IF(C913&gt;=6,0,1)</f>
        <v>1</v>
      </c>
      <c r="G913" s="0" t="n">
        <f aca="false">VLOOKUP(E913,Sheet1!$A$2:$B$25,2,0)</f>
        <v>0</v>
      </c>
    </row>
    <row r="914" customFormat="false" ht="15" hidden="false" customHeight="false" outlineLevel="0" collapsed="false">
      <c r="A914" s="13" t="n">
        <v>44581.0208333333</v>
      </c>
      <c r="B914" s="12" t="n">
        <v>328.196</v>
      </c>
      <c r="C914" s="0" t="n">
        <f aca="false">WEEKDAY(A914,2)</f>
        <v>4</v>
      </c>
      <c r="D914" s="0" t="n">
        <f aca="false">DAY(A914)</f>
        <v>20</v>
      </c>
      <c r="E914" s="0" t="n">
        <f aca="false">HOUR(A914)</f>
        <v>0</v>
      </c>
      <c r="F914" s="0" t="n">
        <f aca="false">IF(C914&gt;=6,0,1)</f>
        <v>1</v>
      </c>
      <c r="G914" s="0" t="n">
        <f aca="false">VLOOKUP(E914,Sheet1!$A$2:$B$25,2,0)</f>
        <v>0</v>
      </c>
    </row>
    <row r="915" customFormat="false" ht="15" hidden="false" customHeight="false" outlineLevel="0" collapsed="false">
      <c r="A915" s="13" t="n">
        <v>44581.0416666667</v>
      </c>
      <c r="B915" s="12" t="n">
        <v>329.401</v>
      </c>
      <c r="C915" s="0" t="n">
        <f aca="false">WEEKDAY(A915,2)</f>
        <v>4</v>
      </c>
      <c r="D915" s="0" t="n">
        <f aca="false">DAY(A915)</f>
        <v>20</v>
      </c>
      <c r="E915" s="0" t="n">
        <f aca="false">HOUR(A915)</f>
        <v>1</v>
      </c>
      <c r="F915" s="0" t="n">
        <f aca="false">IF(C915&gt;=6,0,1)</f>
        <v>1</v>
      </c>
      <c r="G915" s="0" t="n">
        <f aca="false">VLOOKUP(E915,Sheet1!$A$2:$B$25,2,0)</f>
        <v>0</v>
      </c>
    </row>
    <row r="916" customFormat="false" ht="15" hidden="false" customHeight="false" outlineLevel="0" collapsed="false">
      <c r="A916" s="13" t="n">
        <v>44581.0625</v>
      </c>
      <c r="B916" s="12" t="n">
        <v>327.98</v>
      </c>
      <c r="C916" s="0" t="n">
        <f aca="false">WEEKDAY(A916,2)</f>
        <v>4</v>
      </c>
      <c r="D916" s="0" t="n">
        <f aca="false">DAY(A916)</f>
        <v>20</v>
      </c>
      <c r="E916" s="0" t="n">
        <f aca="false">HOUR(A916)</f>
        <v>1</v>
      </c>
      <c r="F916" s="0" t="n">
        <f aca="false">IF(C916&gt;=6,0,1)</f>
        <v>1</v>
      </c>
      <c r="G916" s="0" t="n">
        <f aca="false">VLOOKUP(E916,Sheet1!$A$2:$B$25,2,0)</f>
        <v>0</v>
      </c>
    </row>
    <row r="917" customFormat="false" ht="15" hidden="false" customHeight="false" outlineLevel="0" collapsed="false">
      <c r="A917" s="13" t="n">
        <v>44581.0833333333</v>
      </c>
      <c r="B917" s="12" t="n">
        <v>333.356</v>
      </c>
      <c r="C917" s="0" t="n">
        <f aca="false">WEEKDAY(A917,2)</f>
        <v>4</v>
      </c>
      <c r="D917" s="0" t="n">
        <f aca="false">DAY(A917)</f>
        <v>20</v>
      </c>
      <c r="E917" s="0" t="n">
        <f aca="false">HOUR(A917)</f>
        <v>2</v>
      </c>
      <c r="F917" s="0" t="n">
        <f aca="false">IF(C917&gt;=6,0,1)</f>
        <v>1</v>
      </c>
      <c r="G917" s="0" t="n">
        <f aca="false">VLOOKUP(E917,Sheet1!$A$2:$B$25,2,0)</f>
        <v>0</v>
      </c>
    </row>
    <row r="918" customFormat="false" ht="15" hidden="false" customHeight="false" outlineLevel="0" collapsed="false">
      <c r="A918" s="13" t="n">
        <v>44581.1041666667</v>
      </c>
      <c r="B918" s="12" t="n">
        <v>334.916</v>
      </c>
      <c r="C918" s="0" t="n">
        <f aca="false">WEEKDAY(A918,2)</f>
        <v>4</v>
      </c>
      <c r="D918" s="0" t="n">
        <f aca="false">DAY(A918)</f>
        <v>20</v>
      </c>
      <c r="E918" s="0" t="n">
        <f aca="false">HOUR(A918)</f>
        <v>2</v>
      </c>
      <c r="F918" s="0" t="n">
        <f aca="false">IF(C918&gt;=6,0,1)</f>
        <v>1</v>
      </c>
      <c r="G918" s="0" t="n">
        <f aca="false">VLOOKUP(E918,Sheet1!$A$2:$B$25,2,0)</f>
        <v>0</v>
      </c>
    </row>
    <row r="919" customFormat="false" ht="15" hidden="false" customHeight="false" outlineLevel="0" collapsed="false">
      <c r="A919" s="13" t="n">
        <v>44581.125</v>
      </c>
      <c r="B919" s="12" t="n">
        <v>358.105</v>
      </c>
      <c r="C919" s="0" t="n">
        <f aca="false">WEEKDAY(A919,2)</f>
        <v>4</v>
      </c>
      <c r="D919" s="0" t="n">
        <f aca="false">DAY(A919)</f>
        <v>20</v>
      </c>
      <c r="E919" s="0" t="n">
        <f aca="false">HOUR(A919)</f>
        <v>3</v>
      </c>
      <c r="F919" s="0" t="n">
        <f aca="false">IF(C919&gt;=6,0,1)</f>
        <v>1</v>
      </c>
      <c r="G919" s="0" t="n">
        <f aca="false">VLOOKUP(E919,Sheet1!$A$2:$B$25,2,0)</f>
        <v>0</v>
      </c>
    </row>
    <row r="920" customFormat="false" ht="15" hidden="false" customHeight="false" outlineLevel="0" collapsed="false">
      <c r="A920" s="13" t="n">
        <v>44581.1458333333</v>
      </c>
      <c r="B920" s="12" t="n">
        <v>462.716</v>
      </c>
      <c r="C920" s="0" t="n">
        <f aca="false">WEEKDAY(A920,2)</f>
        <v>4</v>
      </c>
      <c r="D920" s="0" t="n">
        <f aca="false">DAY(A920)</f>
        <v>20</v>
      </c>
      <c r="E920" s="0" t="n">
        <f aca="false">HOUR(A920)</f>
        <v>3</v>
      </c>
      <c r="F920" s="0" t="n">
        <f aca="false">IF(C920&gt;=6,0,1)</f>
        <v>1</v>
      </c>
      <c r="G920" s="0" t="n">
        <f aca="false">VLOOKUP(E920,Sheet1!$A$2:$B$25,2,0)</f>
        <v>0</v>
      </c>
    </row>
    <row r="921" customFormat="false" ht="15" hidden="false" customHeight="false" outlineLevel="0" collapsed="false">
      <c r="A921" s="13" t="n">
        <v>44581.1666666667</v>
      </c>
      <c r="B921" s="12" t="n">
        <v>438.98</v>
      </c>
      <c r="C921" s="0" t="n">
        <f aca="false">WEEKDAY(A921,2)</f>
        <v>4</v>
      </c>
      <c r="D921" s="0" t="n">
        <f aca="false">DAY(A921)</f>
        <v>20</v>
      </c>
      <c r="E921" s="0" t="n">
        <f aca="false">HOUR(A921)</f>
        <v>4</v>
      </c>
      <c r="F921" s="0" t="n">
        <f aca="false">IF(C921&gt;=6,0,1)</f>
        <v>1</v>
      </c>
      <c r="G921" s="0" t="n">
        <f aca="false">VLOOKUP(E921,Sheet1!$A$2:$B$25,2,0)</f>
        <v>1</v>
      </c>
    </row>
    <row r="922" customFormat="false" ht="15" hidden="false" customHeight="false" outlineLevel="0" collapsed="false">
      <c r="A922" s="13" t="n">
        <v>44581.1875</v>
      </c>
      <c r="B922" s="12" t="n">
        <v>827.761</v>
      </c>
      <c r="C922" s="0" t="n">
        <f aca="false">WEEKDAY(A922,2)</f>
        <v>4</v>
      </c>
      <c r="D922" s="0" t="n">
        <f aca="false">DAY(A922)</f>
        <v>20</v>
      </c>
      <c r="E922" s="0" t="n">
        <f aca="false">HOUR(A922)</f>
        <v>4</v>
      </c>
      <c r="F922" s="0" t="n">
        <f aca="false">IF(C922&gt;=6,0,1)</f>
        <v>1</v>
      </c>
      <c r="G922" s="0" t="n">
        <f aca="false">VLOOKUP(E922,Sheet1!$A$2:$B$25,2,0)</f>
        <v>1</v>
      </c>
    </row>
    <row r="923" customFormat="false" ht="15" hidden="false" customHeight="false" outlineLevel="0" collapsed="false">
      <c r="A923" s="13" t="n">
        <v>44581.2083333333</v>
      </c>
      <c r="B923" s="12" t="n">
        <v>636.02</v>
      </c>
      <c r="C923" s="0" t="n">
        <f aca="false">WEEKDAY(A923,2)</f>
        <v>4</v>
      </c>
      <c r="D923" s="0" t="n">
        <f aca="false">DAY(A923)</f>
        <v>20</v>
      </c>
      <c r="E923" s="0" t="n">
        <f aca="false">HOUR(A923)</f>
        <v>5</v>
      </c>
      <c r="F923" s="0" t="n">
        <f aca="false">IF(C923&gt;=6,0,1)</f>
        <v>1</v>
      </c>
      <c r="G923" s="0" t="n">
        <f aca="false">VLOOKUP(E923,Sheet1!$A$2:$B$25,2,0)</f>
        <v>1</v>
      </c>
    </row>
    <row r="924" customFormat="false" ht="15" hidden="false" customHeight="false" outlineLevel="0" collapsed="false">
      <c r="A924" s="13" t="n">
        <v>44581.2291666667</v>
      </c>
      <c r="B924" s="12" t="n">
        <v>637.196</v>
      </c>
      <c r="C924" s="0" t="n">
        <f aca="false">WEEKDAY(A924,2)</f>
        <v>4</v>
      </c>
      <c r="D924" s="0" t="n">
        <f aca="false">DAY(A924)</f>
        <v>20</v>
      </c>
      <c r="E924" s="0" t="n">
        <f aca="false">HOUR(A924)</f>
        <v>5</v>
      </c>
      <c r="F924" s="0" t="n">
        <f aca="false">IF(C924&gt;=6,0,1)</f>
        <v>1</v>
      </c>
      <c r="G924" s="0" t="n">
        <f aca="false">VLOOKUP(E924,Sheet1!$A$2:$B$25,2,0)</f>
        <v>1</v>
      </c>
    </row>
    <row r="925" customFormat="false" ht="15" hidden="false" customHeight="false" outlineLevel="0" collapsed="false">
      <c r="A925" s="13" t="n">
        <v>44581.25</v>
      </c>
      <c r="B925" s="12" t="n">
        <v>762.025</v>
      </c>
      <c r="C925" s="0" t="n">
        <f aca="false">WEEKDAY(A925,2)</f>
        <v>4</v>
      </c>
      <c r="D925" s="0" t="n">
        <f aca="false">DAY(A925)</f>
        <v>20</v>
      </c>
      <c r="E925" s="0" t="n">
        <f aca="false">HOUR(A925)</f>
        <v>6</v>
      </c>
      <c r="F925" s="0" t="n">
        <f aca="false">IF(C925&gt;=6,0,1)</f>
        <v>1</v>
      </c>
      <c r="G925" s="0" t="n">
        <f aca="false">VLOOKUP(E925,Sheet1!$A$2:$B$25,2,0)</f>
        <v>1</v>
      </c>
    </row>
    <row r="926" customFormat="false" ht="15" hidden="false" customHeight="false" outlineLevel="0" collapsed="false">
      <c r="A926" s="13" t="n">
        <v>44581.2708333333</v>
      </c>
      <c r="B926" s="12" t="n">
        <v>849.116</v>
      </c>
      <c r="C926" s="0" t="n">
        <f aca="false">WEEKDAY(A926,2)</f>
        <v>4</v>
      </c>
      <c r="D926" s="0" t="n">
        <f aca="false">DAY(A926)</f>
        <v>20</v>
      </c>
      <c r="E926" s="0" t="n">
        <f aca="false">HOUR(A926)</f>
        <v>6</v>
      </c>
      <c r="F926" s="0" t="n">
        <f aca="false">IF(C926&gt;=6,0,1)</f>
        <v>1</v>
      </c>
      <c r="G926" s="0" t="n">
        <f aca="false">VLOOKUP(E926,Sheet1!$A$2:$B$25,2,0)</f>
        <v>1</v>
      </c>
    </row>
    <row r="927" customFormat="false" ht="15" hidden="false" customHeight="false" outlineLevel="0" collapsed="false">
      <c r="A927" s="13" t="n">
        <v>44581.2916666667</v>
      </c>
      <c r="B927" s="12" t="n">
        <v>870.356</v>
      </c>
      <c r="C927" s="0" t="n">
        <f aca="false">WEEKDAY(A927,2)</f>
        <v>4</v>
      </c>
      <c r="D927" s="0" t="n">
        <f aca="false">DAY(A927)</f>
        <v>20</v>
      </c>
      <c r="E927" s="0" t="n">
        <f aca="false">HOUR(A927)</f>
        <v>7</v>
      </c>
      <c r="F927" s="0" t="n">
        <f aca="false">IF(C927&gt;=6,0,1)</f>
        <v>1</v>
      </c>
      <c r="G927" s="0" t="n">
        <f aca="false">VLOOKUP(E927,Sheet1!$A$2:$B$25,2,0)</f>
        <v>1</v>
      </c>
    </row>
    <row r="928" customFormat="false" ht="15" hidden="false" customHeight="false" outlineLevel="0" collapsed="false">
      <c r="A928" s="13" t="n">
        <v>44581.3125</v>
      </c>
      <c r="B928" s="12" t="n">
        <v>932.185</v>
      </c>
      <c r="C928" s="0" t="n">
        <f aca="false">WEEKDAY(A928,2)</f>
        <v>4</v>
      </c>
      <c r="D928" s="0" t="n">
        <f aca="false">DAY(A928)</f>
        <v>20</v>
      </c>
      <c r="E928" s="0" t="n">
        <f aca="false">HOUR(A928)</f>
        <v>7</v>
      </c>
      <c r="F928" s="0" t="n">
        <f aca="false">IF(C928&gt;=6,0,1)</f>
        <v>1</v>
      </c>
      <c r="G928" s="0" t="n">
        <f aca="false">VLOOKUP(E928,Sheet1!$A$2:$B$25,2,0)</f>
        <v>1</v>
      </c>
    </row>
    <row r="929" customFormat="false" ht="15" hidden="false" customHeight="false" outlineLevel="0" collapsed="false">
      <c r="A929" s="13" t="n">
        <v>44581.3333333333</v>
      </c>
      <c r="B929" s="12" t="n">
        <v>934.196</v>
      </c>
      <c r="C929" s="0" t="n">
        <f aca="false">WEEKDAY(A929,2)</f>
        <v>4</v>
      </c>
      <c r="D929" s="0" t="n">
        <f aca="false">DAY(A929)</f>
        <v>20</v>
      </c>
      <c r="E929" s="0" t="n">
        <f aca="false">HOUR(A929)</f>
        <v>8</v>
      </c>
      <c r="F929" s="0" t="n">
        <f aca="false">IF(C929&gt;=6,0,1)</f>
        <v>1</v>
      </c>
      <c r="G929" s="0" t="n">
        <f aca="false">VLOOKUP(E929,Sheet1!$A$2:$B$25,2,0)</f>
        <v>1</v>
      </c>
    </row>
    <row r="930" customFormat="false" ht="15" hidden="false" customHeight="false" outlineLevel="0" collapsed="false">
      <c r="A930" s="13" t="n">
        <v>44581.3541666667</v>
      </c>
      <c r="B930" s="12" t="n">
        <v>950.18</v>
      </c>
      <c r="C930" s="0" t="n">
        <f aca="false">WEEKDAY(A930,2)</f>
        <v>4</v>
      </c>
      <c r="D930" s="0" t="n">
        <f aca="false">DAY(A930)</f>
        <v>20</v>
      </c>
      <c r="E930" s="0" t="n">
        <f aca="false">HOUR(A930)</f>
        <v>8</v>
      </c>
      <c r="F930" s="0" t="n">
        <f aca="false">IF(C930&gt;=6,0,1)</f>
        <v>1</v>
      </c>
      <c r="G930" s="0" t="n">
        <f aca="false">VLOOKUP(E930,Sheet1!$A$2:$B$25,2,0)</f>
        <v>1</v>
      </c>
    </row>
    <row r="931" customFormat="false" ht="15" hidden="false" customHeight="false" outlineLevel="0" collapsed="false">
      <c r="A931" s="13" t="n">
        <v>44581.375</v>
      </c>
      <c r="B931" s="12" t="n">
        <v>975.265</v>
      </c>
      <c r="C931" s="0" t="n">
        <f aca="false">WEEKDAY(A931,2)</f>
        <v>4</v>
      </c>
      <c r="D931" s="0" t="n">
        <f aca="false">DAY(A931)</f>
        <v>20</v>
      </c>
      <c r="E931" s="0" t="n">
        <f aca="false">HOUR(A931)</f>
        <v>9</v>
      </c>
      <c r="F931" s="0" t="n">
        <f aca="false">IF(C931&gt;=6,0,1)</f>
        <v>1</v>
      </c>
      <c r="G931" s="0" t="n">
        <f aca="false">VLOOKUP(E931,Sheet1!$A$2:$B$25,2,0)</f>
        <v>1</v>
      </c>
    </row>
    <row r="932" customFormat="false" ht="15" hidden="false" customHeight="false" outlineLevel="0" collapsed="false">
      <c r="A932" s="13" t="n">
        <v>44581.3958333333</v>
      </c>
      <c r="B932" s="12" t="n">
        <v>969.116</v>
      </c>
      <c r="C932" s="0" t="n">
        <f aca="false">WEEKDAY(A932,2)</f>
        <v>4</v>
      </c>
      <c r="D932" s="0" t="n">
        <f aca="false">DAY(A932)</f>
        <v>20</v>
      </c>
      <c r="E932" s="0" t="n">
        <f aca="false">HOUR(A932)</f>
        <v>9</v>
      </c>
      <c r="F932" s="0" t="n">
        <f aca="false">IF(C932&gt;=6,0,1)</f>
        <v>1</v>
      </c>
      <c r="G932" s="0" t="n">
        <f aca="false">VLOOKUP(E932,Sheet1!$A$2:$B$25,2,0)</f>
        <v>1</v>
      </c>
    </row>
    <row r="933" customFormat="false" ht="15" hidden="false" customHeight="false" outlineLevel="0" collapsed="false">
      <c r="A933" s="13" t="n">
        <v>44581.4166666667</v>
      </c>
      <c r="B933" s="12" t="n">
        <v>969.26</v>
      </c>
      <c r="C933" s="0" t="n">
        <f aca="false">WEEKDAY(A933,2)</f>
        <v>4</v>
      </c>
      <c r="D933" s="0" t="n">
        <f aca="false">DAY(A933)</f>
        <v>20</v>
      </c>
      <c r="E933" s="0" t="n">
        <f aca="false">HOUR(A933)</f>
        <v>10</v>
      </c>
      <c r="F933" s="0" t="n">
        <f aca="false">IF(C933&gt;=6,0,1)</f>
        <v>1</v>
      </c>
      <c r="G933" s="0" t="n">
        <f aca="false">VLOOKUP(E933,Sheet1!$A$2:$B$25,2,0)</f>
        <v>1</v>
      </c>
    </row>
    <row r="934" customFormat="false" ht="15" hidden="false" customHeight="false" outlineLevel="0" collapsed="false">
      <c r="A934" s="13" t="n">
        <v>44581.4375</v>
      </c>
      <c r="B934" s="12" t="n">
        <v>926.396</v>
      </c>
      <c r="C934" s="0" t="n">
        <f aca="false">WEEKDAY(A934,2)</f>
        <v>4</v>
      </c>
      <c r="D934" s="0" t="n">
        <f aca="false">DAY(A934)</f>
        <v>20</v>
      </c>
      <c r="E934" s="0" t="n">
        <f aca="false">HOUR(A934)</f>
        <v>10</v>
      </c>
      <c r="F934" s="0" t="n">
        <f aca="false">IF(C934&gt;=6,0,1)</f>
        <v>1</v>
      </c>
      <c r="G934" s="0" t="n">
        <f aca="false">VLOOKUP(E934,Sheet1!$A$2:$B$25,2,0)</f>
        <v>1</v>
      </c>
    </row>
    <row r="935" customFormat="false" ht="15" hidden="false" customHeight="false" outlineLevel="0" collapsed="false">
      <c r="A935" s="13" t="n">
        <v>44581.4583333333</v>
      </c>
      <c r="B935" s="12" t="n">
        <v>959.66</v>
      </c>
      <c r="C935" s="0" t="n">
        <f aca="false">WEEKDAY(A935,2)</f>
        <v>4</v>
      </c>
      <c r="D935" s="0" t="n">
        <f aca="false">DAY(A935)</f>
        <v>20</v>
      </c>
      <c r="E935" s="0" t="n">
        <f aca="false">HOUR(A935)</f>
        <v>11</v>
      </c>
      <c r="F935" s="0" t="n">
        <f aca="false">IF(C935&gt;=6,0,1)</f>
        <v>1</v>
      </c>
      <c r="G935" s="0" t="n">
        <f aca="false">VLOOKUP(E935,Sheet1!$A$2:$B$25,2,0)</f>
        <v>1</v>
      </c>
    </row>
    <row r="936" customFormat="false" ht="15" hidden="false" customHeight="false" outlineLevel="0" collapsed="false">
      <c r="A936" s="13" t="n">
        <v>44581.4791666667</v>
      </c>
      <c r="B936" s="12" t="n">
        <v>869.06</v>
      </c>
      <c r="C936" s="0" t="n">
        <f aca="false">WEEKDAY(A936,2)</f>
        <v>4</v>
      </c>
      <c r="D936" s="0" t="n">
        <f aca="false">DAY(A936)</f>
        <v>20</v>
      </c>
      <c r="E936" s="0" t="n">
        <f aca="false">HOUR(A936)</f>
        <v>11</v>
      </c>
      <c r="F936" s="0" t="n">
        <f aca="false">IF(C936&gt;=6,0,1)</f>
        <v>1</v>
      </c>
      <c r="G936" s="0" t="n">
        <f aca="false">VLOOKUP(E936,Sheet1!$A$2:$B$25,2,0)</f>
        <v>1</v>
      </c>
    </row>
    <row r="937" customFormat="false" ht="15" hidden="false" customHeight="false" outlineLevel="0" collapsed="false">
      <c r="A937" s="13" t="n">
        <v>44581.5</v>
      </c>
      <c r="B937" s="12" t="n">
        <v>909.001</v>
      </c>
      <c r="C937" s="0" t="n">
        <f aca="false">WEEKDAY(A937,2)</f>
        <v>4</v>
      </c>
      <c r="D937" s="0" t="n">
        <f aca="false">DAY(A937)</f>
        <v>20</v>
      </c>
      <c r="E937" s="0" t="n">
        <f aca="false">HOUR(A937)</f>
        <v>12</v>
      </c>
      <c r="F937" s="0" t="n">
        <f aca="false">IF(C937&gt;=6,0,1)</f>
        <v>1</v>
      </c>
      <c r="G937" s="0" t="n">
        <f aca="false">VLOOKUP(E937,Sheet1!$A$2:$B$25,2,0)</f>
        <v>1</v>
      </c>
    </row>
    <row r="938" customFormat="false" ht="15" hidden="false" customHeight="false" outlineLevel="0" collapsed="false">
      <c r="A938" s="13" t="n">
        <v>44581.5208333333</v>
      </c>
      <c r="B938" s="12" t="n">
        <v>852.356</v>
      </c>
      <c r="C938" s="0" t="n">
        <f aca="false">WEEKDAY(A938,2)</f>
        <v>4</v>
      </c>
      <c r="D938" s="0" t="n">
        <f aca="false">DAY(A938)</f>
        <v>20</v>
      </c>
      <c r="E938" s="0" t="n">
        <f aca="false">HOUR(A938)</f>
        <v>12</v>
      </c>
      <c r="F938" s="0" t="n">
        <f aca="false">IF(C938&gt;=6,0,1)</f>
        <v>1</v>
      </c>
      <c r="G938" s="0" t="n">
        <f aca="false">VLOOKUP(E938,Sheet1!$A$2:$B$25,2,0)</f>
        <v>1</v>
      </c>
    </row>
    <row r="939" customFormat="false" ht="15" hidden="false" customHeight="false" outlineLevel="0" collapsed="false">
      <c r="A939" s="13" t="n">
        <v>44581.5416666667</v>
      </c>
      <c r="B939" s="12" t="n">
        <v>861.116</v>
      </c>
      <c r="C939" s="0" t="n">
        <f aca="false">WEEKDAY(A939,2)</f>
        <v>4</v>
      </c>
      <c r="D939" s="0" t="n">
        <f aca="false">DAY(A939)</f>
        <v>20</v>
      </c>
      <c r="E939" s="0" t="n">
        <f aca="false">HOUR(A939)</f>
        <v>13</v>
      </c>
      <c r="F939" s="0" t="n">
        <f aca="false">IF(C939&gt;=6,0,1)</f>
        <v>1</v>
      </c>
      <c r="G939" s="0" t="n">
        <f aca="false">VLOOKUP(E939,Sheet1!$A$2:$B$25,2,0)</f>
        <v>1</v>
      </c>
    </row>
    <row r="940" customFormat="false" ht="15" hidden="false" customHeight="false" outlineLevel="0" collapsed="false">
      <c r="A940" s="13" t="n">
        <v>44581.5625</v>
      </c>
      <c r="B940" s="12" t="n">
        <v>832.465</v>
      </c>
      <c r="C940" s="0" t="n">
        <f aca="false">WEEKDAY(A940,2)</f>
        <v>4</v>
      </c>
      <c r="D940" s="0" t="n">
        <f aca="false">DAY(A940)</f>
        <v>20</v>
      </c>
      <c r="E940" s="0" t="n">
        <f aca="false">HOUR(A940)</f>
        <v>13</v>
      </c>
      <c r="F940" s="0" t="n">
        <f aca="false">IF(C940&gt;=6,0,1)</f>
        <v>1</v>
      </c>
      <c r="G940" s="0" t="n">
        <f aca="false">VLOOKUP(E940,Sheet1!$A$2:$B$25,2,0)</f>
        <v>1</v>
      </c>
    </row>
    <row r="941" customFormat="false" ht="15" hidden="false" customHeight="false" outlineLevel="0" collapsed="false">
      <c r="A941" s="13" t="n">
        <v>44581.5833333333</v>
      </c>
      <c r="B941" s="12" t="n">
        <v>678.476</v>
      </c>
      <c r="C941" s="0" t="n">
        <f aca="false">WEEKDAY(A941,2)</f>
        <v>4</v>
      </c>
      <c r="D941" s="0" t="n">
        <f aca="false">DAY(A941)</f>
        <v>20</v>
      </c>
      <c r="E941" s="0" t="n">
        <f aca="false">HOUR(A941)</f>
        <v>14</v>
      </c>
      <c r="F941" s="0" t="n">
        <f aca="false">IF(C941&gt;=6,0,1)</f>
        <v>1</v>
      </c>
      <c r="G941" s="0" t="n">
        <f aca="false">VLOOKUP(E941,Sheet1!$A$2:$B$25,2,0)</f>
        <v>1</v>
      </c>
    </row>
    <row r="942" customFormat="false" ht="15" hidden="false" customHeight="false" outlineLevel="0" collapsed="false">
      <c r="A942" s="13" t="n">
        <v>44581.6041666667</v>
      </c>
      <c r="B942" s="12" t="n">
        <v>440.636</v>
      </c>
      <c r="C942" s="0" t="n">
        <f aca="false">WEEKDAY(A942,2)</f>
        <v>4</v>
      </c>
      <c r="D942" s="0" t="n">
        <f aca="false">DAY(A942)</f>
        <v>20</v>
      </c>
      <c r="E942" s="0" t="n">
        <f aca="false">HOUR(A942)</f>
        <v>14</v>
      </c>
      <c r="F942" s="0" t="n">
        <f aca="false">IF(C942&gt;=6,0,1)</f>
        <v>1</v>
      </c>
      <c r="G942" s="0" t="n">
        <f aca="false">VLOOKUP(E942,Sheet1!$A$2:$B$25,2,0)</f>
        <v>1</v>
      </c>
    </row>
    <row r="943" customFormat="false" ht="15" hidden="false" customHeight="false" outlineLevel="0" collapsed="false">
      <c r="A943" s="13" t="n">
        <v>44581.625</v>
      </c>
      <c r="B943" s="12" t="n">
        <v>406.945</v>
      </c>
      <c r="C943" s="0" t="n">
        <f aca="false">WEEKDAY(A943,2)</f>
        <v>4</v>
      </c>
      <c r="D943" s="0" t="n">
        <f aca="false">DAY(A943)</f>
        <v>20</v>
      </c>
      <c r="E943" s="0" t="n">
        <f aca="false">HOUR(A943)</f>
        <v>15</v>
      </c>
      <c r="F943" s="0" t="n">
        <f aca="false">IF(C943&gt;=6,0,1)</f>
        <v>1</v>
      </c>
      <c r="G943" s="0" t="n">
        <f aca="false">VLOOKUP(E943,Sheet1!$A$2:$B$25,2,0)</f>
        <v>1</v>
      </c>
    </row>
    <row r="944" customFormat="false" ht="15" hidden="false" customHeight="false" outlineLevel="0" collapsed="false">
      <c r="A944" s="13" t="n">
        <v>44581.6458333333</v>
      </c>
      <c r="B944" s="12" t="n">
        <v>403.1</v>
      </c>
      <c r="C944" s="0" t="n">
        <f aca="false">WEEKDAY(A944,2)</f>
        <v>4</v>
      </c>
      <c r="D944" s="0" t="n">
        <f aca="false">DAY(A944)</f>
        <v>20</v>
      </c>
      <c r="E944" s="0" t="n">
        <f aca="false">HOUR(A944)</f>
        <v>15</v>
      </c>
      <c r="F944" s="0" t="n">
        <f aca="false">IF(C944&gt;=6,0,1)</f>
        <v>1</v>
      </c>
      <c r="G944" s="0" t="n">
        <f aca="false">VLOOKUP(E944,Sheet1!$A$2:$B$25,2,0)</f>
        <v>1</v>
      </c>
    </row>
    <row r="945" customFormat="false" ht="15" hidden="false" customHeight="false" outlineLevel="0" collapsed="false">
      <c r="A945" s="13" t="n">
        <v>44581.6666666667</v>
      </c>
      <c r="B945" s="12" t="n">
        <v>386.156</v>
      </c>
      <c r="C945" s="0" t="n">
        <f aca="false">WEEKDAY(A945,2)</f>
        <v>4</v>
      </c>
      <c r="D945" s="0" t="n">
        <f aca="false">DAY(A945)</f>
        <v>20</v>
      </c>
      <c r="E945" s="0" t="n">
        <f aca="false">HOUR(A945)</f>
        <v>16</v>
      </c>
      <c r="F945" s="0" t="n">
        <f aca="false">IF(C945&gt;=6,0,1)</f>
        <v>1</v>
      </c>
      <c r="G945" s="0" t="n">
        <f aca="false">VLOOKUP(E945,Sheet1!$A$2:$B$25,2,0)</f>
        <v>0</v>
      </c>
    </row>
    <row r="946" customFormat="false" ht="15" hidden="false" customHeight="false" outlineLevel="0" collapsed="false">
      <c r="A946" s="13" t="n">
        <v>44581.6875</v>
      </c>
      <c r="B946" s="12" t="n">
        <v>379.081</v>
      </c>
      <c r="C946" s="0" t="n">
        <f aca="false">WEEKDAY(A946,2)</f>
        <v>4</v>
      </c>
      <c r="D946" s="0" t="n">
        <f aca="false">DAY(A946)</f>
        <v>20</v>
      </c>
      <c r="E946" s="0" t="n">
        <f aca="false">HOUR(A946)</f>
        <v>16</v>
      </c>
      <c r="F946" s="0" t="n">
        <f aca="false">IF(C946&gt;=6,0,1)</f>
        <v>1</v>
      </c>
      <c r="G946" s="0" t="n">
        <f aca="false">VLOOKUP(E946,Sheet1!$A$2:$B$25,2,0)</f>
        <v>0</v>
      </c>
    </row>
    <row r="947" customFormat="false" ht="15" hidden="false" customHeight="false" outlineLevel="0" collapsed="false">
      <c r="A947" s="13" t="n">
        <v>44581.7083333333</v>
      </c>
      <c r="B947" s="12" t="n">
        <v>371.42</v>
      </c>
      <c r="C947" s="0" t="n">
        <f aca="false">WEEKDAY(A947,2)</f>
        <v>4</v>
      </c>
      <c r="D947" s="0" t="n">
        <f aca="false">DAY(A947)</f>
        <v>20</v>
      </c>
      <c r="E947" s="0" t="n">
        <f aca="false">HOUR(A947)</f>
        <v>17</v>
      </c>
      <c r="F947" s="0" t="n">
        <f aca="false">IF(C947&gt;=6,0,1)</f>
        <v>1</v>
      </c>
      <c r="G947" s="0" t="n">
        <f aca="false">VLOOKUP(E947,Sheet1!$A$2:$B$25,2,0)</f>
        <v>0</v>
      </c>
    </row>
    <row r="948" customFormat="false" ht="15" hidden="false" customHeight="false" outlineLevel="0" collapsed="false">
      <c r="A948" s="13" t="n">
        <v>44581.7291666667</v>
      </c>
      <c r="B948" s="12" t="n">
        <v>380.756</v>
      </c>
      <c r="C948" s="0" t="n">
        <f aca="false">WEEKDAY(A948,2)</f>
        <v>4</v>
      </c>
      <c r="D948" s="0" t="n">
        <f aca="false">DAY(A948)</f>
        <v>20</v>
      </c>
      <c r="E948" s="0" t="n">
        <f aca="false">HOUR(A948)</f>
        <v>17</v>
      </c>
      <c r="F948" s="0" t="n">
        <f aca="false">IF(C948&gt;=6,0,1)</f>
        <v>1</v>
      </c>
      <c r="G948" s="0" t="n">
        <f aca="false">VLOOKUP(E948,Sheet1!$A$2:$B$25,2,0)</f>
        <v>0</v>
      </c>
    </row>
    <row r="949" customFormat="false" ht="15" hidden="false" customHeight="false" outlineLevel="0" collapsed="false">
      <c r="A949" s="13" t="n">
        <v>44581.75</v>
      </c>
      <c r="B949" s="12" t="n">
        <v>383.281</v>
      </c>
      <c r="C949" s="0" t="n">
        <f aca="false">WEEKDAY(A949,2)</f>
        <v>4</v>
      </c>
      <c r="D949" s="0" t="n">
        <f aca="false">DAY(A949)</f>
        <v>20</v>
      </c>
      <c r="E949" s="0" t="n">
        <f aca="false">HOUR(A949)</f>
        <v>18</v>
      </c>
      <c r="F949" s="0" t="n">
        <f aca="false">IF(C949&gt;=6,0,1)</f>
        <v>1</v>
      </c>
      <c r="G949" s="0" t="n">
        <f aca="false">VLOOKUP(E949,Sheet1!$A$2:$B$25,2,0)</f>
        <v>0</v>
      </c>
    </row>
    <row r="950" customFormat="false" ht="15" hidden="false" customHeight="false" outlineLevel="0" collapsed="false">
      <c r="A950" s="13" t="n">
        <v>44581.7708333333</v>
      </c>
      <c r="B950" s="12" t="n">
        <v>381.116</v>
      </c>
      <c r="C950" s="0" t="n">
        <f aca="false">WEEKDAY(A950,2)</f>
        <v>4</v>
      </c>
      <c r="D950" s="0" t="n">
        <f aca="false">DAY(A950)</f>
        <v>20</v>
      </c>
      <c r="E950" s="0" t="n">
        <f aca="false">HOUR(A950)</f>
        <v>18</v>
      </c>
      <c r="F950" s="0" t="n">
        <f aca="false">IF(C950&gt;=6,0,1)</f>
        <v>1</v>
      </c>
      <c r="G950" s="0" t="n">
        <f aca="false">VLOOKUP(E950,Sheet1!$A$2:$B$25,2,0)</f>
        <v>0</v>
      </c>
    </row>
    <row r="951" customFormat="false" ht="15" hidden="false" customHeight="false" outlineLevel="0" collapsed="false">
      <c r="A951" s="13" t="n">
        <v>44581.7916666667</v>
      </c>
      <c r="B951" s="12" t="n">
        <v>371.3</v>
      </c>
      <c r="C951" s="0" t="n">
        <f aca="false">WEEKDAY(A951,2)</f>
        <v>4</v>
      </c>
      <c r="D951" s="0" t="n">
        <f aca="false">DAY(A951)</f>
        <v>20</v>
      </c>
      <c r="E951" s="0" t="n">
        <f aca="false">HOUR(A951)</f>
        <v>19</v>
      </c>
      <c r="F951" s="0" t="n">
        <f aca="false">IF(C951&gt;=6,0,1)</f>
        <v>1</v>
      </c>
      <c r="G951" s="0" t="n">
        <f aca="false">VLOOKUP(E951,Sheet1!$A$2:$B$25,2,0)</f>
        <v>0</v>
      </c>
    </row>
    <row r="952" customFormat="false" ht="15" hidden="false" customHeight="false" outlineLevel="0" collapsed="false">
      <c r="A952" s="13" t="n">
        <v>44581.8125</v>
      </c>
      <c r="B952" s="12" t="n">
        <v>371.156</v>
      </c>
      <c r="C952" s="0" t="n">
        <f aca="false">WEEKDAY(A952,2)</f>
        <v>4</v>
      </c>
      <c r="D952" s="0" t="n">
        <f aca="false">DAY(A952)</f>
        <v>20</v>
      </c>
      <c r="E952" s="0" t="n">
        <f aca="false">HOUR(A952)</f>
        <v>19</v>
      </c>
      <c r="F952" s="0" t="n">
        <f aca="false">IF(C952&gt;=6,0,1)</f>
        <v>1</v>
      </c>
      <c r="G952" s="0" t="n">
        <f aca="false">VLOOKUP(E952,Sheet1!$A$2:$B$25,2,0)</f>
        <v>0</v>
      </c>
    </row>
    <row r="953" customFormat="false" ht="15" hidden="false" customHeight="false" outlineLevel="0" collapsed="false">
      <c r="A953" s="13" t="n">
        <v>44581.8333333333</v>
      </c>
      <c r="B953" s="12" t="n">
        <v>372.596</v>
      </c>
      <c r="C953" s="0" t="n">
        <f aca="false">WEEKDAY(A953,2)</f>
        <v>4</v>
      </c>
      <c r="D953" s="0" t="n">
        <f aca="false">DAY(A953)</f>
        <v>20</v>
      </c>
      <c r="E953" s="0" t="n">
        <f aca="false">HOUR(A953)</f>
        <v>20</v>
      </c>
      <c r="F953" s="0" t="n">
        <f aca="false">IF(C953&gt;=6,0,1)</f>
        <v>1</v>
      </c>
      <c r="G953" s="0" t="n">
        <f aca="false">VLOOKUP(E953,Sheet1!$A$2:$B$25,2,0)</f>
        <v>0</v>
      </c>
    </row>
    <row r="954" customFormat="false" ht="15" hidden="false" customHeight="false" outlineLevel="0" collapsed="false">
      <c r="A954" s="13" t="n">
        <v>44581.8541666667</v>
      </c>
      <c r="B954" s="12" t="n">
        <v>370.46</v>
      </c>
      <c r="C954" s="0" t="n">
        <f aca="false">WEEKDAY(A954,2)</f>
        <v>4</v>
      </c>
      <c r="D954" s="0" t="n">
        <f aca="false">DAY(A954)</f>
        <v>20</v>
      </c>
      <c r="E954" s="0" t="n">
        <f aca="false">HOUR(A954)</f>
        <v>20</v>
      </c>
      <c r="F954" s="0" t="n">
        <f aca="false">IF(C954&gt;=6,0,1)</f>
        <v>1</v>
      </c>
      <c r="G954" s="0" t="n">
        <f aca="false">VLOOKUP(E954,Sheet1!$A$2:$B$25,2,0)</f>
        <v>0</v>
      </c>
    </row>
    <row r="955" customFormat="false" ht="15" hidden="false" customHeight="false" outlineLevel="0" collapsed="false">
      <c r="A955" s="13" t="n">
        <v>44581.875</v>
      </c>
      <c r="B955" s="12" t="n">
        <v>344.521</v>
      </c>
      <c r="C955" s="0" t="n">
        <f aca="false">WEEKDAY(A955,2)</f>
        <v>4</v>
      </c>
      <c r="D955" s="0" t="n">
        <f aca="false">DAY(A955)</f>
        <v>20</v>
      </c>
      <c r="E955" s="0" t="n">
        <f aca="false">HOUR(A955)</f>
        <v>21</v>
      </c>
      <c r="F955" s="0" t="n">
        <f aca="false">IF(C955&gt;=6,0,1)</f>
        <v>1</v>
      </c>
      <c r="G955" s="0" t="n">
        <f aca="false">VLOOKUP(E955,Sheet1!$A$2:$B$25,2,0)</f>
        <v>0</v>
      </c>
    </row>
    <row r="956" customFormat="false" ht="15" hidden="false" customHeight="false" outlineLevel="0" collapsed="false">
      <c r="A956" s="13" t="n">
        <v>44581.8958333333</v>
      </c>
      <c r="B956" s="12" t="n">
        <v>359.3</v>
      </c>
      <c r="C956" s="0" t="n">
        <f aca="false">WEEKDAY(A956,2)</f>
        <v>4</v>
      </c>
      <c r="D956" s="0" t="n">
        <f aca="false">DAY(A956)</f>
        <v>20</v>
      </c>
      <c r="E956" s="0" t="n">
        <f aca="false">HOUR(A956)</f>
        <v>21</v>
      </c>
      <c r="F956" s="0" t="n">
        <f aca="false">IF(C956&gt;=6,0,1)</f>
        <v>1</v>
      </c>
      <c r="G956" s="0" t="n">
        <f aca="false">VLOOKUP(E956,Sheet1!$A$2:$B$25,2,0)</f>
        <v>0</v>
      </c>
    </row>
    <row r="957" customFormat="false" ht="15" hidden="false" customHeight="false" outlineLevel="0" collapsed="false">
      <c r="A957" s="13" t="n">
        <v>44581.9166666667</v>
      </c>
      <c r="B957" s="12" t="n">
        <v>349.196</v>
      </c>
      <c r="C957" s="0" t="n">
        <f aca="false">WEEKDAY(A957,2)</f>
        <v>4</v>
      </c>
      <c r="D957" s="0" t="n">
        <f aca="false">DAY(A957)</f>
        <v>20</v>
      </c>
      <c r="E957" s="0" t="n">
        <f aca="false">HOUR(A957)</f>
        <v>22</v>
      </c>
      <c r="F957" s="0" t="n">
        <f aca="false">IF(C957&gt;=6,0,1)</f>
        <v>1</v>
      </c>
      <c r="G957" s="0" t="n">
        <f aca="false">VLOOKUP(E957,Sheet1!$A$2:$B$25,2,0)</f>
        <v>0</v>
      </c>
    </row>
    <row r="958" customFormat="false" ht="15" hidden="false" customHeight="false" outlineLevel="0" collapsed="false">
      <c r="A958" s="13" t="n">
        <v>44581.9375</v>
      </c>
      <c r="B958" s="12" t="n">
        <v>349.105</v>
      </c>
      <c r="C958" s="0" t="n">
        <f aca="false">WEEKDAY(A958,2)</f>
        <v>4</v>
      </c>
      <c r="D958" s="0" t="n">
        <f aca="false">DAY(A958)</f>
        <v>20</v>
      </c>
      <c r="E958" s="0" t="n">
        <f aca="false">HOUR(A958)</f>
        <v>22</v>
      </c>
      <c r="F958" s="0" t="n">
        <f aca="false">IF(C958&gt;=6,0,1)</f>
        <v>1</v>
      </c>
      <c r="G958" s="0" t="n">
        <f aca="false">VLOOKUP(E958,Sheet1!$A$2:$B$25,2,0)</f>
        <v>0</v>
      </c>
    </row>
    <row r="959" customFormat="false" ht="15" hidden="false" customHeight="false" outlineLevel="0" collapsed="false">
      <c r="A959" s="13" t="n">
        <v>44581.9583333333</v>
      </c>
      <c r="B959" s="12" t="n">
        <v>346.676</v>
      </c>
      <c r="C959" s="0" t="n">
        <f aca="false">WEEKDAY(A959,2)</f>
        <v>4</v>
      </c>
      <c r="D959" s="0" t="n">
        <f aca="false">DAY(A959)</f>
        <v>20</v>
      </c>
      <c r="E959" s="0" t="n">
        <f aca="false">HOUR(A959)</f>
        <v>23</v>
      </c>
      <c r="F959" s="0" t="n">
        <f aca="false">IF(C959&gt;=6,0,1)</f>
        <v>1</v>
      </c>
      <c r="G959" s="0" t="n">
        <f aca="false">VLOOKUP(E959,Sheet1!$A$2:$B$25,2,0)</f>
        <v>0</v>
      </c>
    </row>
    <row r="960" customFormat="false" ht="15" hidden="false" customHeight="false" outlineLevel="0" collapsed="false">
      <c r="A960" s="13" t="n">
        <v>44581.9791666667</v>
      </c>
      <c r="B960" s="12" t="n">
        <v>347.785</v>
      </c>
      <c r="C960" s="0" t="n">
        <f aca="false">WEEKDAY(A960,2)</f>
        <v>4</v>
      </c>
      <c r="D960" s="0" t="n">
        <f aca="false">DAY(A960)</f>
        <v>20</v>
      </c>
      <c r="E960" s="0" t="n">
        <f aca="false">HOUR(A960)</f>
        <v>23</v>
      </c>
      <c r="F960" s="0" t="n">
        <f aca="false">IF(C960&gt;=6,0,1)</f>
        <v>1</v>
      </c>
      <c r="G960" s="0" t="n">
        <f aca="false">VLOOKUP(E960,Sheet1!$A$2:$B$25,2,0)</f>
        <v>0</v>
      </c>
    </row>
    <row r="961" customFormat="false" ht="15" hidden="false" customHeight="false" outlineLevel="0" collapsed="false">
      <c r="A961" s="13" t="n">
        <v>44582</v>
      </c>
      <c r="B961" s="12" t="n">
        <v>345.236</v>
      </c>
      <c r="C961" s="0" t="n">
        <f aca="false">WEEKDAY(A961,2)</f>
        <v>5</v>
      </c>
      <c r="D961" s="0" t="n">
        <f aca="false">DAY(A961)</f>
        <v>21</v>
      </c>
      <c r="E961" s="0" t="n">
        <f aca="false">HOUR(A961)</f>
        <v>0</v>
      </c>
      <c r="F961" s="0" t="n">
        <f aca="false">IF(C961&gt;=6,0,1)</f>
        <v>1</v>
      </c>
      <c r="G961" s="0" t="n">
        <f aca="false">VLOOKUP(E961,Sheet1!$A$2:$B$25,2,0)</f>
        <v>0</v>
      </c>
    </row>
    <row r="962" customFormat="false" ht="15" hidden="false" customHeight="false" outlineLevel="0" collapsed="false">
      <c r="A962" s="13" t="n">
        <v>44582.0208333333</v>
      </c>
      <c r="B962" s="12" t="n">
        <v>349.436</v>
      </c>
      <c r="C962" s="0" t="n">
        <f aca="false">WEEKDAY(A962,2)</f>
        <v>5</v>
      </c>
      <c r="D962" s="0" t="n">
        <f aca="false">DAY(A962)</f>
        <v>21</v>
      </c>
      <c r="E962" s="0" t="n">
        <f aca="false">HOUR(A962)</f>
        <v>0</v>
      </c>
      <c r="F962" s="0" t="n">
        <f aca="false">IF(C962&gt;=6,0,1)</f>
        <v>1</v>
      </c>
      <c r="G962" s="0" t="n">
        <f aca="false">VLOOKUP(E962,Sheet1!$A$2:$B$25,2,0)</f>
        <v>0</v>
      </c>
    </row>
    <row r="963" customFormat="false" ht="15" hidden="false" customHeight="false" outlineLevel="0" collapsed="false">
      <c r="A963" s="13" t="n">
        <v>44582.0416666667</v>
      </c>
      <c r="B963" s="12" t="n">
        <v>347.881</v>
      </c>
      <c r="C963" s="0" t="n">
        <f aca="false">WEEKDAY(A963,2)</f>
        <v>5</v>
      </c>
      <c r="D963" s="0" t="n">
        <f aca="false">DAY(A963)</f>
        <v>21</v>
      </c>
      <c r="E963" s="0" t="n">
        <f aca="false">HOUR(A963)</f>
        <v>1</v>
      </c>
      <c r="F963" s="0" t="n">
        <f aca="false">IF(C963&gt;=6,0,1)</f>
        <v>1</v>
      </c>
      <c r="G963" s="0" t="n">
        <f aca="false">VLOOKUP(E963,Sheet1!$A$2:$B$25,2,0)</f>
        <v>0</v>
      </c>
    </row>
    <row r="964" customFormat="false" ht="15" hidden="false" customHeight="false" outlineLevel="0" collapsed="false">
      <c r="A964" s="13" t="n">
        <v>44582.0625</v>
      </c>
      <c r="B964" s="12" t="n">
        <v>348.26</v>
      </c>
      <c r="C964" s="0" t="n">
        <f aca="false">WEEKDAY(A964,2)</f>
        <v>5</v>
      </c>
      <c r="D964" s="0" t="n">
        <f aca="false">DAY(A964)</f>
        <v>21</v>
      </c>
      <c r="E964" s="0" t="n">
        <f aca="false">HOUR(A964)</f>
        <v>1</v>
      </c>
      <c r="F964" s="0" t="n">
        <f aca="false">IF(C964&gt;=6,0,1)</f>
        <v>1</v>
      </c>
      <c r="G964" s="0" t="n">
        <f aca="false">VLOOKUP(E964,Sheet1!$A$2:$B$25,2,0)</f>
        <v>0</v>
      </c>
    </row>
    <row r="965" customFormat="false" ht="15" hidden="false" customHeight="false" outlineLevel="0" collapsed="false">
      <c r="A965" s="13" t="n">
        <v>44582.0833333333</v>
      </c>
      <c r="B965" s="12" t="n">
        <v>350.185</v>
      </c>
      <c r="C965" s="0" t="n">
        <f aca="false">WEEKDAY(A965,2)</f>
        <v>5</v>
      </c>
      <c r="D965" s="0" t="n">
        <f aca="false">DAY(A965)</f>
        <v>21</v>
      </c>
      <c r="E965" s="0" t="n">
        <f aca="false">HOUR(A965)</f>
        <v>2</v>
      </c>
      <c r="F965" s="0" t="n">
        <f aca="false">IF(C965&gt;=6,0,1)</f>
        <v>1</v>
      </c>
      <c r="G965" s="0" t="n">
        <f aca="false">VLOOKUP(E965,Sheet1!$A$2:$B$25,2,0)</f>
        <v>0</v>
      </c>
    </row>
    <row r="966" customFormat="false" ht="15" hidden="false" customHeight="false" outlineLevel="0" collapsed="false">
      <c r="A966" s="13" t="n">
        <v>44582.1041666667</v>
      </c>
      <c r="B966" s="12" t="n">
        <v>349.7</v>
      </c>
      <c r="C966" s="0" t="n">
        <f aca="false">WEEKDAY(A966,2)</f>
        <v>5</v>
      </c>
      <c r="D966" s="0" t="n">
        <f aca="false">DAY(A966)</f>
        <v>21</v>
      </c>
      <c r="E966" s="0" t="n">
        <f aca="false">HOUR(A966)</f>
        <v>2</v>
      </c>
      <c r="F966" s="0" t="n">
        <f aca="false">IF(C966&gt;=6,0,1)</f>
        <v>1</v>
      </c>
      <c r="G966" s="0" t="n">
        <f aca="false">VLOOKUP(E966,Sheet1!$A$2:$B$25,2,0)</f>
        <v>0</v>
      </c>
    </row>
    <row r="967" customFormat="false" ht="15" hidden="false" customHeight="false" outlineLevel="0" collapsed="false">
      <c r="A967" s="13" t="n">
        <v>44582.125</v>
      </c>
      <c r="B967" s="12" t="n">
        <v>349.225</v>
      </c>
      <c r="C967" s="0" t="n">
        <f aca="false">WEEKDAY(A967,2)</f>
        <v>5</v>
      </c>
      <c r="D967" s="0" t="n">
        <f aca="false">DAY(A967)</f>
        <v>21</v>
      </c>
      <c r="E967" s="0" t="n">
        <f aca="false">HOUR(A967)</f>
        <v>3</v>
      </c>
      <c r="F967" s="0" t="n">
        <f aca="false">IF(C967&gt;=6,0,1)</f>
        <v>1</v>
      </c>
      <c r="G967" s="0" t="n">
        <f aca="false">VLOOKUP(E967,Sheet1!$A$2:$B$25,2,0)</f>
        <v>0</v>
      </c>
    </row>
    <row r="968" customFormat="false" ht="15" hidden="false" customHeight="false" outlineLevel="0" collapsed="false">
      <c r="A968" s="13" t="n">
        <v>44582.1458333333</v>
      </c>
      <c r="B968" s="12" t="n">
        <v>349.676</v>
      </c>
      <c r="C968" s="0" t="n">
        <f aca="false">WEEKDAY(A968,2)</f>
        <v>5</v>
      </c>
      <c r="D968" s="0" t="n">
        <f aca="false">DAY(A968)</f>
        <v>21</v>
      </c>
      <c r="E968" s="0" t="n">
        <f aca="false">HOUR(A968)</f>
        <v>3</v>
      </c>
      <c r="F968" s="0" t="n">
        <f aca="false">IF(C968&gt;=6,0,1)</f>
        <v>1</v>
      </c>
      <c r="G968" s="0" t="n">
        <f aca="false">VLOOKUP(E968,Sheet1!$A$2:$B$25,2,0)</f>
        <v>0</v>
      </c>
    </row>
    <row r="969" customFormat="false" ht="15" hidden="false" customHeight="false" outlineLevel="0" collapsed="false">
      <c r="A969" s="13" t="n">
        <v>44582.1666666667</v>
      </c>
      <c r="B969" s="12" t="n">
        <v>358.585</v>
      </c>
      <c r="C969" s="0" t="n">
        <f aca="false">WEEKDAY(A969,2)</f>
        <v>5</v>
      </c>
      <c r="D969" s="0" t="n">
        <f aca="false">DAY(A969)</f>
        <v>21</v>
      </c>
      <c r="E969" s="0" t="n">
        <f aca="false">HOUR(A969)</f>
        <v>4</v>
      </c>
      <c r="F969" s="0" t="n">
        <f aca="false">IF(C969&gt;=6,0,1)</f>
        <v>1</v>
      </c>
      <c r="G969" s="0" t="n">
        <f aca="false">VLOOKUP(E969,Sheet1!$A$2:$B$25,2,0)</f>
        <v>1</v>
      </c>
    </row>
    <row r="970" customFormat="false" ht="15" hidden="false" customHeight="false" outlineLevel="0" collapsed="false">
      <c r="A970" s="13" t="n">
        <v>44582.1875</v>
      </c>
      <c r="B970" s="12" t="n">
        <v>657.14</v>
      </c>
      <c r="C970" s="0" t="n">
        <f aca="false">WEEKDAY(A970,2)</f>
        <v>5</v>
      </c>
      <c r="D970" s="0" t="n">
        <f aca="false">DAY(A970)</f>
        <v>21</v>
      </c>
      <c r="E970" s="0" t="n">
        <f aca="false">HOUR(A970)</f>
        <v>4</v>
      </c>
      <c r="F970" s="0" t="n">
        <f aca="false">IF(C970&gt;=6,0,1)</f>
        <v>1</v>
      </c>
      <c r="G970" s="0" t="n">
        <f aca="false">VLOOKUP(E970,Sheet1!$A$2:$B$25,2,0)</f>
        <v>1</v>
      </c>
    </row>
    <row r="971" customFormat="false" ht="15" hidden="false" customHeight="false" outlineLevel="0" collapsed="false">
      <c r="A971" s="13" t="n">
        <v>44582.2083333333</v>
      </c>
      <c r="B971" s="12" t="n">
        <v>628.681</v>
      </c>
      <c r="C971" s="0" t="n">
        <f aca="false">WEEKDAY(A971,2)</f>
        <v>5</v>
      </c>
      <c r="D971" s="0" t="n">
        <f aca="false">DAY(A971)</f>
        <v>21</v>
      </c>
      <c r="E971" s="0" t="n">
        <f aca="false">HOUR(A971)</f>
        <v>5</v>
      </c>
      <c r="F971" s="0" t="n">
        <f aca="false">IF(C971&gt;=6,0,1)</f>
        <v>1</v>
      </c>
      <c r="G971" s="0" t="n">
        <f aca="false">VLOOKUP(E971,Sheet1!$A$2:$B$25,2,0)</f>
        <v>1</v>
      </c>
    </row>
    <row r="972" customFormat="false" ht="15" hidden="false" customHeight="false" outlineLevel="0" collapsed="false">
      <c r="A972" s="13" t="n">
        <v>44582.2291666667</v>
      </c>
      <c r="B972" s="12" t="n">
        <v>598.7</v>
      </c>
      <c r="C972" s="0" t="n">
        <f aca="false">WEEKDAY(A972,2)</f>
        <v>5</v>
      </c>
      <c r="D972" s="0" t="n">
        <f aca="false">DAY(A972)</f>
        <v>21</v>
      </c>
      <c r="E972" s="0" t="n">
        <f aca="false">HOUR(A972)</f>
        <v>5</v>
      </c>
      <c r="F972" s="0" t="n">
        <f aca="false">IF(C972&gt;=6,0,1)</f>
        <v>1</v>
      </c>
      <c r="G972" s="0" t="n">
        <f aca="false">VLOOKUP(E972,Sheet1!$A$2:$B$25,2,0)</f>
        <v>1</v>
      </c>
    </row>
    <row r="973" customFormat="false" ht="15" hidden="false" customHeight="false" outlineLevel="0" collapsed="false">
      <c r="A973" s="13" t="n">
        <v>44582.25</v>
      </c>
      <c r="B973" s="12" t="n">
        <v>717.841</v>
      </c>
      <c r="C973" s="0" t="n">
        <f aca="false">WEEKDAY(A973,2)</f>
        <v>5</v>
      </c>
      <c r="D973" s="0" t="n">
        <f aca="false">DAY(A973)</f>
        <v>21</v>
      </c>
      <c r="E973" s="0" t="n">
        <f aca="false">HOUR(A973)</f>
        <v>6</v>
      </c>
      <c r="F973" s="0" t="n">
        <f aca="false">IF(C973&gt;=6,0,1)</f>
        <v>1</v>
      </c>
      <c r="G973" s="0" t="n">
        <f aca="false">VLOOKUP(E973,Sheet1!$A$2:$B$25,2,0)</f>
        <v>1</v>
      </c>
    </row>
    <row r="974" customFormat="false" ht="15" hidden="false" customHeight="false" outlineLevel="0" collapsed="false">
      <c r="A974" s="13" t="n">
        <v>44582.2708333333</v>
      </c>
      <c r="B974" s="12" t="n">
        <v>823.196</v>
      </c>
      <c r="C974" s="0" t="n">
        <f aca="false">WEEKDAY(A974,2)</f>
        <v>5</v>
      </c>
      <c r="D974" s="0" t="n">
        <f aca="false">DAY(A974)</f>
        <v>21</v>
      </c>
      <c r="E974" s="0" t="n">
        <f aca="false">HOUR(A974)</f>
        <v>6</v>
      </c>
      <c r="F974" s="0" t="n">
        <f aca="false">IF(C974&gt;=6,0,1)</f>
        <v>1</v>
      </c>
      <c r="G974" s="0" t="n">
        <f aca="false">VLOOKUP(E974,Sheet1!$A$2:$B$25,2,0)</f>
        <v>1</v>
      </c>
    </row>
    <row r="975" customFormat="false" ht="15" hidden="false" customHeight="false" outlineLevel="0" collapsed="false">
      <c r="A975" s="13" t="n">
        <v>44582.2916666667</v>
      </c>
      <c r="B975" s="12" t="n">
        <v>822.74</v>
      </c>
      <c r="C975" s="0" t="n">
        <f aca="false">WEEKDAY(A975,2)</f>
        <v>5</v>
      </c>
      <c r="D975" s="0" t="n">
        <f aca="false">DAY(A975)</f>
        <v>21</v>
      </c>
      <c r="E975" s="0" t="n">
        <f aca="false">HOUR(A975)</f>
        <v>7</v>
      </c>
      <c r="F975" s="0" t="n">
        <f aca="false">IF(C975&gt;=6,0,1)</f>
        <v>1</v>
      </c>
      <c r="G975" s="0" t="n">
        <f aca="false">VLOOKUP(E975,Sheet1!$A$2:$B$25,2,0)</f>
        <v>1</v>
      </c>
    </row>
    <row r="976" customFormat="false" ht="15" hidden="false" customHeight="false" outlineLevel="0" collapsed="false">
      <c r="A976" s="13" t="n">
        <v>44582.3125</v>
      </c>
      <c r="B976" s="12" t="n">
        <v>846.241</v>
      </c>
      <c r="C976" s="0" t="n">
        <f aca="false">WEEKDAY(A976,2)</f>
        <v>5</v>
      </c>
      <c r="D976" s="0" t="n">
        <f aca="false">DAY(A976)</f>
        <v>21</v>
      </c>
      <c r="E976" s="0" t="n">
        <f aca="false">HOUR(A976)</f>
        <v>7</v>
      </c>
      <c r="F976" s="0" t="n">
        <f aca="false">IF(C976&gt;=6,0,1)</f>
        <v>1</v>
      </c>
      <c r="G976" s="0" t="n">
        <f aca="false">VLOOKUP(E976,Sheet1!$A$2:$B$25,2,0)</f>
        <v>1</v>
      </c>
    </row>
    <row r="977" customFormat="false" ht="15" hidden="false" customHeight="false" outlineLevel="0" collapsed="false">
      <c r="A977" s="13" t="n">
        <v>44582.3333333333</v>
      </c>
      <c r="B977" s="12" t="n">
        <v>800.876</v>
      </c>
      <c r="C977" s="0" t="n">
        <f aca="false">WEEKDAY(A977,2)</f>
        <v>5</v>
      </c>
      <c r="D977" s="0" t="n">
        <f aca="false">DAY(A977)</f>
        <v>21</v>
      </c>
      <c r="E977" s="0" t="n">
        <f aca="false">HOUR(A977)</f>
        <v>8</v>
      </c>
      <c r="F977" s="0" t="n">
        <f aca="false">IF(C977&gt;=6,0,1)</f>
        <v>1</v>
      </c>
      <c r="G977" s="0" t="n">
        <f aca="false">VLOOKUP(E977,Sheet1!$A$2:$B$25,2,0)</f>
        <v>1</v>
      </c>
    </row>
    <row r="978" customFormat="false" ht="15" hidden="false" customHeight="false" outlineLevel="0" collapsed="false">
      <c r="A978" s="13" t="n">
        <v>44582.3541666667</v>
      </c>
      <c r="B978" s="12" t="n">
        <v>806.185</v>
      </c>
      <c r="C978" s="0" t="n">
        <f aca="false">WEEKDAY(A978,2)</f>
        <v>5</v>
      </c>
      <c r="D978" s="0" t="n">
        <f aca="false">DAY(A978)</f>
        <v>21</v>
      </c>
      <c r="E978" s="0" t="n">
        <f aca="false">HOUR(A978)</f>
        <v>8</v>
      </c>
      <c r="F978" s="0" t="n">
        <f aca="false">IF(C978&gt;=6,0,1)</f>
        <v>1</v>
      </c>
      <c r="G978" s="0" t="n">
        <f aca="false">VLOOKUP(E978,Sheet1!$A$2:$B$25,2,0)</f>
        <v>1</v>
      </c>
    </row>
    <row r="979" customFormat="false" ht="15" hidden="false" customHeight="false" outlineLevel="0" collapsed="false">
      <c r="A979" s="13" t="n">
        <v>44582.375</v>
      </c>
      <c r="B979" s="12" t="n">
        <v>804.716</v>
      </c>
      <c r="C979" s="0" t="n">
        <f aca="false">WEEKDAY(A979,2)</f>
        <v>5</v>
      </c>
      <c r="D979" s="0" t="n">
        <f aca="false">DAY(A979)</f>
        <v>21</v>
      </c>
      <c r="E979" s="0" t="n">
        <f aca="false">HOUR(A979)</f>
        <v>9</v>
      </c>
      <c r="F979" s="0" t="n">
        <f aca="false">IF(C979&gt;=6,0,1)</f>
        <v>1</v>
      </c>
      <c r="G979" s="0" t="n">
        <f aca="false">VLOOKUP(E979,Sheet1!$A$2:$B$25,2,0)</f>
        <v>1</v>
      </c>
    </row>
    <row r="980" customFormat="false" ht="15" hidden="false" customHeight="false" outlineLevel="0" collapsed="false">
      <c r="A980" s="13" t="n">
        <v>44582.3958333333</v>
      </c>
      <c r="B980" s="12" t="n">
        <v>884.396</v>
      </c>
      <c r="C980" s="0" t="n">
        <f aca="false">WEEKDAY(A980,2)</f>
        <v>5</v>
      </c>
      <c r="D980" s="0" t="n">
        <f aca="false">DAY(A980)</f>
        <v>21</v>
      </c>
      <c r="E980" s="0" t="n">
        <f aca="false">HOUR(A980)</f>
        <v>9</v>
      </c>
      <c r="F980" s="0" t="n">
        <f aca="false">IF(C980&gt;=6,0,1)</f>
        <v>1</v>
      </c>
      <c r="G980" s="0" t="n">
        <f aca="false">VLOOKUP(E980,Sheet1!$A$2:$B$25,2,0)</f>
        <v>1</v>
      </c>
    </row>
    <row r="981" customFormat="false" ht="15" hidden="false" customHeight="false" outlineLevel="0" collapsed="false">
      <c r="A981" s="13" t="n">
        <v>44582.4166666667</v>
      </c>
      <c r="B981" s="12" t="n">
        <v>902.876</v>
      </c>
      <c r="C981" s="0" t="n">
        <f aca="false">WEEKDAY(A981,2)</f>
        <v>5</v>
      </c>
      <c r="D981" s="0" t="n">
        <f aca="false">DAY(A981)</f>
        <v>21</v>
      </c>
      <c r="E981" s="0" t="n">
        <f aca="false">HOUR(A981)</f>
        <v>10</v>
      </c>
      <c r="F981" s="0" t="n">
        <f aca="false">IF(C981&gt;=6,0,1)</f>
        <v>1</v>
      </c>
      <c r="G981" s="0" t="n">
        <f aca="false">VLOOKUP(E981,Sheet1!$A$2:$B$25,2,0)</f>
        <v>1</v>
      </c>
    </row>
    <row r="982" customFormat="false" ht="15" hidden="false" customHeight="false" outlineLevel="0" collapsed="false">
      <c r="A982" s="13" t="n">
        <v>44582.4375</v>
      </c>
      <c r="B982" s="12" t="n">
        <v>813.62</v>
      </c>
      <c r="C982" s="0" t="n">
        <f aca="false">WEEKDAY(A982,2)</f>
        <v>5</v>
      </c>
      <c r="D982" s="0" t="n">
        <f aca="false">DAY(A982)</f>
        <v>21</v>
      </c>
      <c r="E982" s="0" t="n">
        <f aca="false">HOUR(A982)</f>
        <v>10</v>
      </c>
      <c r="F982" s="0" t="n">
        <f aca="false">IF(C982&gt;=6,0,1)</f>
        <v>1</v>
      </c>
      <c r="G982" s="0" t="n">
        <f aca="false">VLOOKUP(E982,Sheet1!$A$2:$B$25,2,0)</f>
        <v>1</v>
      </c>
    </row>
    <row r="983" customFormat="false" ht="15" hidden="false" customHeight="false" outlineLevel="0" collapsed="false">
      <c r="A983" s="13" t="n">
        <v>44582.4583333333</v>
      </c>
      <c r="B983" s="12" t="n">
        <v>893.425</v>
      </c>
      <c r="C983" s="0" t="n">
        <f aca="false">WEEKDAY(A983,2)</f>
        <v>5</v>
      </c>
      <c r="D983" s="0" t="n">
        <f aca="false">DAY(A983)</f>
        <v>21</v>
      </c>
      <c r="E983" s="0" t="n">
        <f aca="false">HOUR(A983)</f>
        <v>11</v>
      </c>
      <c r="F983" s="0" t="n">
        <f aca="false">IF(C983&gt;=6,0,1)</f>
        <v>1</v>
      </c>
      <c r="G983" s="0" t="n">
        <f aca="false">VLOOKUP(E983,Sheet1!$A$2:$B$25,2,0)</f>
        <v>1</v>
      </c>
    </row>
    <row r="984" customFormat="false" ht="15" hidden="false" customHeight="false" outlineLevel="0" collapsed="false">
      <c r="A984" s="13" t="n">
        <v>44582.4791666667</v>
      </c>
      <c r="B984" s="12" t="n">
        <v>870.596</v>
      </c>
      <c r="C984" s="0" t="n">
        <f aca="false">WEEKDAY(A984,2)</f>
        <v>5</v>
      </c>
      <c r="D984" s="0" t="n">
        <f aca="false">DAY(A984)</f>
        <v>21</v>
      </c>
      <c r="E984" s="0" t="n">
        <f aca="false">HOUR(A984)</f>
        <v>11</v>
      </c>
      <c r="F984" s="0" t="n">
        <f aca="false">IF(C984&gt;=6,0,1)</f>
        <v>1</v>
      </c>
      <c r="G984" s="0" t="n">
        <f aca="false">VLOOKUP(E984,Sheet1!$A$2:$B$25,2,0)</f>
        <v>1</v>
      </c>
    </row>
    <row r="985" customFormat="false" ht="15" hidden="false" customHeight="false" outlineLevel="0" collapsed="false">
      <c r="A985" s="13" t="n">
        <v>44582.5</v>
      </c>
      <c r="B985" s="12" t="n">
        <v>824.42</v>
      </c>
      <c r="C985" s="0" t="n">
        <f aca="false">WEEKDAY(A985,2)</f>
        <v>5</v>
      </c>
      <c r="D985" s="0" t="n">
        <f aca="false">DAY(A985)</f>
        <v>21</v>
      </c>
      <c r="E985" s="0" t="n">
        <f aca="false">HOUR(A985)</f>
        <v>12</v>
      </c>
      <c r="F985" s="0" t="n">
        <f aca="false">IF(C985&gt;=6,0,1)</f>
        <v>1</v>
      </c>
      <c r="G985" s="0" t="n">
        <f aca="false">VLOOKUP(E985,Sheet1!$A$2:$B$25,2,0)</f>
        <v>1</v>
      </c>
    </row>
    <row r="986" customFormat="false" ht="15" hidden="false" customHeight="false" outlineLevel="0" collapsed="false">
      <c r="A986" s="13" t="n">
        <v>44582.5208333333</v>
      </c>
      <c r="B986" s="12" t="n">
        <v>659.42</v>
      </c>
      <c r="C986" s="0" t="n">
        <f aca="false">WEEKDAY(A986,2)</f>
        <v>5</v>
      </c>
      <c r="D986" s="0" t="n">
        <f aca="false">DAY(A986)</f>
        <v>21</v>
      </c>
      <c r="E986" s="0" t="n">
        <f aca="false">HOUR(A986)</f>
        <v>12</v>
      </c>
      <c r="F986" s="0" t="n">
        <f aca="false">IF(C986&gt;=6,0,1)</f>
        <v>1</v>
      </c>
      <c r="G986" s="0" t="n">
        <f aca="false">VLOOKUP(E986,Sheet1!$A$2:$B$25,2,0)</f>
        <v>1</v>
      </c>
    </row>
    <row r="987" customFormat="false" ht="15" hidden="false" customHeight="false" outlineLevel="0" collapsed="false">
      <c r="A987" s="13" t="n">
        <v>44582.5416666667</v>
      </c>
      <c r="B987" s="12" t="n">
        <v>672.241</v>
      </c>
      <c r="C987" s="0" t="n">
        <f aca="false">WEEKDAY(A987,2)</f>
        <v>5</v>
      </c>
      <c r="D987" s="0" t="n">
        <f aca="false">DAY(A987)</f>
        <v>21</v>
      </c>
      <c r="E987" s="0" t="n">
        <f aca="false">HOUR(A987)</f>
        <v>13</v>
      </c>
      <c r="F987" s="0" t="n">
        <f aca="false">IF(C987&gt;=6,0,1)</f>
        <v>1</v>
      </c>
      <c r="G987" s="0" t="n">
        <f aca="false">VLOOKUP(E987,Sheet1!$A$2:$B$25,2,0)</f>
        <v>1</v>
      </c>
    </row>
    <row r="988" customFormat="false" ht="15" hidden="false" customHeight="false" outlineLevel="0" collapsed="false">
      <c r="A988" s="13" t="n">
        <v>44582.5625</v>
      </c>
      <c r="B988" s="12" t="n">
        <v>757.58</v>
      </c>
      <c r="C988" s="0" t="n">
        <f aca="false">WEEKDAY(A988,2)</f>
        <v>5</v>
      </c>
      <c r="D988" s="0" t="n">
        <f aca="false">DAY(A988)</f>
        <v>21</v>
      </c>
      <c r="E988" s="0" t="n">
        <f aca="false">HOUR(A988)</f>
        <v>13</v>
      </c>
      <c r="F988" s="0" t="n">
        <f aca="false">IF(C988&gt;=6,0,1)</f>
        <v>1</v>
      </c>
      <c r="G988" s="0" t="n">
        <f aca="false">VLOOKUP(E988,Sheet1!$A$2:$B$25,2,0)</f>
        <v>1</v>
      </c>
    </row>
    <row r="989" customFormat="false" ht="15" hidden="false" customHeight="false" outlineLevel="0" collapsed="false">
      <c r="A989" s="13" t="n">
        <v>44582.5833333333</v>
      </c>
      <c r="B989" s="12" t="n">
        <v>593.276</v>
      </c>
      <c r="C989" s="0" t="n">
        <f aca="false">WEEKDAY(A989,2)</f>
        <v>5</v>
      </c>
      <c r="D989" s="0" t="n">
        <f aca="false">DAY(A989)</f>
        <v>21</v>
      </c>
      <c r="E989" s="0" t="n">
        <f aca="false">HOUR(A989)</f>
        <v>14</v>
      </c>
      <c r="F989" s="0" t="n">
        <f aca="false">IF(C989&gt;=6,0,1)</f>
        <v>1</v>
      </c>
      <c r="G989" s="0" t="n">
        <f aca="false">VLOOKUP(E989,Sheet1!$A$2:$B$25,2,0)</f>
        <v>1</v>
      </c>
    </row>
    <row r="990" customFormat="false" ht="15" hidden="false" customHeight="false" outlineLevel="0" collapsed="false">
      <c r="A990" s="13" t="n">
        <v>44582.6041666667</v>
      </c>
      <c r="B990" s="12" t="n">
        <v>377.281</v>
      </c>
      <c r="C990" s="0" t="n">
        <f aca="false">WEEKDAY(A990,2)</f>
        <v>5</v>
      </c>
      <c r="D990" s="0" t="n">
        <f aca="false">DAY(A990)</f>
        <v>21</v>
      </c>
      <c r="E990" s="0" t="n">
        <f aca="false">HOUR(A990)</f>
        <v>14</v>
      </c>
      <c r="F990" s="0" t="n">
        <f aca="false">IF(C990&gt;=6,0,1)</f>
        <v>1</v>
      </c>
      <c r="G990" s="0" t="n">
        <f aca="false">VLOOKUP(E990,Sheet1!$A$2:$B$25,2,0)</f>
        <v>1</v>
      </c>
    </row>
    <row r="991" customFormat="false" ht="15" hidden="false" customHeight="false" outlineLevel="0" collapsed="false">
      <c r="A991" s="13" t="n">
        <v>44582.625</v>
      </c>
      <c r="B991" s="12" t="n">
        <v>361.196</v>
      </c>
      <c r="C991" s="0" t="n">
        <f aca="false">WEEKDAY(A991,2)</f>
        <v>5</v>
      </c>
      <c r="D991" s="0" t="n">
        <f aca="false">DAY(A991)</f>
        <v>21</v>
      </c>
      <c r="E991" s="0" t="n">
        <f aca="false">HOUR(A991)</f>
        <v>15</v>
      </c>
      <c r="F991" s="0" t="n">
        <f aca="false">IF(C991&gt;=6,0,1)</f>
        <v>1</v>
      </c>
      <c r="G991" s="0" t="n">
        <f aca="false">VLOOKUP(E991,Sheet1!$A$2:$B$25,2,0)</f>
        <v>1</v>
      </c>
    </row>
    <row r="992" customFormat="false" ht="15" hidden="false" customHeight="false" outlineLevel="0" collapsed="false">
      <c r="A992" s="13" t="n">
        <v>44582.6458333333</v>
      </c>
      <c r="B992" s="12" t="n">
        <v>364.7</v>
      </c>
      <c r="C992" s="0" t="n">
        <f aca="false">WEEKDAY(A992,2)</f>
        <v>5</v>
      </c>
      <c r="D992" s="0" t="n">
        <f aca="false">DAY(A992)</f>
        <v>21</v>
      </c>
      <c r="E992" s="0" t="n">
        <f aca="false">HOUR(A992)</f>
        <v>15</v>
      </c>
      <c r="F992" s="0" t="n">
        <f aca="false">IF(C992&gt;=6,0,1)</f>
        <v>1</v>
      </c>
      <c r="G992" s="0" t="n">
        <f aca="false">VLOOKUP(E992,Sheet1!$A$2:$B$25,2,0)</f>
        <v>1</v>
      </c>
    </row>
    <row r="993" customFormat="false" ht="15" hidden="false" customHeight="false" outlineLevel="0" collapsed="false">
      <c r="A993" s="13" t="n">
        <v>44582.6666666667</v>
      </c>
      <c r="B993" s="12" t="n">
        <v>358.7</v>
      </c>
      <c r="C993" s="0" t="n">
        <f aca="false">WEEKDAY(A993,2)</f>
        <v>5</v>
      </c>
      <c r="D993" s="0" t="n">
        <f aca="false">DAY(A993)</f>
        <v>21</v>
      </c>
      <c r="E993" s="0" t="n">
        <f aca="false">HOUR(A993)</f>
        <v>16</v>
      </c>
      <c r="F993" s="0" t="n">
        <f aca="false">IF(C993&gt;=6,0,1)</f>
        <v>1</v>
      </c>
      <c r="G993" s="0" t="n">
        <f aca="false">VLOOKUP(E993,Sheet1!$A$2:$B$25,2,0)</f>
        <v>0</v>
      </c>
    </row>
    <row r="994" customFormat="false" ht="15" hidden="false" customHeight="false" outlineLevel="0" collapsed="false">
      <c r="A994" s="13" t="n">
        <v>44582.6875</v>
      </c>
      <c r="B994" s="12" t="n">
        <v>344.401</v>
      </c>
      <c r="C994" s="0" t="n">
        <f aca="false">WEEKDAY(A994,2)</f>
        <v>5</v>
      </c>
      <c r="D994" s="0" t="n">
        <f aca="false">DAY(A994)</f>
        <v>21</v>
      </c>
      <c r="E994" s="0" t="n">
        <f aca="false">HOUR(A994)</f>
        <v>16</v>
      </c>
      <c r="F994" s="0" t="n">
        <f aca="false">IF(C994&gt;=6,0,1)</f>
        <v>1</v>
      </c>
      <c r="G994" s="0" t="n">
        <f aca="false">VLOOKUP(E994,Sheet1!$A$2:$B$25,2,0)</f>
        <v>0</v>
      </c>
    </row>
    <row r="995" customFormat="false" ht="15" hidden="false" customHeight="false" outlineLevel="0" collapsed="false">
      <c r="A995" s="13" t="n">
        <v>44582.7083333333</v>
      </c>
      <c r="B995" s="12" t="n">
        <v>354.02</v>
      </c>
      <c r="C995" s="0" t="n">
        <f aca="false">WEEKDAY(A995,2)</f>
        <v>5</v>
      </c>
      <c r="D995" s="0" t="n">
        <f aca="false">DAY(A995)</f>
        <v>21</v>
      </c>
      <c r="E995" s="0" t="n">
        <f aca="false">HOUR(A995)</f>
        <v>17</v>
      </c>
      <c r="F995" s="0" t="n">
        <f aca="false">IF(C995&gt;=6,0,1)</f>
        <v>1</v>
      </c>
      <c r="G995" s="0" t="n">
        <f aca="false">VLOOKUP(E995,Sheet1!$A$2:$B$25,2,0)</f>
        <v>0</v>
      </c>
    </row>
    <row r="996" customFormat="false" ht="15" hidden="false" customHeight="false" outlineLevel="0" collapsed="false">
      <c r="A996" s="13" t="n">
        <v>44582.7291666667</v>
      </c>
      <c r="B996" s="12" t="n">
        <v>357.236</v>
      </c>
      <c r="C996" s="0" t="n">
        <f aca="false">WEEKDAY(A996,2)</f>
        <v>5</v>
      </c>
      <c r="D996" s="0" t="n">
        <f aca="false">DAY(A996)</f>
        <v>21</v>
      </c>
      <c r="E996" s="0" t="n">
        <f aca="false">HOUR(A996)</f>
        <v>17</v>
      </c>
      <c r="F996" s="0" t="n">
        <f aca="false">IF(C996&gt;=6,0,1)</f>
        <v>1</v>
      </c>
      <c r="G996" s="0" t="n">
        <f aca="false">VLOOKUP(E996,Sheet1!$A$2:$B$25,2,0)</f>
        <v>0</v>
      </c>
    </row>
    <row r="997" customFormat="false" ht="15" hidden="false" customHeight="false" outlineLevel="0" collapsed="false">
      <c r="A997" s="13" t="n">
        <v>44582.75</v>
      </c>
      <c r="B997" s="12" t="n">
        <v>357.14</v>
      </c>
      <c r="C997" s="0" t="n">
        <f aca="false">WEEKDAY(A997,2)</f>
        <v>5</v>
      </c>
      <c r="D997" s="0" t="n">
        <f aca="false">DAY(A997)</f>
        <v>21</v>
      </c>
      <c r="E997" s="0" t="n">
        <f aca="false">HOUR(A997)</f>
        <v>18</v>
      </c>
      <c r="F997" s="0" t="n">
        <f aca="false">IF(C997&gt;=6,0,1)</f>
        <v>1</v>
      </c>
      <c r="G997" s="0" t="n">
        <f aca="false">VLOOKUP(E997,Sheet1!$A$2:$B$25,2,0)</f>
        <v>0</v>
      </c>
    </row>
    <row r="998" customFormat="false" ht="15" hidden="false" customHeight="false" outlineLevel="0" collapsed="false">
      <c r="A998" s="13" t="n">
        <v>44582.7708333333</v>
      </c>
      <c r="B998" s="12" t="n">
        <v>354.62</v>
      </c>
      <c r="C998" s="0" t="n">
        <f aca="false">WEEKDAY(A998,2)</f>
        <v>5</v>
      </c>
      <c r="D998" s="0" t="n">
        <f aca="false">DAY(A998)</f>
        <v>21</v>
      </c>
      <c r="E998" s="0" t="n">
        <f aca="false">HOUR(A998)</f>
        <v>18</v>
      </c>
      <c r="F998" s="0" t="n">
        <f aca="false">IF(C998&gt;=6,0,1)</f>
        <v>1</v>
      </c>
      <c r="G998" s="0" t="n">
        <f aca="false">VLOOKUP(E998,Sheet1!$A$2:$B$25,2,0)</f>
        <v>0</v>
      </c>
    </row>
    <row r="999" customFormat="false" ht="15" hidden="false" customHeight="false" outlineLevel="0" collapsed="false">
      <c r="A999" s="13" t="n">
        <v>44582.7916666667</v>
      </c>
      <c r="B999" s="12" t="n">
        <v>359.281</v>
      </c>
      <c r="C999" s="0" t="n">
        <f aca="false">WEEKDAY(A999,2)</f>
        <v>5</v>
      </c>
      <c r="D999" s="0" t="n">
        <f aca="false">DAY(A999)</f>
        <v>21</v>
      </c>
      <c r="E999" s="0" t="n">
        <f aca="false">HOUR(A999)</f>
        <v>19</v>
      </c>
      <c r="F999" s="0" t="n">
        <f aca="false">IF(C999&gt;=6,0,1)</f>
        <v>1</v>
      </c>
      <c r="G999" s="0" t="n">
        <f aca="false">VLOOKUP(E999,Sheet1!$A$2:$B$25,2,0)</f>
        <v>0</v>
      </c>
    </row>
    <row r="1000" customFormat="false" ht="15" hidden="false" customHeight="false" outlineLevel="0" collapsed="false">
      <c r="A1000" s="13" t="n">
        <v>44582.8125</v>
      </c>
      <c r="B1000" s="12" t="n">
        <v>347.516</v>
      </c>
      <c r="C1000" s="0" t="n">
        <f aca="false">WEEKDAY(A1000,2)</f>
        <v>5</v>
      </c>
      <c r="D1000" s="0" t="n">
        <f aca="false">DAY(A1000)</f>
        <v>21</v>
      </c>
      <c r="E1000" s="0" t="n">
        <f aca="false">HOUR(A1000)</f>
        <v>19</v>
      </c>
      <c r="F1000" s="0" t="n">
        <f aca="false">IF(C1000&gt;=6,0,1)</f>
        <v>1</v>
      </c>
      <c r="G1000" s="0" t="n">
        <f aca="false">VLOOKUP(E1000,Sheet1!$A$2:$B$25,2,0)</f>
        <v>0</v>
      </c>
    </row>
    <row r="1001" customFormat="false" ht="15" hidden="false" customHeight="false" outlineLevel="0" collapsed="false">
      <c r="A1001" s="13" t="n">
        <v>44582.8333333333</v>
      </c>
      <c r="B1001" s="12" t="n">
        <v>338.78</v>
      </c>
      <c r="C1001" s="0" t="n">
        <f aca="false">WEEKDAY(A1001,2)</f>
        <v>5</v>
      </c>
      <c r="D1001" s="0" t="n">
        <f aca="false">DAY(A1001)</f>
        <v>21</v>
      </c>
      <c r="E1001" s="0" t="n">
        <f aca="false">HOUR(A1001)</f>
        <v>20</v>
      </c>
      <c r="F1001" s="0" t="n">
        <f aca="false">IF(C1001&gt;=6,0,1)</f>
        <v>1</v>
      </c>
      <c r="G1001" s="0" t="n">
        <f aca="false">VLOOKUP(E1001,Sheet1!$A$2:$B$25,2,0)</f>
        <v>0</v>
      </c>
    </row>
    <row r="1002" customFormat="false" ht="15" hidden="false" customHeight="false" outlineLevel="0" collapsed="false">
      <c r="A1002" s="13" t="n">
        <v>44582.8541666667</v>
      </c>
      <c r="B1002" s="12" t="n">
        <v>338.545</v>
      </c>
      <c r="C1002" s="0" t="n">
        <f aca="false">WEEKDAY(A1002,2)</f>
        <v>5</v>
      </c>
      <c r="D1002" s="0" t="n">
        <f aca="false">DAY(A1002)</f>
        <v>21</v>
      </c>
      <c r="E1002" s="0" t="n">
        <f aca="false">HOUR(A1002)</f>
        <v>20</v>
      </c>
      <c r="F1002" s="0" t="n">
        <f aca="false">IF(C1002&gt;=6,0,1)</f>
        <v>1</v>
      </c>
      <c r="G1002" s="0" t="n">
        <f aca="false">VLOOKUP(E1002,Sheet1!$A$2:$B$25,2,0)</f>
        <v>0</v>
      </c>
    </row>
    <row r="1003" customFormat="false" ht="15" hidden="false" customHeight="false" outlineLevel="0" collapsed="false">
      <c r="A1003" s="13" t="n">
        <v>44582.875</v>
      </c>
      <c r="B1003" s="12" t="n">
        <v>339.236</v>
      </c>
      <c r="C1003" s="0" t="n">
        <f aca="false">WEEKDAY(A1003,2)</f>
        <v>5</v>
      </c>
      <c r="D1003" s="0" t="n">
        <f aca="false">DAY(A1003)</f>
        <v>21</v>
      </c>
      <c r="E1003" s="0" t="n">
        <f aca="false">HOUR(A1003)</f>
        <v>21</v>
      </c>
      <c r="F1003" s="0" t="n">
        <f aca="false">IF(C1003&gt;=6,0,1)</f>
        <v>1</v>
      </c>
      <c r="G1003" s="0" t="n">
        <f aca="false">VLOOKUP(E1003,Sheet1!$A$2:$B$25,2,0)</f>
        <v>0</v>
      </c>
    </row>
    <row r="1004" customFormat="false" ht="15" hidden="false" customHeight="false" outlineLevel="0" collapsed="false">
      <c r="A1004" s="13" t="n">
        <v>44582.8958333333</v>
      </c>
      <c r="B1004" s="12" t="n">
        <v>340.801</v>
      </c>
      <c r="C1004" s="0" t="n">
        <f aca="false">WEEKDAY(A1004,2)</f>
        <v>5</v>
      </c>
      <c r="D1004" s="0" t="n">
        <f aca="false">DAY(A1004)</f>
        <v>21</v>
      </c>
      <c r="E1004" s="0" t="n">
        <f aca="false">HOUR(A1004)</f>
        <v>21</v>
      </c>
      <c r="F1004" s="0" t="n">
        <f aca="false">IF(C1004&gt;=6,0,1)</f>
        <v>1</v>
      </c>
      <c r="G1004" s="0" t="n">
        <f aca="false">VLOOKUP(E1004,Sheet1!$A$2:$B$25,2,0)</f>
        <v>0</v>
      </c>
    </row>
    <row r="1005" customFormat="false" ht="15" hidden="false" customHeight="false" outlineLevel="0" collapsed="false">
      <c r="A1005" s="13" t="n">
        <v>44582.9166666667</v>
      </c>
      <c r="B1005" s="12" t="n">
        <v>333.74</v>
      </c>
      <c r="C1005" s="0" t="n">
        <f aca="false">WEEKDAY(A1005,2)</f>
        <v>5</v>
      </c>
      <c r="D1005" s="0" t="n">
        <f aca="false">DAY(A1005)</f>
        <v>21</v>
      </c>
      <c r="E1005" s="0" t="n">
        <f aca="false">HOUR(A1005)</f>
        <v>22</v>
      </c>
      <c r="F1005" s="0" t="n">
        <f aca="false">IF(C1005&gt;=6,0,1)</f>
        <v>1</v>
      </c>
      <c r="G1005" s="0" t="n">
        <f aca="false">VLOOKUP(E1005,Sheet1!$A$2:$B$25,2,0)</f>
        <v>0</v>
      </c>
    </row>
    <row r="1006" customFormat="false" ht="15" hidden="false" customHeight="false" outlineLevel="0" collapsed="false">
      <c r="A1006" s="13" t="n">
        <v>44582.9375</v>
      </c>
      <c r="B1006" s="12" t="n">
        <v>320.276</v>
      </c>
      <c r="C1006" s="0" t="n">
        <f aca="false">WEEKDAY(A1006,2)</f>
        <v>5</v>
      </c>
      <c r="D1006" s="0" t="n">
        <f aca="false">DAY(A1006)</f>
        <v>21</v>
      </c>
      <c r="E1006" s="0" t="n">
        <f aca="false">HOUR(A1006)</f>
        <v>22</v>
      </c>
      <c r="F1006" s="0" t="n">
        <f aca="false">IF(C1006&gt;=6,0,1)</f>
        <v>1</v>
      </c>
      <c r="G1006" s="0" t="n">
        <f aca="false">VLOOKUP(E1006,Sheet1!$A$2:$B$25,2,0)</f>
        <v>0</v>
      </c>
    </row>
    <row r="1007" customFormat="false" ht="15" hidden="false" customHeight="false" outlineLevel="0" collapsed="false">
      <c r="A1007" s="13" t="n">
        <v>44582.9583333333</v>
      </c>
      <c r="B1007" s="12" t="n">
        <v>319.105</v>
      </c>
      <c r="C1007" s="0" t="n">
        <f aca="false">WEEKDAY(A1007,2)</f>
        <v>5</v>
      </c>
      <c r="D1007" s="0" t="n">
        <f aca="false">DAY(A1007)</f>
        <v>21</v>
      </c>
      <c r="E1007" s="0" t="n">
        <f aca="false">HOUR(A1007)</f>
        <v>23</v>
      </c>
      <c r="F1007" s="0" t="n">
        <f aca="false">IF(C1007&gt;=6,0,1)</f>
        <v>1</v>
      </c>
      <c r="G1007" s="0" t="n">
        <f aca="false">VLOOKUP(E1007,Sheet1!$A$2:$B$25,2,0)</f>
        <v>0</v>
      </c>
    </row>
    <row r="1008" customFormat="false" ht="15" hidden="false" customHeight="false" outlineLevel="0" collapsed="false">
      <c r="A1008" s="13" t="n">
        <v>44582.9791666667</v>
      </c>
      <c r="B1008" s="12" t="n">
        <v>319.82</v>
      </c>
      <c r="C1008" s="0" t="n">
        <f aca="false">WEEKDAY(A1008,2)</f>
        <v>5</v>
      </c>
      <c r="D1008" s="0" t="n">
        <f aca="false">DAY(A1008)</f>
        <v>21</v>
      </c>
      <c r="E1008" s="0" t="n">
        <f aca="false">HOUR(A1008)</f>
        <v>23</v>
      </c>
      <c r="F1008" s="0" t="n">
        <f aca="false">IF(C1008&gt;=6,0,1)</f>
        <v>1</v>
      </c>
      <c r="G1008" s="0" t="n">
        <f aca="false">VLOOKUP(E1008,Sheet1!$A$2:$B$25,2,0)</f>
        <v>0</v>
      </c>
    </row>
    <row r="1009" customFormat="false" ht="15" hidden="false" customHeight="false" outlineLevel="0" collapsed="false">
      <c r="A1009" s="13" t="n">
        <v>44583</v>
      </c>
      <c r="B1009" s="12" t="n">
        <v>322.1</v>
      </c>
      <c r="C1009" s="0" t="n">
        <f aca="false">WEEKDAY(A1009,2)</f>
        <v>6</v>
      </c>
      <c r="D1009" s="0" t="n">
        <f aca="false">DAY(A1009)</f>
        <v>22</v>
      </c>
      <c r="E1009" s="0" t="n">
        <f aca="false">HOUR(A1009)</f>
        <v>0</v>
      </c>
      <c r="F1009" s="0" t="n">
        <f aca="false">IF(C1009&gt;=6,0,1)</f>
        <v>0</v>
      </c>
      <c r="G1009" s="0" t="n">
        <f aca="false">VLOOKUP(E1009,Sheet1!$A$2:$B$25,2,0)</f>
        <v>0</v>
      </c>
    </row>
    <row r="1010" customFormat="false" ht="15" hidden="false" customHeight="false" outlineLevel="0" collapsed="false">
      <c r="A1010" s="13" t="n">
        <v>44583.0208333333</v>
      </c>
      <c r="B1010" s="12" t="n">
        <v>322.105</v>
      </c>
      <c r="C1010" s="0" t="n">
        <f aca="false">WEEKDAY(A1010,2)</f>
        <v>6</v>
      </c>
      <c r="D1010" s="0" t="n">
        <f aca="false">DAY(A1010)</f>
        <v>22</v>
      </c>
      <c r="E1010" s="0" t="n">
        <f aca="false">HOUR(A1010)</f>
        <v>0</v>
      </c>
      <c r="F1010" s="0" t="n">
        <f aca="false">IF(C1010&gt;=6,0,1)</f>
        <v>0</v>
      </c>
      <c r="G1010" s="0" t="n">
        <f aca="false">VLOOKUP(E1010,Sheet1!$A$2:$B$25,2,0)</f>
        <v>0</v>
      </c>
    </row>
    <row r="1011" customFormat="false" ht="15" hidden="false" customHeight="false" outlineLevel="0" collapsed="false">
      <c r="A1011" s="13" t="n">
        <v>44583.0416666667</v>
      </c>
      <c r="B1011" s="12" t="n">
        <v>326.54</v>
      </c>
      <c r="C1011" s="0" t="n">
        <f aca="false">WEEKDAY(A1011,2)</f>
        <v>6</v>
      </c>
      <c r="D1011" s="0" t="n">
        <f aca="false">DAY(A1011)</f>
        <v>22</v>
      </c>
      <c r="E1011" s="0" t="n">
        <f aca="false">HOUR(A1011)</f>
        <v>1</v>
      </c>
      <c r="F1011" s="0" t="n">
        <f aca="false">IF(C1011&gt;=6,0,1)</f>
        <v>0</v>
      </c>
      <c r="G1011" s="0" t="n">
        <f aca="false">VLOOKUP(E1011,Sheet1!$A$2:$B$25,2,0)</f>
        <v>0</v>
      </c>
    </row>
    <row r="1012" customFormat="false" ht="15" hidden="false" customHeight="false" outlineLevel="0" collapsed="false">
      <c r="A1012" s="13" t="n">
        <v>44583.0625</v>
      </c>
      <c r="B1012" s="12" t="n">
        <v>336.98</v>
      </c>
      <c r="C1012" s="0" t="n">
        <f aca="false">WEEKDAY(A1012,2)</f>
        <v>6</v>
      </c>
      <c r="D1012" s="0" t="n">
        <f aca="false">DAY(A1012)</f>
        <v>22</v>
      </c>
      <c r="E1012" s="0" t="n">
        <f aca="false">HOUR(A1012)</f>
        <v>1</v>
      </c>
      <c r="F1012" s="0" t="n">
        <f aca="false">IF(C1012&gt;=6,0,1)</f>
        <v>0</v>
      </c>
      <c r="G1012" s="0" t="n">
        <f aca="false">VLOOKUP(E1012,Sheet1!$A$2:$B$25,2,0)</f>
        <v>0</v>
      </c>
    </row>
    <row r="1013" customFormat="false" ht="15" hidden="false" customHeight="false" outlineLevel="0" collapsed="false">
      <c r="A1013" s="13" t="n">
        <v>44583.0833333333</v>
      </c>
      <c r="B1013" s="12" t="n">
        <v>321.721</v>
      </c>
      <c r="C1013" s="0" t="n">
        <f aca="false">WEEKDAY(A1013,2)</f>
        <v>6</v>
      </c>
      <c r="D1013" s="0" t="n">
        <f aca="false">DAY(A1013)</f>
        <v>22</v>
      </c>
      <c r="E1013" s="0" t="n">
        <f aca="false">HOUR(A1013)</f>
        <v>2</v>
      </c>
      <c r="F1013" s="0" t="n">
        <f aca="false">IF(C1013&gt;=6,0,1)</f>
        <v>0</v>
      </c>
      <c r="G1013" s="0" t="n">
        <f aca="false">VLOOKUP(E1013,Sheet1!$A$2:$B$25,2,0)</f>
        <v>0</v>
      </c>
    </row>
    <row r="1014" customFormat="false" ht="15" hidden="false" customHeight="false" outlineLevel="0" collapsed="false">
      <c r="A1014" s="13" t="n">
        <v>44583.1041666667</v>
      </c>
      <c r="B1014" s="12" t="n">
        <v>324.836</v>
      </c>
      <c r="C1014" s="0" t="n">
        <f aca="false">WEEKDAY(A1014,2)</f>
        <v>6</v>
      </c>
      <c r="D1014" s="0" t="n">
        <f aca="false">DAY(A1014)</f>
        <v>22</v>
      </c>
      <c r="E1014" s="0" t="n">
        <f aca="false">HOUR(A1014)</f>
        <v>2</v>
      </c>
      <c r="F1014" s="0" t="n">
        <f aca="false">IF(C1014&gt;=6,0,1)</f>
        <v>0</v>
      </c>
      <c r="G1014" s="0" t="n">
        <f aca="false">VLOOKUP(E1014,Sheet1!$A$2:$B$25,2,0)</f>
        <v>0</v>
      </c>
    </row>
    <row r="1015" customFormat="false" ht="15" hidden="false" customHeight="false" outlineLevel="0" collapsed="false">
      <c r="A1015" s="13" t="n">
        <v>44583.125</v>
      </c>
      <c r="B1015" s="12" t="n">
        <v>321.596</v>
      </c>
      <c r="C1015" s="0" t="n">
        <f aca="false">WEEKDAY(A1015,2)</f>
        <v>6</v>
      </c>
      <c r="D1015" s="0" t="n">
        <f aca="false">DAY(A1015)</f>
        <v>22</v>
      </c>
      <c r="E1015" s="0" t="n">
        <f aca="false">HOUR(A1015)</f>
        <v>3</v>
      </c>
      <c r="F1015" s="0" t="n">
        <f aca="false">IF(C1015&gt;=6,0,1)</f>
        <v>0</v>
      </c>
      <c r="G1015" s="0" t="n">
        <f aca="false">VLOOKUP(E1015,Sheet1!$A$2:$B$25,2,0)</f>
        <v>0</v>
      </c>
    </row>
    <row r="1016" customFormat="false" ht="15" hidden="false" customHeight="false" outlineLevel="0" collapsed="false">
      <c r="A1016" s="13" t="n">
        <v>44583.1458333333</v>
      </c>
      <c r="B1016" s="12" t="n">
        <v>325.7</v>
      </c>
      <c r="C1016" s="0" t="n">
        <f aca="false">WEEKDAY(A1016,2)</f>
        <v>6</v>
      </c>
      <c r="D1016" s="0" t="n">
        <f aca="false">DAY(A1016)</f>
        <v>22</v>
      </c>
      <c r="E1016" s="0" t="n">
        <f aca="false">HOUR(A1016)</f>
        <v>3</v>
      </c>
      <c r="F1016" s="0" t="n">
        <f aca="false">IF(C1016&gt;=6,0,1)</f>
        <v>0</v>
      </c>
      <c r="G1016" s="0" t="n">
        <f aca="false">VLOOKUP(E1016,Sheet1!$A$2:$B$25,2,0)</f>
        <v>0</v>
      </c>
    </row>
    <row r="1017" customFormat="false" ht="15" hidden="false" customHeight="false" outlineLevel="0" collapsed="false">
      <c r="A1017" s="13" t="n">
        <v>44583.1666666667</v>
      </c>
      <c r="B1017" s="12" t="n">
        <v>329.276</v>
      </c>
      <c r="C1017" s="0" t="n">
        <f aca="false">WEEKDAY(A1017,2)</f>
        <v>6</v>
      </c>
      <c r="D1017" s="0" t="n">
        <f aca="false">DAY(A1017)</f>
        <v>22</v>
      </c>
      <c r="E1017" s="0" t="n">
        <f aca="false">HOUR(A1017)</f>
        <v>4</v>
      </c>
      <c r="F1017" s="0" t="n">
        <f aca="false">IF(C1017&gt;=6,0,1)</f>
        <v>0</v>
      </c>
      <c r="G1017" s="0" t="n">
        <f aca="false">VLOOKUP(E1017,Sheet1!$A$2:$B$25,2,0)</f>
        <v>1</v>
      </c>
    </row>
    <row r="1018" customFormat="false" ht="15" hidden="false" customHeight="false" outlineLevel="0" collapsed="false">
      <c r="A1018" s="13" t="n">
        <v>44583.1875</v>
      </c>
      <c r="B1018" s="12" t="n">
        <v>335.54</v>
      </c>
      <c r="C1018" s="0" t="n">
        <f aca="false">WEEKDAY(A1018,2)</f>
        <v>6</v>
      </c>
      <c r="D1018" s="0" t="n">
        <f aca="false">DAY(A1018)</f>
        <v>22</v>
      </c>
      <c r="E1018" s="0" t="n">
        <f aca="false">HOUR(A1018)</f>
        <v>4</v>
      </c>
      <c r="F1018" s="0" t="n">
        <f aca="false">IF(C1018&gt;=6,0,1)</f>
        <v>0</v>
      </c>
      <c r="G1018" s="0" t="n">
        <f aca="false">VLOOKUP(E1018,Sheet1!$A$2:$B$25,2,0)</f>
        <v>1</v>
      </c>
    </row>
    <row r="1019" customFormat="false" ht="15" hidden="false" customHeight="false" outlineLevel="0" collapsed="false">
      <c r="A1019" s="13" t="n">
        <v>44583.2083333333</v>
      </c>
      <c r="B1019" s="12" t="n">
        <v>336.601</v>
      </c>
      <c r="C1019" s="0" t="n">
        <f aca="false">WEEKDAY(A1019,2)</f>
        <v>6</v>
      </c>
      <c r="D1019" s="0" t="n">
        <f aca="false">DAY(A1019)</f>
        <v>22</v>
      </c>
      <c r="E1019" s="0" t="n">
        <f aca="false">HOUR(A1019)</f>
        <v>5</v>
      </c>
      <c r="F1019" s="0" t="n">
        <f aca="false">IF(C1019&gt;=6,0,1)</f>
        <v>0</v>
      </c>
      <c r="G1019" s="0" t="n">
        <f aca="false">VLOOKUP(E1019,Sheet1!$A$2:$B$25,2,0)</f>
        <v>1</v>
      </c>
    </row>
    <row r="1020" customFormat="false" ht="15" hidden="false" customHeight="false" outlineLevel="0" collapsed="false">
      <c r="A1020" s="13" t="n">
        <v>44583.2291666667</v>
      </c>
      <c r="B1020" s="12" t="n">
        <v>338.516</v>
      </c>
      <c r="C1020" s="0" t="n">
        <f aca="false">WEEKDAY(A1020,2)</f>
        <v>6</v>
      </c>
      <c r="D1020" s="0" t="n">
        <f aca="false">DAY(A1020)</f>
        <v>22</v>
      </c>
      <c r="E1020" s="0" t="n">
        <f aca="false">HOUR(A1020)</f>
        <v>5</v>
      </c>
      <c r="F1020" s="0" t="n">
        <f aca="false">IF(C1020&gt;=6,0,1)</f>
        <v>0</v>
      </c>
      <c r="G1020" s="0" t="n">
        <f aca="false">VLOOKUP(E1020,Sheet1!$A$2:$B$25,2,0)</f>
        <v>1</v>
      </c>
    </row>
    <row r="1021" customFormat="false" ht="15" hidden="false" customHeight="false" outlineLevel="0" collapsed="false">
      <c r="A1021" s="13" t="n">
        <v>44583.25</v>
      </c>
      <c r="B1021" s="12" t="n">
        <v>336.956</v>
      </c>
      <c r="C1021" s="0" t="n">
        <f aca="false">WEEKDAY(A1021,2)</f>
        <v>6</v>
      </c>
      <c r="D1021" s="0" t="n">
        <f aca="false">DAY(A1021)</f>
        <v>22</v>
      </c>
      <c r="E1021" s="0" t="n">
        <f aca="false">HOUR(A1021)</f>
        <v>6</v>
      </c>
      <c r="F1021" s="0" t="n">
        <f aca="false">IF(C1021&gt;=6,0,1)</f>
        <v>0</v>
      </c>
      <c r="G1021" s="0" t="n">
        <f aca="false">VLOOKUP(E1021,Sheet1!$A$2:$B$25,2,0)</f>
        <v>1</v>
      </c>
    </row>
    <row r="1022" customFormat="false" ht="15" hidden="false" customHeight="false" outlineLevel="0" collapsed="false">
      <c r="A1022" s="13" t="n">
        <v>44583.2708333333</v>
      </c>
      <c r="B1022" s="12" t="n">
        <v>337.676</v>
      </c>
      <c r="C1022" s="0" t="n">
        <f aca="false">WEEKDAY(A1022,2)</f>
        <v>6</v>
      </c>
      <c r="D1022" s="0" t="n">
        <f aca="false">DAY(A1022)</f>
        <v>22</v>
      </c>
      <c r="E1022" s="0" t="n">
        <f aca="false">HOUR(A1022)</f>
        <v>6</v>
      </c>
      <c r="F1022" s="0" t="n">
        <f aca="false">IF(C1022&gt;=6,0,1)</f>
        <v>0</v>
      </c>
      <c r="G1022" s="0" t="n">
        <f aca="false">VLOOKUP(E1022,Sheet1!$A$2:$B$25,2,0)</f>
        <v>1</v>
      </c>
    </row>
    <row r="1023" customFormat="false" ht="15" hidden="false" customHeight="false" outlineLevel="0" collapsed="false">
      <c r="A1023" s="13" t="n">
        <v>44583.2916666667</v>
      </c>
      <c r="B1023" s="12" t="n">
        <v>335.42</v>
      </c>
      <c r="C1023" s="0" t="n">
        <f aca="false">WEEKDAY(A1023,2)</f>
        <v>6</v>
      </c>
      <c r="D1023" s="0" t="n">
        <f aca="false">DAY(A1023)</f>
        <v>22</v>
      </c>
      <c r="E1023" s="0" t="n">
        <f aca="false">HOUR(A1023)</f>
        <v>7</v>
      </c>
      <c r="F1023" s="0" t="n">
        <f aca="false">IF(C1023&gt;=6,0,1)</f>
        <v>0</v>
      </c>
      <c r="G1023" s="0" t="n">
        <f aca="false">VLOOKUP(E1023,Sheet1!$A$2:$B$25,2,0)</f>
        <v>1</v>
      </c>
    </row>
    <row r="1024" customFormat="false" ht="15" hidden="false" customHeight="false" outlineLevel="0" collapsed="false">
      <c r="A1024" s="13" t="n">
        <v>44583.3125</v>
      </c>
      <c r="B1024" s="12" t="n">
        <v>333.02</v>
      </c>
      <c r="C1024" s="0" t="n">
        <f aca="false">WEEKDAY(A1024,2)</f>
        <v>6</v>
      </c>
      <c r="D1024" s="0" t="n">
        <f aca="false">DAY(A1024)</f>
        <v>22</v>
      </c>
      <c r="E1024" s="0" t="n">
        <f aca="false">HOUR(A1024)</f>
        <v>7</v>
      </c>
      <c r="F1024" s="0" t="n">
        <f aca="false">IF(C1024&gt;=6,0,1)</f>
        <v>0</v>
      </c>
      <c r="G1024" s="0" t="n">
        <f aca="false">VLOOKUP(E1024,Sheet1!$A$2:$B$25,2,0)</f>
        <v>1</v>
      </c>
    </row>
    <row r="1025" customFormat="false" ht="15" hidden="false" customHeight="false" outlineLevel="0" collapsed="false">
      <c r="A1025" s="13" t="n">
        <v>44583.3333333333</v>
      </c>
      <c r="B1025" s="12" t="n">
        <v>321.476</v>
      </c>
      <c r="C1025" s="0" t="n">
        <f aca="false">WEEKDAY(A1025,2)</f>
        <v>6</v>
      </c>
      <c r="D1025" s="0" t="n">
        <f aca="false">DAY(A1025)</f>
        <v>22</v>
      </c>
      <c r="E1025" s="0" t="n">
        <f aca="false">HOUR(A1025)</f>
        <v>8</v>
      </c>
      <c r="F1025" s="0" t="n">
        <f aca="false">IF(C1025&gt;=6,0,1)</f>
        <v>0</v>
      </c>
      <c r="G1025" s="0" t="n">
        <f aca="false">VLOOKUP(E1025,Sheet1!$A$2:$B$25,2,0)</f>
        <v>1</v>
      </c>
    </row>
    <row r="1026" customFormat="false" ht="15" hidden="false" customHeight="false" outlineLevel="0" collapsed="false">
      <c r="A1026" s="13" t="n">
        <v>44583.3541666667</v>
      </c>
      <c r="B1026" s="12" t="n">
        <v>320.06</v>
      </c>
      <c r="C1026" s="0" t="n">
        <f aca="false">WEEKDAY(A1026,2)</f>
        <v>6</v>
      </c>
      <c r="D1026" s="0" t="n">
        <f aca="false">DAY(A1026)</f>
        <v>22</v>
      </c>
      <c r="E1026" s="0" t="n">
        <f aca="false">HOUR(A1026)</f>
        <v>8</v>
      </c>
      <c r="F1026" s="0" t="n">
        <f aca="false">IF(C1026&gt;=6,0,1)</f>
        <v>0</v>
      </c>
      <c r="G1026" s="0" t="n">
        <f aca="false">VLOOKUP(E1026,Sheet1!$A$2:$B$25,2,0)</f>
        <v>1</v>
      </c>
    </row>
    <row r="1027" customFormat="false" ht="15" hidden="false" customHeight="false" outlineLevel="0" collapsed="false">
      <c r="A1027" s="13" t="n">
        <v>44583.375</v>
      </c>
      <c r="B1027" s="12" t="n">
        <v>316.94</v>
      </c>
      <c r="C1027" s="0" t="n">
        <f aca="false">WEEKDAY(A1027,2)</f>
        <v>6</v>
      </c>
      <c r="D1027" s="0" t="n">
        <f aca="false">DAY(A1027)</f>
        <v>22</v>
      </c>
      <c r="E1027" s="0" t="n">
        <f aca="false">HOUR(A1027)</f>
        <v>9</v>
      </c>
      <c r="F1027" s="0" t="n">
        <f aca="false">IF(C1027&gt;=6,0,1)</f>
        <v>0</v>
      </c>
      <c r="G1027" s="0" t="n">
        <f aca="false">VLOOKUP(E1027,Sheet1!$A$2:$B$25,2,0)</f>
        <v>1</v>
      </c>
    </row>
    <row r="1028" customFormat="false" ht="15" hidden="false" customHeight="false" outlineLevel="0" collapsed="false">
      <c r="A1028" s="13" t="n">
        <v>44583.3958333333</v>
      </c>
      <c r="B1028" s="12" t="n">
        <v>320.161</v>
      </c>
      <c r="C1028" s="0" t="n">
        <f aca="false">WEEKDAY(A1028,2)</f>
        <v>6</v>
      </c>
      <c r="D1028" s="0" t="n">
        <f aca="false">DAY(A1028)</f>
        <v>22</v>
      </c>
      <c r="E1028" s="0" t="n">
        <f aca="false">HOUR(A1028)</f>
        <v>9</v>
      </c>
      <c r="F1028" s="0" t="n">
        <f aca="false">IF(C1028&gt;=6,0,1)</f>
        <v>0</v>
      </c>
      <c r="G1028" s="0" t="n">
        <f aca="false">VLOOKUP(E1028,Sheet1!$A$2:$B$25,2,0)</f>
        <v>1</v>
      </c>
    </row>
    <row r="1029" customFormat="false" ht="15" hidden="false" customHeight="false" outlineLevel="0" collapsed="false">
      <c r="A1029" s="13" t="n">
        <v>44583.4166666667</v>
      </c>
      <c r="B1029" s="12" t="n">
        <v>317.66</v>
      </c>
      <c r="C1029" s="0" t="n">
        <f aca="false">WEEKDAY(A1029,2)</f>
        <v>6</v>
      </c>
      <c r="D1029" s="0" t="n">
        <f aca="false">DAY(A1029)</f>
        <v>22</v>
      </c>
      <c r="E1029" s="0" t="n">
        <f aca="false">HOUR(A1029)</f>
        <v>10</v>
      </c>
      <c r="F1029" s="0" t="n">
        <f aca="false">IF(C1029&gt;=6,0,1)</f>
        <v>0</v>
      </c>
      <c r="G1029" s="0" t="n">
        <f aca="false">VLOOKUP(E1029,Sheet1!$A$2:$B$25,2,0)</f>
        <v>1</v>
      </c>
    </row>
    <row r="1030" customFormat="false" ht="15" hidden="false" customHeight="false" outlineLevel="0" collapsed="false">
      <c r="A1030" s="13" t="n">
        <v>44583.4375</v>
      </c>
      <c r="B1030" s="12" t="n">
        <v>315.5</v>
      </c>
      <c r="C1030" s="0" t="n">
        <f aca="false">WEEKDAY(A1030,2)</f>
        <v>6</v>
      </c>
      <c r="D1030" s="0" t="n">
        <f aca="false">DAY(A1030)</f>
        <v>22</v>
      </c>
      <c r="E1030" s="0" t="n">
        <f aca="false">HOUR(A1030)</f>
        <v>10</v>
      </c>
      <c r="F1030" s="0" t="n">
        <f aca="false">IF(C1030&gt;=6,0,1)</f>
        <v>0</v>
      </c>
      <c r="G1030" s="0" t="n">
        <f aca="false">VLOOKUP(E1030,Sheet1!$A$2:$B$25,2,0)</f>
        <v>1</v>
      </c>
    </row>
    <row r="1031" customFormat="false" ht="15" hidden="false" customHeight="false" outlineLevel="0" collapsed="false">
      <c r="A1031" s="13" t="n">
        <v>44583.4583333333</v>
      </c>
      <c r="B1031" s="12" t="n">
        <v>321.265</v>
      </c>
      <c r="C1031" s="0" t="n">
        <f aca="false">WEEKDAY(A1031,2)</f>
        <v>6</v>
      </c>
      <c r="D1031" s="0" t="n">
        <f aca="false">DAY(A1031)</f>
        <v>22</v>
      </c>
      <c r="E1031" s="0" t="n">
        <f aca="false">HOUR(A1031)</f>
        <v>11</v>
      </c>
      <c r="F1031" s="0" t="n">
        <f aca="false">IF(C1031&gt;=6,0,1)</f>
        <v>0</v>
      </c>
      <c r="G1031" s="0" t="n">
        <f aca="false">VLOOKUP(E1031,Sheet1!$A$2:$B$25,2,0)</f>
        <v>1</v>
      </c>
    </row>
    <row r="1032" customFormat="false" ht="15" hidden="false" customHeight="false" outlineLevel="0" collapsed="false">
      <c r="A1032" s="13" t="n">
        <v>44583.4791666667</v>
      </c>
      <c r="B1032" s="12" t="n">
        <v>317.18</v>
      </c>
      <c r="C1032" s="0" t="n">
        <f aca="false">WEEKDAY(A1032,2)</f>
        <v>6</v>
      </c>
      <c r="D1032" s="0" t="n">
        <f aca="false">DAY(A1032)</f>
        <v>22</v>
      </c>
      <c r="E1032" s="0" t="n">
        <f aca="false">HOUR(A1032)</f>
        <v>11</v>
      </c>
      <c r="F1032" s="0" t="n">
        <f aca="false">IF(C1032&gt;=6,0,1)</f>
        <v>0</v>
      </c>
      <c r="G1032" s="0" t="n">
        <f aca="false">VLOOKUP(E1032,Sheet1!$A$2:$B$25,2,0)</f>
        <v>1</v>
      </c>
    </row>
    <row r="1033" customFormat="false" ht="15" hidden="false" customHeight="false" outlineLevel="0" collapsed="false">
      <c r="A1033" s="13" t="n">
        <v>44583.5</v>
      </c>
      <c r="B1033" s="12" t="n">
        <v>315.476</v>
      </c>
      <c r="C1033" s="0" t="n">
        <f aca="false">WEEKDAY(A1033,2)</f>
        <v>6</v>
      </c>
      <c r="D1033" s="0" t="n">
        <f aca="false">DAY(A1033)</f>
        <v>22</v>
      </c>
      <c r="E1033" s="0" t="n">
        <f aca="false">HOUR(A1033)</f>
        <v>12</v>
      </c>
      <c r="F1033" s="0" t="n">
        <f aca="false">IF(C1033&gt;=6,0,1)</f>
        <v>0</v>
      </c>
      <c r="G1033" s="0" t="n">
        <f aca="false">VLOOKUP(E1033,Sheet1!$A$2:$B$25,2,0)</f>
        <v>1</v>
      </c>
    </row>
    <row r="1034" customFormat="false" ht="15" hidden="false" customHeight="false" outlineLevel="0" collapsed="false">
      <c r="A1034" s="13" t="n">
        <v>44583.5208333333</v>
      </c>
      <c r="B1034" s="12" t="n">
        <v>316.921</v>
      </c>
      <c r="C1034" s="0" t="n">
        <f aca="false">WEEKDAY(A1034,2)</f>
        <v>6</v>
      </c>
      <c r="D1034" s="0" t="n">
        <f aca="false">DAY(A1034)</f>
        <v>22</v>
      </c>
      <c r="E1034" s="0" t="n">
        <f aca="false">HOUR(A1034)</f>
        <v>12</v>
      </c>
      <c r="F1034" s="0" t="n">
        <f aca="false">IF(C1034&gt;=6,0,1)</f>
        <v>0</v>
      </c>
      <c r="G1034" s="0" t="n">
        <f aca="false">VLOOKUP(E1034,Sheet1!$A$2:$B$25,2,0)</f>
        <v>1</v>
      </c>
    </row>
    <row r="1035" customFormat="false" ht="15" hidden="false" customHeight="false" outlineLevel="0" collapsed="false">
      <c r="A1035" s="13" t="n">
        <v>44583.5416666667</v>
      </c>
      <c r="B1035" s="12" t="n">
        <v>316.22</v>
      </c>
      <c r="C1035" s="0" t="n">
        <f aca="false">WEEKDAY(A1035,2)</f>
        <v>6</v>
      </c>
      <c r="D1035" s="0" t="n">
        <f aca="false">DAY(A1035)</f>
        <v>22</v>
      </c>
      <c r="E1035" s="0" t="n">
        <f aca="false">HOUR(A1035)</f>
        <v>13</v>
      </c>
      <c r="F1035" s="0" t="n">
        <f aca="false">IF(C1035&gt;=6,0,1)</f>
        <v>0</v>
      </c>
      <c r="G1035" s="0" t="n">
        <f aca="false">VLOOKUP(E1035,Sheet1!$A$2:$B$25,2,0)</f>
        <v>1</v>
      </c>
    </row>
    <row r="1036" customFormat="false" ht="15" hidden="false" customHeight="false" outlineLevel="0" collapsed="false">
      <c r="A1036" s="13" t="n">
        <v>44583.5625</v>
      </c>
      <c r="B1036" s="12" t="n">
        <v>317.42</v>
      </c>
      <c r="C1036" s="0" t="n">
        <f aca="false">WEEKDAY(A1036,2)</f>
        <v>6</v>
      </c>
      <c r="D1036" s="0" t="n">
        <f aca="false">DAY(A1036)</f>
        <v>22</v>
      </c>
      <c r="E1036" s="0" t="n">
        <f aca="false">HOUR(A1036)</f>
        <v>13</v>
      </c>
      <c r="F1036" s="0" t="n">
        <f aca="false">IF(C1036&gt;=6,0,1)</f>
        <v>0</v>
      </c>
      <c r="G1036" s="0" t="n">
        <f aca="false">VLOOKUP(E1036,Sheet1!$A$2:$B$25,2,0)</f>
        <v>1</v>
      </c>
    </row>
    <row r="1037" customFormat="false" ht="15" hidden="false" customHeight="false" outlineLevel="0" collapsed="false">
      <c r="A1037" s="13" t="n">
        <v>44583.5833333333</v>
      </c>
      <c r="B1037" s="12" t="n">
        <v>316.436</v>
      </c>
      <c r="C1037" s="0" t="n">
        <f aca="false">WEEKDAY(A1037,2)</f>
        <v>6</v>
      </c>
      <c r="D1037" s="0" t="n">
        <f aca="false">DAY(A1037)</f>
        <v>22</v>
      </c>
      <c r="E1037" s="0" t="n">
        <f aca="false">HOUR(A1037)</f>
        <v>14</v>
      </c>
      <c r="F1037" s="0" t="n">
        <f aca="false">IF(C1037&gt;=6,0,1)</f>
        <v>0</v>
      </c>
      <c r="G1037" s="0" t="n">
        <f aca="false">VLOOKUP(E1037,Sheet1!$A$2:$B$25,2,0)</f>
        <v>1</v>
      </c>
    </row>
    <row r="1038" customFormat="false" ht="15" hidden="false" customHeight="false" outlineLevel="0" collapsed="false">
      <c r="A1038" s="13" t="n">
        <v>44583.6041666667</v>
      </c>
      <c r="B1038" s="12" t="n">
        <v>315.985</v>
      </c>
      <c r="C1038" s="0" t="n">
        <f aca="false">WEEKDAY(A1038,2)</f>
        <v>6</v>
      </c>
      <c r="D1038" s="0" t="n">
        <f aca="false">DAY(A1038)</f>
        <v>22</v>
      </c>
      <c r="E1038" s="0" t="n">
        <f aca="false">HOUR(A1038)</f>
        <v>14</v>
      </c>
      <c r="F1038" s="0" t="n">
        <f aca="false">IF(C1038&gt;=6,0,1)</f>
        <v>0</v>
      </c>
      <c r="G1038" s="0" t="n">
        <f aca="false">VLOOKUP(E1038,Sheet1!$A$2:$B$25,2,0)</f>
        <v>1</v>
      </c>
    </row>
    <row r="1039" customFormat="false" ht="15" hidden="false" customHeight="false" outlineLevel="0" collapsed="false">
      <c r="A1039" s="13" t="n">
        <v>44583.625</v>
      </c>
      <c r="B1039" s="12" t="n">
        <v>316.316</v>
      </c>
      <c r="C1039" s="0" t="n">
        <f aca="false">WEEKDAY(A1039,2)</f>
        <v>6</v>
      </c>
      <c r="D1039" s="0" t="n">
        <f aca="false">DAY(A1039)</f>
        <v>22</v>
      </c>
      <c r="E1039" s="0" t="n">
        <f aca="false">HOUR(A1039)</f>
        <v>15</v>
      </c>
      <c r="F1039" s="0" t="n">
        <f aca="false">IF(C1039&gt;=6,0,1)</f>
        <v>0</v>
      </c>
      <c r="G1039" s="0" t="n">
        <f aca="false">VLOOKUP(E1039,Sheet1!$A$2:$B$25,2,0)</f>
        <v>1</v>
      </c>
    </row>
    <row r="1040" customFormat="false" ht="15" hidden="false" customHeight="false" outlineLevel="0" collapsed="false">
      <c r="A1040" s="13" t="n">
        <v>44583.6458333333</v>
      </c>
      <c r="B1040" s="12" t="n">
        <v>314.06</v>
      </c>
      <c r="C1040" s="0" t="n">
        <f aca="false">WEEKDAY(A1040,2)</f>
        <v>6</v>
      </c>
      <c r="D1040" s="0" t="n">
        <f aca="false">DAY(A1040)</f>
        <v>22</v>
      </c>
      <c r="E1040" s="0" t="n">
        <f aca="false">HOUR(A1040)</f>
        <v>15</v>
      </c>
      <c r="F1040" s="0" t="n">
        <f aca="false">IF(C1040&gt;=6,0,1)</f>
        <v>0</v>
      </c>
      <c r="G1040" s="0" t="n">
        <f aca="false">VLOOKUP(E1040,Sheet1!$A$2:$B$25,2,0)</f>
        <v>1</v>
      </c>
    </row>
    <row r="1041" customFormat="false" ht="15" hidden="false" customHeight="false" outlineLevel="0" collapsed="false">
      <c r="A1041" s="13" t="n">
        <v>44583.6666666667</v>
      </c>
      <c r="B1041" s="12" t="n">
        <v>313.561</v>
      </c>
      <c r="C1041" s="0" t="n">
        <f aca="false">WEEKDAY(A1041,2)</f>
        <v>6</v>
      </c>
      <c r="D1041" s="0" t="n">
        <f aca="false">DAY(A1041)</f>
        <v>22</v>
      </c>
      <c r="E1041" s="0" t="n">
        <f aca="false">HOUR(A1041)</f>
        <v>16</v>
      </c>
      <c r="F1041" s="0" t="n">
        <f aca="false">IF(C1041&gt;=6,0,1)</f>
        <v>0</v>
      </c>
      <c r="G1041" s="0" t="n">
        <f aca="false">VLOOKUP(E1041,Sheet1!$A$2:$B$25,2,0)</f>
        <v>0</v>
      </c>
    </row>
    <row r="1042" customFormat="false" ht="15" hidden="false" customHeight="false" outlineLevel="0" collapsed="false">
      <c r="A1042" s="13" t="n">
        <v>44583.6875</v>
      </c>
      <c r="B1042" s="12" t="n">
        <v>310.196</v>
      </c>
      <c r="C1042" s="0" t="n">
        <f aca="false">WEEKDAY(A1042,2)</f>
        <v>6</v>
      </c>
      <c r="D1042" s="0" t="n">
        <f aca="false">DAY(A1042)</f>
        <v>22</v>
      </c>
      <c r="E1042" s="0" t="n">
        <f aca="false">HOUR(A1042)</f>
        <v>16</v>
      </c>
      <c r="F1042" s="0" t="n">
        <f aca="false">IF(C1042&gt;=6,0,1)</f>
        <v>0</v>
      </c>
      <c r="G1042" s="0" t="n">
        <f aca="false">VLOOKUP(E1042,Sheet1!$A$2:$B$25,2,0)</f>
        <v>0</v>
      </c>
    </row>
    <row r="1043" customFormat="false" ht="15" hidden="false" customHeight="false" outlineLevel="0" collapsed="false">
      <c r="A1043" s="13" t="n">
        <v>44583.7083333333</v>
      </c>
      <c r="B1043" s="12" t="n">
        <v>308.54</v>
      </c>
      <c r="C1043" s="0" t="n">
        <f aca="false">WEEKDAY(A1043,2)</f>
        <v>6</v>
      </c>
      <c r="D1043" s="0" t="n">
        <f aca="false">DAY(A1043)</f>
        <v>22</v>
      </c>
      <c r="E1043" s="0" t="n">
        <f aca="false">HOUR(A1043)</f>
        <v>17</v>
      </c>
      <c r="F1043" s="0" t="n">
        <f aca="false">IF(C1043&gt;=6,0,1)</f>
        <v>0</v>
      </c>
      <c r="G1043" s="0" t="n">
        <f aca="false">VLOOKUP(E1043,Sheet1!$A$2:$B$25,2,0)</f>
        <v>0</v>
      </c>
    </row>
    <row r="1044" customFormat="false" ht="15" hidden="false" customHeight="false" outlineLevel="0" collapsed="false">
      <c r="A1044" s="13" t="n">
        <v>44583.7291666667</v>
      </c>
      <c r="B1044" s="12" t="n">
        <v>318.86</v>
      </c>
      <c r="C1044" s="0" t="n">
        <f aca="false">WEEKDAY(A1044,2)</f>
        <v>6</v>
      </c>
      <c r="D1044" s="0" t="n">
        <f aca="false">DAY(A1044)</f>
        <v>22</v>
      </c>
      <c r="E1044" s="0" t="n">
        <f aca="false">HOUR(A1044)</f>
        <v>17</v>
      </c>
      <c r="F1044" s="0" t="n">
        <f aca="false">IF(C1044&gt;=6,0,1)</f>
        <v>0</v>
      </c>
      <c r="G1044" s="0" t="n">
        <f aca="false">VLOOKUP(E1044,Sheet1!$A$2:$B$25,2,0)</f>
        <v>0</v>
      </c>
    </row>
    <row r="1045" customFormat="false" ht="15" hidden="false" customHeight="false" outlineLevel="0" collapsed="false">
      <c r="A1045" s="13" t="n">
        <v>44583.75</v>
      </c>
      <c r="B1045" s="12" t="n">
        <v>322.321</v>
      </c>
      <c r="C1045" s="0" t="n">
        <f aca="false">WEEKDAY(A1045,2)</f>
        <v>6</v>
      </c>
      <c r="D1045" s="0" t="n">
        <f aca="false">DAY(A1045)</f>
        <v>22</v>
      </c>
      <c r="E1045" s="0" t="n">
        <f aca="false">HOUR(A1045)</f>
        <v>18</v>
      </c>
      <c r="F1045" s="0" t="n">
        <f aca="false">IF(C1045&gt;=6,0,1)</f>
        <v>0</v>
      </c>
      <c r="G1045" s="0" t="n">
        <f aca="false">VLOOKUP(E1045,Sheet1!$A$2:$B$25,2,0)</f>
        <v>0</v>
      </c>
    </row>
    <row r="1046" customFormat="false" ht="15" hidden="false" customHeight="false" outlineLevel="0" collapsed="false">
      <c r="A1046" s="13" t="n">
        <v>44583.7708333333</v>
      </c>
      <c r="B1046" s="12" t="n">
        <v>316.556</v>
      </c>
      <c r="C1046" s="0" t="n">
        <f aca="false">WEEKDAY(A1046,2)</f>
        <v>6</v>
      </c>
      <c r="D1046" s="0" t="n">
        <f aca="false">DAY(A1046)</f>
        <v>22</v>
      </c>
      <c r="E1046" s="0" t="n">
        <f aca="false">HOUR(A1046)</f>
        <v>18</v>
      </c>
      <c r="F1046" s="0" t="n">
        <f aca="false">IF(C1046&gt;=6,0,1)</f>
        <v>0</v>
      </c>
      <c r="G1046" s="0" t="n">
        <f aca="false">VLOOKUP(E1046,Sheet1!$A$2:$B$25,2,0)</f>
        <v>0</v>
      </c>
    </row>
    <row r="1047" customFormat="false" ht="15" hidden="false" customHeight="false" outlineLevel="0" collapsed="false">
      <c r="A1047" s="13" t="n">
        <v>44583.7916666667</v>
      </c>
      <c r="B1047" s="12" t="n">
        <v>314.54</v>
      </c>
      <c r="C1047" s="0" t="n">
        <f aca="false">WEEKDAY(A1047,2)</f>
        <v>6</v>
      </c>
      <c r="D1047" s="0" t="n">
        <f aca="false">DAY(A1047)</f>
        <v>22</v>
      </c>
      <c r="E1047" s="0" t="n">
        <f aca="false">HOUR(A1047)</f>
        <v>19</v>
      </c>
      <c r="F1047" s="0" t="n">
        <f aca="false">IF(C1047&gt;=6,0,1)</f>
        <v>0</v>
      </c>
      <c r="G1047" s="0" t="n">
        <f aca="false">VLOOKUP(E1047,Sheet1!$A$2:$B$25,2,0)</f>
        <v>0</v>
      </c>
    </row>
    <row r="1048" customFormat="false" ht="15" hidden="false" customHeight="false" outlineLevel="0" collapsed="false">
      <c r="A1048" s="13" t="n">
        <v>44583.8125</v>
      </c>
      <c r="B1048" s="12" t="n">
        <v>315.956</v>
      </c>
      <c r="C1048" s="0" t="n">
        <f aca="false">WEEKDAY(A1048,2)</f>
        <v>6</v>
      </c>
      <c r="D1048" s="0" t="n">
        <f aca="false">DAY(A1048)</f>
        <v>22</v>
      </c>
      <c r="E1048" s="0" t="n">
        <f aca="false">HOUR(A1048)</f>
        <v>19</v>
      </c>
      <c r="F1048" s="0" t="n">
        <f aca="false">IF(C1048&gt;=6,0,1)</f>
        <v>0</v>
      </c>
      <c r="G1048" s="0" t="n">
        <f aca="false">VLOOKUP(E1048,Sheet1!$A$2:$B$25,2,0)</f>
        <v>0</v>
      </c>
    </row>
    <row r="1049" customFormat="false" ht="15" hidden="false" customHeight="false" outlineLevel="0" collapsed="false">
      <c r="A1049" s="13" t="n">
        <v>44583.8333333333</v>
      </c>
      <c r="B1049" s="12" t="n">
        <v>319.7</v>
      </c>
      <c r="C1049" s="0" t="n">
        <f aca="false">WEEKDAY(A1049,2)</f>
        <v>6</v>
      </c>
      <c r="D1049" s="0" t="n">
        <f aca="false">DAY(A1049)</f>
        <v>22</v>
      </c>
      <c r="E1049" s="0" t="n">
        <f aca="false">HOUR(A1049)</f>
        <v>20</v>
      </c>
      <c r="F1049" s="0" t="n">
        <f aca="false">IF(C1049&gt;=6,0,1)</f>
        <v>0</v>
      </c>
      <c r="G1049" s="0" t="n">
        <f aca="false">VLOOKUP(E1049,Sheet1!$A$2:$B$25,2,0)</f>
        <v>0</v>
      </c>
    </row>
    <row r="1050" customFormat="false" ht="15" hidden="false" customHeight="false" outlineLevel="0" collapsed="false">
      <c r="A1050" s="13" t="n">
        <v>44583.8541666667</v>
      </c>
      <c r="B1050" s="12" t="n">
        <v>315.116</v>
      </c>
      <c r="C1050" s="0" t="n">
        <f aca="false">WEEKDAY(A1050,2)</f>
        <v>6</v>
      </c>
      <c r="D1050" s="0" t="n">
        <f aca="false">DAY(A1050)</f>
        <v>22</v>
      </c>
      <c r="E1050" s="0" t="n">
        <f aca="false">HOUR(A1050)</f>
        <v>20</v>
      </c>
      <c r="F1050" s="0" t="n">
        <f aca="false">IF(C1050&gt;=6,0,1)</f>
        <v>0</v>
      </c>
      <c r="G1050" s="0" t="n">
        <f aca="false">VLOOKUP(E1050,Sheet1!$A$2:$B$25,2,0)</f>
        <v>0</v>
      </c>
    </row>
    <row r="1051" customFormat="false" ht="15" hidden="false" customHeight="false" outlineLevel="0" collapsed="false">
      <c r="A1051" s="13" t="n">
        <v>44583.875</v>
      </c>
      <c r="B1051" s="12" t="n">
        <v>315.86</v>
      </c>
      <c r="C1051" s="0" t="n">
        <f aca="false">WEEKDAY(A1051,2)</f>
        <v>6</v>
      </c>
      <c r="D1051" s="0" t="n">
        <f aca="false">DAY(A1051)</f>
        <v>22</v>
      </c>
      <c r="E1051" s="0" t="n">
        <f aca="false">HOUR(A1051)</f>
        <v>21</v>
      </c>
      <c r="F1051" s="0" t="n">
        <f aca="false">IF(C1051&gt;=6,0,1)</f>
        <v>0</v>
      </c>
      <c r="G1051" s="0" t="n">
        <f aca="false">VLOOKUP(E1051,Sheet1!$A$2:$B$25,2,0)</f>
        <v>0</v>
      </c>
    </row>
    <row r="1052" customFormat="false" ht="15" hidden="false" customHeight="false" outlineLevel="0" collapsed="false">
      <c r="A1052" s="13" t="n">
        <v>44583.8958333333</v>
      </c>
      <c r="B1052" s="12" t="n">
        <v>313.921</v>
      </c>
      <c r="C1052" s="0" t="n">
        <f aca="false">WEEKDAY(A1052,2)</f>
        <v>6</v>
      </c>
      <c r="D1052" s="0" t="n">
        <f aca="false">DAY(A1052)</f>
        <v>22</v>
      </c>
      <c r="E1052" s="0" t="n">
        <f aca="false">HOUR(A1052)</f>
        <v>21</v>
      </c>
      <c r="F1052" s="0" t="n">
        <f aca="false">IF(C1052&gt;=6,0,1)</f>
        <v>0</v>
      </c>
      <c r="G1052" s="0" t="n">
        <f aca="false">VLOOKUP(E1052,Sheet1!$A$2:$B$25,2,0)</f>
        <v>0</v>
      </c>
    </row>
    <row r="1053" customFormat="false" ht="15" hidden="false" customHeight="false" outlineLevel="0" collapsed="false">
      <c r="A1053" s="13" t="n">
        <v>44583.9166666667</v>
      </c>
      <c r="B1053" s="12" t="n">
        <v>313.22</v>
      </c>
      <c r="C1053" s="0" t="n">
        <f aca="false">WEEKDAY(A1053,2)</f>
        <v>6</v>
      </c>
      <c r="D1053" s="0" t="n">
        <f aca="false">DAY(A1053)</f>
        <v>22</v>
      </c>
      <c r="E1053" s="0" t="n">
        <f aca="false">HOUR(A1053)</f>
        <v>22</v>
      </c>
      <c r="F1053" s="0" t="n">
        <f aca="false">IF(C1053&gt;=6,0,1)</f>
        <v>0</v>
      </c>
      <c r="G1053" s="0" t="n">
        <f aca="false">VLOOKUP(E1053,Sheet1!$A$2:$B$25,2,0)</f>
        <v>0</v>
      </c>
    </row>
    <row r="1054" customFormat="false" ht="15" hidden="false" customHeight="false" outlineLevel="0" collapsed="false">
      <c r="A1054" s="13" t="n">
        <v>44583.9375</v>
      </c>
      <c r="B1054" s="12" t="n">
        <v>292.436</v>
      </c>
      <c r="C1054" s="0" t="n">
        <f aca="false">WEEKDAY(A1054,2)</f>
        <v>6</v>
      </c>
      <c r="D1054" s="0" t="n">
        <f aca="false">DAY(A1054)</f>
        <v>22</v>
      </c>
      <c r="E1054" s="0" t="n">
        <f aca="false">HOUR(A1054)</f>
        <v>22</v>
      </c>
      <c r="F1054" s="0" t="n">
        <f aca="false">IF(C1054&gt;=6,0,1)</f>
        <v>0</v>
      </c>
      <c r="G1054" s="0" t="n">
        <f aca="false">VLOOKUP(E1054,Sheet1!$A$2:$B$25,2,0)</f>
        <v>0</v>
      </c>
    </row>
    <row r="1055" customFormat="false" ht="15" hidden="false" customHeight="false" outlineLevel="0" collapsed="false">
      <c r="A1055" s="13" t="n">
        <v>44583.9583333333</v>
      </c>
      <c r="B1055" s="12" t="n">
        <v>292.676</v>
      </c>
      <c r="C1055" s="0" t="n">
        <f aca="false">WEEKDAY(A1055,2)</f>
        <v>6</v>
      </c>
      <c r="D1055" s="0" t="n">
        <f aca="false">DAY(A1055)</f>
        <v>22</v>
      </c>
      <c r="E1055" s="0" t="n">
        <f aca="false">HOUR(A1055)</f>
        <v>23</v>
      </c>
      <c r="F1055" s="0" t="n">
        <f aca="false">IF(C1055&gt;=6,0,1)</f>
        <v>0</v>
      </c>
      <c r="G1055" s="0" t="n">
        <f aca="false">VLOOKUP(E1055,Sheet1!$A$2:$B$25,2,0)</f>
        <v>0</v>
      </c>
    </row>
    <row r="1056" customFormat="false" ht="15" hidden="false" customHeight="false" outlineLevel="0" collapsed="false">
      <c r="A1056" s="13" t="n">
        <v>44583.9791666667</v>
      </c>
      <c r="B1056" s="12" t="n">
        <v>290.756</v>
      </c>
      <c r="C1056" s="0" t="n">
        <f aca="false">WEEKDAY(A1056,2)</f>
        <v>6</v>
      </c>
      <c r="D1056" s="0" t="n">
        <f aca="false">DAY(A1056)</f>
        <v>22</v>
      </c>
      <c r="E1056" s="0" t="n">
        <f aca="false">HOUR(A1056)</f>
        <v>23</v>
      </c>
      <c r="F1056" s="0" t="n">
        <f aca="false">IF(C1056&gt;=6,0,1)</f>
        <v>0</v>
      </c>
      <c r="G1056" s="0" t="n">
        <f aca="false">VLOOKUP(E1056,Sheet1!$A$2:$B$25,2,0)</f>
        <v>0</v>
      </c>
    </row>
    <row r="1057" customFormat="false" ht="15" hidden="false" customHeight="false" outlineLevel="0" collapsed="false">
      <c r="A1057" s="13" t="n">
        <v>44584</v>
      </c>
      <c r="B1057" s="12" t="n">
        <v>293.156</v>
      </c>
      <c r="C1057" s="0" t="n">
        <f aca="false">WEEKDAY(A1057,2)</f>
        <v>7</v>
      </c>
      <c r="D1057" s="0" t="n">
        <f aca="false">DAY(A1057)</f>
        <v>23</v>
      </c>
      <c r="E1057" s="0" t="n">
        <f aca="false">HOUR(A1057)</f>
        <v>0</v>
      </c>
      <c r="F1057" s="0" t="n">
        <f aca="false">IF(C1057&gt;=6,0,1)</f>
        <v>0</v>
      </c>
      <c r="G1057" s="0" t="n">
        <f aca="false">VLOOKUP(E1057,Sheet1!$A$2:$B$25,2,0)</f>
        <v>0</v>
      </c>
    </row>
    <row r="1058" customFormat="false" ht="15" hidden="false" customHeight="false" outlineLevel="0" collapsed="false">
      <c r="A1058" s="13" t="n">
        <v>44584.0208333333</v>
      </c>
      <c r="B1058" s="12" t="n">
        <v>297.38</v>
      </c>
      <c r="C1058" s="0" t="n">
        <f aca="false">WEEKDAY(A1058,2)</f>
        <v>7</v>
      </c>
      <c r="D1058" s="0" t="n">
        <f aca="false">DAY(A1058)</f>
        <v>23</v>
      </c>
      <c r="E1058" s="0" t="n">
        <f aca="false">HOUR(A1058)</f>
        <v>0</v>
      </c>
      <c r="F1058" s="0" t="n">
        <f aca="false">IF(C1058&gt;=6,0,1)</f>
        <v>0</v>
      </c>
      <c r="G1058" s="0" t="n">
        <f aca="false">VLOOKUP(E1058,Sheet1!$A$2:$B$25,2,0)</f>
        <v>0</v>
      </c>
    </row>
    <row r="1059" customFormat="false" ht="15" hidden="false" customHeight="false" outlineLevel="0" collapsed="false">
      <c r="A1059" s="13" t="n">
        <v>44584.0416666667</v>
      </c>
      <c r="B1059" s="12" t="n">
        <v>302.06</v>
      </c>
      <c r="C1059" s="0" t="n">
        <f aca="false">WEEKDAY(A1059,2)</f>
        <v>7</v>
      </c>
      <c r="D1059" s="0" t="n">
        <f aca="false">DAY(A1059)</f>
        <v>23</v>
      </c>
      <c r="E1059" s="0" t="n">
        <f aca="false">HOUR(A1059)</f>
        <v>1</v>
      </c>
      <c r="F1059" s="0" t="n">
        <f aca="false">IF(C1059&gt;=6,0,1)</f>
        <v>0</v>
      </c>
      <c r="G1059" s="0" t="n">
        <f aca="false">VLOOKUP(E1059,Sheet1!$A$2:$B$25,2,0)</f>
        <v>0</v>
      </c>
    </row>
    <row r="1060" customFormat="false" ht="15" hidden="false" customHeight="false" outlineLevel="0" collapsed="false">
      <c r="A1060" s="13" t="n">
        <v>44584.0625</v>
      </c>
      <c r="B1060" s="12" t="n">
        <v>295.796</v>
      </c>
      <c r="C1060" s="0" t="n">
        <f aca="false">WEEKDAY(A1060,2)</f>
        <v>7</v>
      </c>
      <c r="D1060" s="0" t="n">
        <f aca="false">DAY(A1060)</f>
        <v>23</v>
      </c>
      <c r="E1060" s="0" t="n">
        <f aca="false">HOUR(A1060)</f>
        <v>1</v>
      </c>
      <c r="F1060" s="0" t="n">
        <f aca="false">IF(C1060&gt;=6,0,1)</f>
        <v>0</v>
      </c>
      <c r="G1060" s="0" t="n">
        <f aca="false">VLOOKUP(E1060,Sheet1!$A$2:$B$25,2,0)</f>
        <v>0</v>
      </c>
    </row>
    <row r="1061" customFormat="false" ht="15" hidden="false" customHeight="false" outlineLevel="0" collapsed="false">
      <c r="A1061" s="13" t="n">
        <v>44584.0833333333</v>
      </c>
      <c r="B1061" s="12" t="n">
        <v>293.756</v>
      </c>
      <c r="C1061" s="0" t="n">
        <f aca="false">WEEKDAY(A1061,2)</f>
        <v>7</v>
      </c>
      <c r="D1061" s="0" t="n">
        <f aca="false">DAY(A1061)</f>
        <v>23</v>
      </c>
      <c r="E1061" s="0" t="n">
        <f aca="false">HOUR(A1061)</f>
        <v>2</v>
      </c>
      <c r="F1061" s="0" t="n">
        <f aca="false">IF(C1061&gt;=6,0,1)</f>
        <v>0</v>
      </c>
      <c r="G1061" s="0" t="n">
        <f aca="false">VLOOKUP(E1061,Sheet1!$A$2:$B$25,2,0)</f>
        <v>0</v>
      </c>
    </row>
    <row r="1062" customFormat="false" ht="15" hidden="false" customHeight="false" outlineLevel="0" collapsed="false">
      <c r="A1062" s="13" t="n">
        <v>44584.1041666667</v>
      </c>
      <c r="B1062" s="12" t="n">
        <v>291.116</v>
      </c>
      <c r="C1062" s="0" t="n">
        <f aca="false">WEEKDAY(A1062,2)</f>
        <v>7</v>
      </c>
      <c r="D1062" s="0" t="n">
        <f aca="false">DAY(A1062)</f>
        <v>23</v>
      </c>
      <c r="E1062" s="0" t="n">
        <f aca="false">HOUR(A1062)</f>
        <v>2</v>
      </c>
      <c r="F1062" s="0" t="n">
        <f aca="false">IF(C1062&gt;=6,0,1)</f>
        <v>0</v>
      </c>
      <c r="G1062" s="0" t="n">
        <f aca="false">VLOOKUP(E1062,Sheet1!$A$2:$B$25,2,0)</f>
        <v>0</v>
      </c>
    </row>
    <row r="1063" customFormat="false" ht="15" hidden="false" customHeight="false" outlineLevel="0" collapsed="false">
      <c r="A1063" s="13" t="n">
        <v>44584.125</v>
      </c>
      <c r="B1063" s="12" t="n">
        <v>295.22</v>
      </c>
      <c r="C1063" s="0" t="n">
        <f aca="false">WEEKDAY(A1063,2)</f>
        <v>7</v>
      </c>
      <c r="D1063" s="0" t="n">
        <f aca="false">DAY(A1063)</f>
        <v>23</v>
      </c>
      <c r="E1063" s="0" t="n">
        <f aca="false">HOUR(A1063)</f>
        <v>3</v>
      </c>
      <c r="F1063" s="0" t="n">
        <f aca="false">IF(C1063&gt;=6,0,1)</f>
        <v>0</v>
      </c>
      <c r="G1063" s="0" t="n">
        <f aca="false">VLOOKUP(E1063,Sheet1!$A$2:$B$25,2,0)</f>
        <v>0</v>
      </c>
    </row>
    <row r="1064" customFormat="false" ht="15" hidden="false" customHeight="false" outlineLevel="0" collapsed="false">
      <c r="A1064" s="13" t="n">
        <v>44584.1458333333</v>
      </c>
      <c r="B1064" s="12" t="n">
        <v>290.305</v>
      </c>
      <c r="C1064" s="0" t="n">
        <f aca="false">WEEKDAY(A1064,2)</f>
        <v>7</v>
      </c>
      <c r="D1064" s="0" t="n">
        <f aca="false">DAY(A1064)</f>
        <v>23</v>
      </c>
      <c r="E1064" s="0" t="n">
        <f aca="false">HOUR(A1064)</f>
        <v>3</v>
      </c>
      <c r="F1064" s="0" t="n">
        <f aca="false">IF(C1064&gt;=6,0,1)</f>
        <v>0</v>
      </c>
      <c r="G1064" s="0" t="n">
        <f aca="false">VLOOKUP(E1064,Sheet1!$A$2:$B$25,2,0)</f>
        <v>0</v>
      </c>
    </row>
    <row r="1065" customFormat="false" ht="15" hidden="false" customHeight="false" outlineLevel="0" collapsed="false">
      <c r="A1065" s="13" t="n">
        <v>44584.1666666667</v>
      </c>
      <c r="B1065" s="12" t="n">
        <v>290.396</v>
      </c>
      <c r="C1065" s="0" t="n">
        <f aca="false">WEEKDAY(A1065,2)</f>
        <v>7</v>
      </c>
      <c r="D1065" s="0" t="n">
        <f aca="false">DAY(A1065)</f>
        <v>23</v>
      </c>
      <c r="E1065" s="0" t="n">
        <f aca="false">HOUR(A1065)</f>
        <v>4</v>
      </c>
      <c r="F1065" s="0" t="n">
        <f aca="false">IF(C1065&gt;=6,0,1)</f>
        <v>0</v>
      </c>
      <c r="G1065" s="0" t="n">
        <f aca="false">VLOOKUP(E1065,Sheet1!$A$2:$B$25,2,0)</f>
        <v>1</v>
      </c>
    </row>
    <row r="1066" customFormat="false" ht="15" hidden="false" customHeight="false" outlineLevel="0" collapsed="false">
      <c r="A1066" s="13" t="n">
        <v>44584.1875</v>
      </c>
      <c r="B1066" s="12" t="n">
        <v>293.276</v>
      </c>
      <c r="C1066" s="0" t="n">
        <f aca="false">WEEKDAY(A1066,2)</f>
        <v>7</v>
      </c>
      <c r="D1066" s="0" t="n">
        <f aca="false">DAY(A1066)</f>
        <v>23</v>
      </c>
      <c r="E1066" s="0" t="n">
        <f aca="false">HOUR(A1066)</f>
        <v>4</v>
      </c>
      <c r="F1066" s="0" t="n">
        <f aca="false">IF(C1066&gt;=6,0,1)</f>
        <v>0</v>
      </c>
      <c r="G1066" s="0" t="n">
        <f aca="false">VLOOKUP(E1066,Sheet1!$A$2:$B$25,2,0)</f>
        <v>1</v>
      </c>
    </row>
    <row r="1067" customFormat="false" ht="15" hidden="false" customHeight="false" outlineLevel="0" collapsed="false">
      <c r="A1067" s="13" t="n">
        <v>44584.2083333333</v>
      </c>
      <c r="B1067" s="12" t="n">
        <v>289.58</v>
      </c>
      <c r="C1067" s="0" t="n">
        <f aca="false">WEEKDAY(A1067,2)</f>
        <v>7</v>
      </c>
      <c r="D1067" s="0" t="n">
        <f aca="false">DAY(A1067)</f>
        <v>23</v>
      </c>
      <c r="E1067" s="0" t="n">
        <f aca="false">HOUR(A1067)</f>
        <v>5</v>
      </c>
      <c r="F1067" s="0" t="n">
        <f aca="false">IF(C1067&gt;=6,0,1)</f>
        <v>0</v>
      </c>
      <c r="G1067" s="0" t="n">
        <f aca="false">VLOOKUP(E1067,Sheet1!$A$2:$B$25,2,0)</f>
        <v>1</v>
      </c>
    </row>
    <row r="1068" customFormat="false" ht="15" hidden="false" customHeight="false" outlineLevel="0" collapsed="false">
      <c r="A1068" s="13" t="n">
        <v>44584.2291666667</v>
      </c>
      <c r="B1068" s="12" t="n">
        <v>291.385</v>
      </c>
      <c r="C1068" s="0" t="n">
        <f aca="false">WEEKDAY(A1068,2)</f>
        <v>7</v>
      </c>
      <c r="D1068" s="0" t="n">
        <f aca="false">DAY(A1068)</f>
        <v>23</v>
      </c>
      <c r="E1068" s="0" t="n">
        <f aca="false">HOUR(A1068)</f>
        <v>5</v>
      </c>
      <c r="F1068" s="0" t="n">
        <f aca="false">IF(C1068&gt;=6,0,1)</f>
        <v>0</v>
      </c>
      <c r="G1068" s="0" t="n">
        <f aca="false">VLOOKUP(E1068,Sheet1!$A$2:$B$25,2,0)</f>
        <v>1</v>
      </c>
    </row>
    <row r="1069" customFormat="false" ht="15" hidden="false" customHeight="false" outlineLevel="0" collapsed="false">
      <c r="A1069" s="13" t="n">
        <v>44584.25</v>
      </c>
      <c r="B1069" s="12" t="n">
        <v>290.42</v>
      </c>
      <c r="C1069" s="0" t="n">
        <f aca="false">WEEKDAY(A1069,2)</f>
        <v>7</v>
      </c>
      <c r="D1069" s="0" t="n">
        <f aca="false">DAY(A1069)</f>
        <v>23</v>
      </c>
      <c r="E1069" s="0" t="n">
        <f aca="false">HOUR(A1069)</f>
        <v>6</v>
      </c>
      <c r="F1069" s="0" t="n">
        <f aca="false">IF(C1069&gt;=6,0,1)</f>
        <v>0</v>
      </c>
      <c r="G1069" s="0" t="n">
        <f aca="false">VLOOKUP(E1069,Sheet1!$A$2:$B$25,2,0)</f>
        <v>1</v>
      </c>
    </row>
    <row r="1070" customFormat="false" ht="15" hidden="false" customHeight="false" outlineLevel="0" collapsed="false">
      <c r="A1070" s="13" t="n">
        <v>44584.2708333333</v>
      </c>
      <c r="B1070" s="12" t="n">
        <v>296.54</v>
      </c>
      <c r="C1070" s="0" t="n">
        <f aca="false">WEEKDAY(A1070,2)</f>
        <v>7</v>
      </c>
      <c r="D1070" s="0" t="n">
        <f aca="false">DAY(A1070)</f>
        <v>23</v>
      </c>
      <c r="E1070" s="0" t="n">
        <f aca="false">HOUR(A1070)</f>
        <v>6</v>
      </c>
      <c r="F1070" s="0" t="n">
        <f aca="false">IF(C1070&gt;=6,0,1)</f>
        <v>0</v>
      </c>
      <c r="G1070" s="0" t="n">
        <f aca="false">VLOOKUP(E1070,Sheet1!$A$2:$B$25,2,0)</f>
        <v>1</v>
      </c>
    </row>
    <row r="1071" customFormat="false" ht="15" hidden="false" customHeight="false" outlineLevel="0" collapsed="false">
      <c r="A1071" s="13" t="n">
        <v>44584.2916666667</v>
      </c>
      <c r="B1071" s="12" t="n">
        <v>292.196</v>
      </c>
      <c r="C1071" s="0" t="n">
        <f aca="false">WEEKDAY(A1071,2)</f>
        <v>7</v>
      </c>
      <c r="D1071" s="0" t="n">
        <f aca="false">DAY(A1071)</f>
        <v>23</v>
      </c>
      <c r="E1071" s="0" t="n">
        <f aca="false">HOUR(A1071)</f>
        <v>7</v>
      </c>
      <c r="F1071" s="0" t="n">
        <f aca="false">IF(C1071&gt;=6,0,1)</f>
        <v>0</v>
      </c>
      <c r="G1071" s="0" t="n">
        <f aca="false">VLOOKUP(E1071,Sheet1!$A$2:$B$25,2,0)</f>
        <v>1</v>
      </c>
    </row>
    <row r="1072" customFormat="false" ht="15" hidden="false" customHeight="false" outlineLevel="0" collapsed="false">
      <c r="A1072" s="13" t="n">
        <v>44584.3125</v>
      </c>
      <c r="B1072" s="12" t="n">
        <v>295.081</v>
      </c>
      <c r="C1072" s="0" t="n">
        <f aca="false">WEEKDAY(A1072,2)</f>
        <v>7</v>
      </c>
      <c r="D1072" s="0" t="n">
        <f aca="false">DAY(A1072)</f>
        <v>23</v>
      </c>
      <c r="E1072" s="0" t="n">
        <f aca="false">HOUR(A1072)</f>
        <v>7</v>
      </c>
      <c r="F1072" s="0" t="n">
        <f aca="false">IF(C1072&gt;=6,0,1)</f>
        <v>0</v>
      </c>
      <c r="G1072" s="0" t="n">
        <f aca="false">VLOOKUP(E1072,Sheet1!$A$2:$B$25,2,0)</f>
        <v>1</v>
      </c>
    </row>
    <row r="1073" customFormat="false" ht="15" hidden="false" customHeight="false" outlineLevel="0" collapsed="false">
      <c r="A1073" s="13" t="n">
        <v>44584.3333333333</v>
      </c>
      <c r="B1073" s="12" t="n">
        <v>288.356</v>
      </c>
      <c r="C1073" s="0" t="n">
        <f aca="false">WEEKDAY(A1073,2)</f>
        <v>7</v>
      </c>
      <c r="D1073" s="0" t="n">
        <f aca="false">DAY(A1073)</f>
        <v>23</v>
      </c>
      <c r="E1073" s="0" t="n">
        <f aca="false">HOUR(A1073)</f>
        <v>8</v>
      </c>
      <c r="F1073" s="0" t="n">
        <f aca="false">IF(C1073&gt;=6,0,1)</f>
        <v>0</v>
      </c>
      <c r="G1073" s="0" t="n">
        <f aca="false">VLOOKUP(E1073,Sheet1!$A$2:$B$25,2,0)</f>
        <v>1</v>
      </c>
    </row>
    <row r="1074" customFormat="false" ht="15" hidden="false" customHeight="false" outlineLevel="0" collapsed="false">
      <c r="A1074" s="13" t="n">
        <v>44584.3541666667</v>
      </c>
      <c r="B1074" s="12" t="n">
        <v>284.996</v>
      </c>
      <c r="C1074" s="0" t="n">
        <f aca="false">WEEKDAY(A1074,2)</f>
        <v>7</v>
      </c>
      <c r="D1074" s="0" t="n">
        <f aca="false">DAY(A1074)</f>
        <v>23</v>
      </c>
      <c r="E1074" s="0" t="n">
        <f aca="false">HOUR(A1074)</f>
        <v>8</v>
      </c>
      <c r="F1074" s="0" t="n">
        <f aca="false">IF(C1074&gt;=6,0,1)</f>
        <v>0</v>
      </c>
      <c r="G1074" s="0" t="n">
        <f aca="false">VLOOKUP(E1074,Sheet1!$A$2:$B$25,2,0)</f>
        <v>1</v>
      </c>
    </row>
    <row r="1075" customFormat="false" ht="15" hidden="false" customHeight="false" outlineLevel="0" collapsed="false">
      <c r="A1075" s="13" t="n">
        <v>44584.375</v>
      </c>
      <c r="B1075" s="12" t="n">
        <v>290.636</v>
      </c>
      <c r="C1075" s="0" t="n">
        <f aca="false">WEEKDAY(A1075,2)</f>
        <v>7</v>
      </c>
      <c r="D1075" s="0" t="n">
        <f aca="false">DAY(A1075)</f>
        <v>23</v>
      </c>
      <c r="E1075" s="0" t="n">
        <f aca="false">HOUR(A1075)</f>
        <v>9</v>
      </c>
      <c r="F1075" s="0" t="n">
        <f aca="false">IF(C1075&gt;=6,0,1)</f>
        <v>0</v>
      </c>
      <c r="G1075" s="0" t="n">
        <f aca="false">VLOOKUP(E1075,Sheet1!$A$2:$B$25,2,0)</f>
        <v>1</v>
      </c>
    </row>
    <row r="1076" customFormat="false" ht="15" hidden="false" customHeight="false" outlineLevel="0" collapsed="false">
      <c r="A1076" s="13" t="n">
        <v>44584.3958333333</v>
      </c>
      <c r="B1076" s="12" t="n">
        <v>288.14</v>
      </c>
      <c r="C1076" s="0" t="n">
        <f aca="false">WEEKDAY(A1076,2)</f>
        <v>7</v>
      </c>
      <c r="D1076" s="0" t="n">
        <f aca="false">DAY(A1076)</f>
        <v>23</v>
      </c>
      <c r="E1076" s="0" t="n">
        <f aca="false">HOUR(A1076)</f>
        <v>9</v>
      </c>
      <c r="F1076" s="0" t="n">
        <f aca="false">IF(C1076&gt;=6,0,1)</f>
        <v>0</v>
      </c>
      <c r="G1076" s="0" t="n">
        <f aca="false">VLOOKUP(E1076,Sheet1!$A$2:$B$25,2,0)</f>
        <v>1</v>
      </c>
    </row>
    <row r="1077" customFormat="false" ht="15" hidden="false" customHeight="false" outlineLevel="0" collapsed="false">
      <c r="A1077" s="13" t="n">
        <v>44584.4166666667</v>
      </c>
      <c r="B1077" s="12" t="n">
        <v>290.396</v>
      </c>
      <c r="C1077" s="0" t="n">
        <f aca="false">WEEKDAY(A1077,2)</f>
        <v>7</v>
      </c>
      <c r="D1077" s="0" t="n">
        <f aca="false">DAY(A1077)</f>
        <v>23</v>
      </c>
      <c r="E1077" s="0" t="n">
        <f aca="false">HOUR(A1077)</f>
        <v>10</v>
      </c>
      <c r="F1077" s="0" t="n">
        <f aca="false">IF(C1077&gt;=6,0,1)</f>
        <v>0</v>
      </c>
      <c r="G1077" s="0" t="n">
        <f aca="false">VLOOKUP(E1077,Sheet1!$A$2:$B$25,2,0)</f>
        <v>1</v>
      </c>
    </row>
    <row r="1078" customFormat="false" ht="15" hidden="false" customHeight="false" outlineLevel="0" collapsed="false">
      <c r="A1078" s="13" t="n">
        <v>44584.4375</v>
      </c>
      <c r="B1078" s="12" t="n">
        <v>288.476</v>
      </c>
      <c r="C1078" s="0" t="n">
        <f aca="false">WEEKDAY(A1078,2)</f>
        <v>7</v>
      </c>
      <c r="D1078" s="0" t="n">
        <f aca="false">DAY(A1078)</f>
        <v>23</v>
      </c>
      <c r="E1078" s="0" t="n">
        <f aca="false">HOUR(A1078)</f>
        <v>10</v>
      </c>
      <c r="F1078" s="0" t="n">
        <f aca="false">IF(C1078&gt;=6,0,1)</f>
        <v>0</v>
      </c>
      <c r="G1078" s="0" t="n">
        <f aca="false">VLOOKUP(E1078,Sheet1!$A$2:$B$25,2,0)</f>
        <v>1</v>
      </c>
    </row>
    <row r="1079" customFormat="false" ht="15" hidden="false" customHeight="false" outlineLevel="0" collapsed="false">
      <c r="A1079" s="13" t="n">
        <v>44584.4583333333</v>
      </c>
      <c r="B1079" s="12" t="n">
        <v>293.641</v>
      </c>
      <c r="C1079" s="0" t="n">
        <f aca="false">WEEKDAY(A1079,2)</f>
        <v>7</v>
      </c>
      <c r="D1079" s="0" t="n">
        <f aca="false">DAY(A1079)</f>
        <v>23</v>
      </c>
      <c r="E1079" s="0" t="n">
        <f aca="false">HOUR(A1079)</f>
        <v>11</v>
      </c>
      <c r="F1079" s="0" t="n">
        <f aca="false">IF(C1079&gt;=6,0,1)</f>
        <v>0</v>
      </c>
      <c r="G1079" s="0" t="n">
        <f aca="false">VLOOKUP(E1079,Sheet1!$A$2:$B$25,2,0)</f>
        <v>1</v>
      </c>
    </row>
    <row r="1080" customFormat="false" ht="15" hidden="false" customHeight="false" outlineLevel="0" collapsed="false">
      <c r="A1080" s="13" t="n">
        <v>44584.4791666667</v>
      </c>
      <c r="B1080" s="12" t="n">
        <v>297.5</v>
      </c>
      <c r="C1080" s="0" t="n">
        <f aca="false">WEEKDAY(A1080,2)</f>
        <v>7</v>
      </c>
      <c r="D1080" s="0" t="n">
        <f aca="false">DAY(A1080)</f>
        <v>23</v>
      </c>
      <c r="E1080" s="0" t="n">
        <f aca="false">HOUR(A1080)</f>
        <v>11</v>
      </c>
      <c r="F1080" s="0" t="n">
        <f aca="false">IF(C1080&gt;=6,0,1)</f>
        <v>0</v>
      </c>
      <c r="G1080" s="0" t="n">
        <f aca="false">VLOOKUP(E1080,Sheet1!$A$2:$B$25,2,0)</f>
        <v>1</v>
      </c>
    </row>
    <row r="1081" customFormat="false" ht="15" hidden="false" customHeight="false" outlineLevel="0" collapsed="false">
      <c r="A1081" s="13" t="n">
        <v>44584.5</v>
      </c>
      <c r="B1081" s="12" t="n">
        <v>302.636</v>
      </c>
      <c r="C1081" s="0" t="n">
        <f aca="false">WEEKDAY(A1081,2)</f>
        <v>7</v>
      </c>
      <c r="D1081" s="0" t="n">
        <f aca="false">DAY(A1081)</f>
        <v>23</v>
      </c>
      <c r="E1081" s="0" t="n">
        <f aca="false">HOUR(A1081)</f>
        <v>12</v>
      </c>
      <c r="F1081" s="0" t="n">
        <f aca="false">IF(C1081&gt;=6,0,1)</f>
        <v>0</v>
      </c>
      <c r="G1081" s="0" t="n">
        <f aca="false">VLOOKUP(E1081,Sheet1!$A$2:$B$25,2,0)</f>
        <v>1</v>
      </c>
    </row>
    <row r="1082" customFormat="false" ht="15" hidden="false" customHeight="false" outlineLevel="0" collapsed="false">
      <c r="A1082" s="13" t="n">
        <v>44584.5208333333</v>
      </c>
      <c r="B1082" s="12" t="n">
        <v>295.46</v>
      </c>
      <c r="C1082" s="0" t="n">
        <f aca="false">WEEKDAY(A1082,2)</f>
        <v>7</v>
      </c>
      <c r="D1082" s="0" t="n">
        <f aca="false">DAY(A1082)</f>
        <v>23</v>
      </c>
      <c r="E1082" s="0" t="n">
        <f aca="false">HOUR(A1082)</f>
        <v>12</v>
      </c>
      <c r="F1082" s="0" t="n">
        <f aca="false">IF(C1082&gt;=6,0,1)</f>
        <v>0</v>
      </c>
      <c r="G1082" s="0" t="n">
        <f aca="false">VLOOKUP(E1082,Sheet1!$A$2:$B$25,2,0)</f>
        <v>1</v>
      </c>
    </row>
    <row r="1083" customFormat="false" ht="15" hidden="false" customHeight="false" outlineLevel="0" collapsed="false">
      <c r="A1083" s="13" t="n">
        <v>44584.5416666667</v>
      </c>
      <c r="B1083" s="12" t="n">
        <v>296.785</v>
      </c>
      <c r="C1083" s="0" t="n">
        <f aca="false">WEEKDAY(A1083,2)</f>
        <v>7</v>
      </c>
      <c r="D1083" s="0" t="n">
        <f aca="false">DAY(A1083)</f>
        <v>23</v>
      </c>
      <c r="E1083" s="0" t="n">
        <f aca="false">HOUR(A1083)</f>
        <v>13</v>
      </c>
      <c r="F1083" s="0" t="n">
        <f aca="false">IF(C1083&gt;=6,0,1)</f>
        <v>0</v>
      </c>
      <c r="G1083" s="0" t="n">
        <f aca="false">VLOOKUP(E1083,Sheet1!$A$2:$B$25,2,0)</f>
        <v>1</v>
      </c>
    </row>
    <row r="1084" customFormat="false" ht="15" hidden="false" customHeight="false" outlineLevel="0" collapsed="false">
      <c r="A1084" s="13" t="n">
        <v>44584.5625</v>
      </c>
      <c r="B1084" s="12" t="n">
        <v>295.22</v>
      </c>
      <c r="C1084" s="0" t="n">
        <f aca="false">WEEKDAY(A1084,2)</f>
        <v>7</v>
      </c>
      <c r="D1084" s="0" t="n">
        <f aca="false">DAY(A1084)</f>
        <v>23</v>
      </c>
      <c r="E1084" s="0" t="n">
        <f aca="false">HOUR(A1084)</f>
        <v>13</v>
      </c>
      <c r="F1084" s="0" t="n">
        <f aca="false">IF(C1084&gt;=6,0,1)</f>
        <v>0</v>
      </c>
      <c r="G1084" s="0" t="n">
        <f aca="false">VLOOKUP(E1084,Sheet1!$A$2:$B$25,2,0)</f>
        <v>1</v>
      </c>
    </row>
    <row r="1085" customFormat="false" ht="15" hidden="false" customHeight="false" outlineLevel="0" collapsed="false">
      <c r="A1085" s="13" t="n">
        <v>44584.5833333333</v>
      </c>
      <c r="B1085" s="12" t="n">
        <v>302.516</v>
      </c>
      <c r="C1085" s="0" t="n">
        <f aca="false">WEEKDAY(A1085,2)</f>
        <v>7</v>
      </c>
      <c r="D1085" s="0" t="n">
        <f aca="false">DAY(A1085)</f>
        <v>23</v>
      </c>
      <c r="E1085" s="0" t="n">
        <f aca="false">HOUR(A1085)</f>
        <v>14</v>
      </c>
      <c r="F1085" s="0" t="n">
        <f aca="false">IF(C1085&gt;=6,0,1)</f>
        <v>0</v>
      </c>
      <c r="G1085" s="0" t="n">
        <f aca="false">VLOOKUP(E1085,Sheet1!$A$2:$B$25,2,0)</f>
        <v>1</v>
      </c>
    </row>
    <row r="1086" customFormat="false" ht="15" hidden="false" customHeight="false" outlineLevel="0" collapsed="false">
      <c r="A1086" s="13" t="n">
        <v>44584.6041666667</v>
      </c>
      <c r="B1086" s="12" t="n">
        <v>300.14</v>
      </c>
      <c r="C1086" s="0" t="n">
        <f aca="false">WEEKDAY(A1086,2)</f>
        <v>7</v>
      </c>
      <c r="D1086" s="0" t="n">
        <f aca="false">DAY(A1086)</f>
        <v>23</v>
      </c>
      <c r="E1086" s="0" t="n">
        <f aca="false">HOUR(A1086)</f>
        <v>14</v>
      </c>
      <c r="F1086" s="0" t="n">
        <f aca="false">IF(C1086&gt;=6,0,1)</f>
        <v>0</v>
      </c>
      <c r="G1086" s="0" t="n">
        <f aca="false">VLOOKUP(E1086,Sheet1!$A$2:$B$25,2,0)</f>
        <v>1</v>
      </c>
    </row>
    <row r="1087" customFormat="false" ht="15" hidden="false" customHeight="false" outlineLevel="0" collapsed="false">
      <c r="A1087" s="13" t="n">
        <v>44584.625</v>
      </c>
      <c r="B1087" s="12" t="n">
        <v>296.185</v>
      </c>
      <c r="C1087" s="0" t="n">
        <f aca="false">WEEKDAY(A1087,2)</f>
        <v>7</v>
      </c>
      <c r="D1087" s="0" t="n">
        <f aca="false">DAY(A1087)</f>
        <v>23</v>
      </c>
      <c r="E1087" s="0" t="n">
        <f aca="false">HOUR(A1087)</f>
        <v>15</v>
      </c>
      <c r="F1087" s="0" t="n">
        <f aca="false">IF(C1087&gt;=6,0,1)</f>
        <v>0</v>
      </c>
      <c r="G1087" s="0" t="n">
        <f aca="false">VLOOKUP(E1087,Sheet1!$A$2:$B$25,2,0)</f>
        <v>1</v>
      </c>
    </row>
    <row r="1088" customFormat="false" ht="15" hidden="false" customHeight="false" outlineLevel="0" collapsed="false">
      <c r="A1088" s="13" t="n">
        <v>44584.6458333333</v>
      </c>
      <c r="B1088" s="12" t="n">
        <v>296.876</v>
      </c>
      <c r="C1088" s="0" t="n">
        <f aca="false">WEEKDAY(A1088,2)</f>
        <v>7</v>
      </c>
      <c r="D1088" s="0" t="n">
        <f aca="false">DAY(A1088)</f>
        <v>23</v>
      </c>
      <c r="E1088" s="0" t="n">
        <f aca="false">HOUR(A1088)</f>
        <v>15</v>
      </c>
      <c r="F1088" s="0" t="n">
        <f aca="false">IF(C1088&gt;=6,0,1)</f>
        <v>0</v>
      </c>
      <c r="G1088" s="0" t="n">
        <f aca="false">VLOOKUP(E1088,Sheet1!$A$2:$B$25,2,0)</f>
        <v>1</v>
      </c>
    </row>
    <row r="1089" customFormat="false" ht="15" hidden="false" customHeight="false" outlineLevel="0" collapsed="false">
      <c r="A1089" s="13" t="n">
        <v>44584.6666666667</v>
      </c>
      <c r="B1089" s="12" t="n">
        <v>297.356</v>
      </c>
      <c r="C1089" s="0" t="n">
        <f aca="false">WEEKDAY(A1089,2)</f>
        <v>7</v>
      </c>
      <c r="D1089" s="0" t="n">
        <f aca="false">DAY(A1089)</f>
        <v>23</v>
      </c>
      <c r="E1089" s="0" t="n">
        <f aca="false">HOUR(A1089)</f>
        <v>16</v>
      </c>
      <c r="F1089" s="0" t="n">
        <f aca="false">IF(C1089&gt;=6,0,1)</f>
        <v>0</v>
      </c>
      <c r="G1089" s="0" t="n">
        <f aca="false">VLOOKUP(E1089,Sheet1!$A$2:$B$25,2,0)</f>
        <v>0</v>
      </c>
    </row>
    <row r="1090" customFormat="false" ht="15" hidden="false" customHeight="false" outlineLevel="0" collapsed="false">
      <c r="A1090" s="13" t="n">
        <v>44584.6875</v>
      </c>
      <c r="B1090" s="12" t="n">
        <v>295.46</v>
      </c>
      <c r="C1090" s="0" t="n">
        <f aca="false">WEEKDAY(A1090,2)</f>
        <v>7</v>
      </c>
      <c r="D1090" s="0" t="n">
        <f aca="false">DAY(A1090)</f>
        <v>23</v>
      </c>
      <c r="E1090" s="0" t="n">
        <f aca="false">HOUR(A1090)</f>
        <v>16</v>
      </c>
      <c r="F1090" s="0" t="n">
        <f aca="false">IF(C1090&gt;=6,0,1)</f>
        <v>0</v>
      </c>
      <c r="G1090" s="0" t="n">
        <f aca="false">VLOOKUP(E1090,Sheet1!$A$2:$B$25,2,0)</f>
        <v>0</v>
      </c>
    </row>
    <row r="1091" customFormat="false" ht="15" hidden="false" customHeight="false" outlineLevel="0" collapsed="false">
      <c r="A1091" s="13" t="n">
        <v>44584.7083333333</v>
      </c>
      <c r="B1091" s="12" t="n">
        <v>294.961</v>
      </c>
      <c r="C1091" s="0" t="n">
        <f aca="false">WEEKDAY(A1091,2)</f>
        <v>7</v>
      </c>
      <c r="D1091" s="0" t="n">
        <f aca="false">DAY(A1091)</f>
        <v>23</v>
      </c>
      <c r="E1091" s="0" t="n">
        <f aca="false">HOUR(A1091)</f>
        <v>17</v>
      </c>
      <c r="F1091" s="0" t="n">
        <f aca="false">IF(C1091&gt;=6,0,1)</f>
        <v>0</v>
      </c>
      <c r="G1091" s="0" t="n">
        <f aca="false">VLOOKUP(E1091,Sheet1!$A$2:$B$25,2,0)</f>
        <v>0</v>
      </c>
    </row>
    <row r="1092" customFormat="false" ht="15" hidden="false" customHeight="false" outlineLevel="0" collapsed="false">
      <c r="A1092" s="13" t="n">
        <v>44584.7291666667</v>
      </c>
      <c r="B1092" s="12" t="n">
        <v>303.716</v>
      </c>
      <c r="C1092" s="0" t="n">
        <f aca="false">WEEKDAY(A1092,2)</f>
        <v>7</v>
      </c>
      <c r="D1092" s="0" t="n">
        <f aca="false">DAY(A1092)</f>
        <v>23</v>
      </c>
      <c r="E1092" s="0" t="n">
        <f aca="false">HOUR(A1092)</f>
        <v>17</v>
      </c>
      <c r="F1092" s="0" t="n">
        <f aca="false">IF(C1092&gt;=6,0,1)</f>
        <v>0</v>
      </c>
      <c r="G1092" s="0" t="n">
        <f aca="false">VLOOKUP(E1092,Sheet1!$A$2:$B$25,2,0)</f>
        <v>0</v>
      </c>
    </row>
    <row r="1093" customFormat="false" ht="15" hidden="false" customHeight="false" outlineLevel="0" collapsed="false">
      <c r="A1093" s="13" t="n">
        <v>44584.75</v>
      </c>
      <c r="B1093" s="12" t="n">
        <v>305.54</v>
      </c>
      <c r="C1093" s="0" t="n">
        <f aca="false">WEEKDAY(A1093,2)</f>
        <v>7</v>
      </c>
      <c r="D1093" s="0" t="n">
        <f aca="false">DAY(A1093)</f>
        <v>23</v>
      </c>
      <c r="E1093" s="0" t="n">
        <f aca="false">HOUR(A1093)</f>
        <v>18</v>
      </c>
      <c r="F1093" s="0" t="n">
        <f aca="false">IF(C1093&gt;=6,0,1)</f>
        <v>0</v>
      </c>
      <c r="G1093" s="0" t="n">
        <f aca="false">VLOOKUP(E1093,Sheet1!$A$2:$B$25,2,0)</f>
        <v>0</v>
      </c>
    </row>
    <row r="1094" customFormat="false" ht="15" hidden="false" customHeight="false" outlineLevel="0" collapsed="false">
      <c r="A1094" s="13" t="n">
        <v>44584.7708333333</v>
      </c>
      <c r="B1094" s="12" t="n">
        <v>306.74</v>
      </c>
      <c r="C1094" s="0" t="n">
        <f aca="false">WEEKDAY(A1094,2)</f>
        <v>7</v>
      </c>
      <c r="D1094" s="0" t="n">
        <f aca="false">DAY(A1094)</f>
        <v>23</v>
      </c>
      <c r="E1094" s="0" t="n">
        <f aca="false">HOUR(A1094)</f>
        <v>18</v>
      </c>
      <c r="F1094" s="0" t="n">
        <f aca="false">IF(C1094&gt;=6,0,1)</f>
        <v>0</v>
      </c>
      <c r="G1094" s="0" t="n">
        <f aca="false">VLOOKUP(E1094,Sheet1!$A$2:$B$25,2,0)</f>
        <v>0</v>
      </c>
    </row>
    <row r="1095" customFormat="false" ht="15" hidden="false" customHeight="false" outlineLevel="0" collapsed="false">
      <c r="A1095" s="13" t="n">
        <v>44584.7916666667</v>
      </c>
      <c r="B1095" s="12" t="n">
        <v>306.98</v>
      </c>
      <c r="C1095" s="0" t="n">
        <f aca="false">WEEKDAY(A1095,2)</f>
        <v>7</v>
      </c>
      <c r="D1095" s="0" t="n">
        <f aca="false">DAY(A1095)</f>
        <v>23</v>
      </c>
      <c r="E1095" s="0" t="n">
        <f aca="false">HOUR(A1095)</f>
        <v>19</v>
      </c>
      <c r="F1095" s="0" t="n">
        <f aca="false">IF(C1095&gt;=6,0,1)</f>
        <v>0</v>
      </c>
      <c r="G1095" s="0" t="n">
        <f aca="false">VLOOKUP(E1095,Sheet1!$A$2:$B$25,2,0)</f>
        <v>0</v>
      </c>
    </row>
    <row r="1096" customFormat="false" ht="15" hidden="false" customHeight="false" outlineLevel="0" collapsed="false">
      <c r="A1096" s="13" t="n">
        <v>44584.8125</v>
      </c>
      <c r="B1096" s="12" t="n">
        <v>305.396</v>
      </c>
      <c r="C1096" s="0" t="n">
        <f aca="false">WEEKDAY(A1096,2)</f>
        <v>7</v>
      </c>
      <c r="D1096" s="0" t="n">
        <f aca="false">DAY(A1096)</f>
        <v>23</v>
      </c>
      <c r="E1096" s="0" t="n">
        <f aca="false">HOUR(A1096)</f>
        <v>19</v>
      </c>
      <c r="F1096" s="0" t="n">
        <f aca="false">IF(C1096&gt;=6,0,1)</f>
        <v>0</v>
      </c>
      <c r="G1096" s="0" t="n">
        <f aca="false">VLOOKUP(E1096,Sheet1!$A$2:$B$25,2,0)</f>
        <v>0</v>
      </c>
    </row>
    <row r="1097" customFormat="false" ht="15" hidden="false" customHeight="false" outlineLevel="0" collapsed="false">
      <c r="A1097" s="13" t="n">
        <v>44584.8333333333</v>
      </c>
      <c r="B1097" s="12" t="n">
        <v>309.481</v>
      </c>
      <c r="C1097" s="0" t="n">
        <f aca="false">WEEKDAY(A1097,2)</f>
        <v>7</v>
      </c>
      <c r="D1097" s="0" t="n">
        <f aca="false">DAY(A1097)</f>
        <v>23</v>
      </c>
      <c r="E1097" s="0" t="n">
        <f aca="false">HOUR(A1097)</f>
        <v>20</v>
      </c>
      <c r="F1097" s="0" t="n">
        <f aca="false">IF(C1097&gt;=6,0,1)</f>
        <v>0</v>
      </c>
      <c r="G1097" s="0" t="n">
        <f aca="false">VLOOKUP(E1097,Sheet1!$A$2:$B$25,2,0)</f>
        <v>0</v>
      </c>
    </row>
    <row r="1098" customFormat="false" ht="15" hidden="false" customHeight="false" outlineLevel="0" collapsed="false">
      <c r="A1098" s="13" t="n">
        <v>44584.8541666667</v>
      </c>
      <c r="B1098" s="12" t="n">
        <v>304.436</v>
      </c>
      <c r="C1098" s="0" t="n">
        <f aca="false">WEEKDAY(A1098,2)</f>
        <v>7</v>
      </c>
      <c r="D1098" s="0" t="n">
        <f aca="false">DAY(A1098)</f>
        <v>23</v>
      </c>
      <c r="E1098" s="0" t="n">
        <f aca="false">HOUR(A1098)</f>
        <v>20</v>
      </c>
      <c r="F1098" s="0" t="n">
        <f aca="false">IF(C1098&gt;=6,0,1)</f>
        <v>0</v>
      </c>
      <c r="G1098" s="0" t="n">
        <f aca="false">VLOOKUP(E1098,Sheet1!$A$2:$B$25,2,0)</f>
        <v>0</v>
      </c>
    </row>
    <row r="1099" customFormat="false" ht="15" hidden="false" customHeight="false" outlineLevel="0" collapsed="false">
      <c r="A1099" s="13" t="n">
        <v>44584.875</v>
      </c>
      <c r="B1099" s="12" t="n">
        <v>306.38</v>
      </c>
      <c r="C1099" s="0" t="n">
        <f aca="false">WEEKDAY(A1099,2)</f>
        <v>7</v>
      </c>
      <c r="D1099" s="0" t="n">
        <f aca="false">DAY(A1099)</f>
        <v>23</v>
      </c>
      <c r="E1099" s="0" t="n">
        <f aca="false">HOUR(A1099)</f>
        <v>21</v>
      </c>
      <c r="F1099" s="0" t="n">
        <f aca="false">IF(C1099&gt;=6,0,1)</f>
        <v>0</v>
      </c>
      <c r="G1099" s="0" t="n">
        <f aca="false">VLOOKUP(E1099,Sheet1!$A$2:$B$25,2,0)</f>
        <v>0</v>
      </c>
    </row>
    <row r="1100" customFormat="false" ht="15" hidden="false" customHeight="false" outlineLevel="0" collapsed="false">
      <c r="A1100" s="13" t="n">
        <v>44584.8958333333</v>
      </c>
      <c r="B1100" s="12" t="n">
        <v>305.396</v>
      </c>
      <c r="C1100" s="0" t="n">
        <f aca="false">WEEKDAY(A1100,2)</f>
        <v>7</v>
      </c>
      <c r="D1100" s="0" t="n">
        <f aca="false">DAY(A1100)</f>
        <v>23</v>
      </c>
      <c r="E1100" s="0" t="n">
        <f aca="false">HOUR(A1100)</f>
        <v>21</v>
      </c>
      <c r="F1100" s="0" t="n">
        <f aca="false">IF(C1100&gt;=6,0,1)</f>
        <v>0</v>
      </c>
      <c r="G1100" s="0" t="n">
        <f aca="false">VLOOKUP(E1100,Sheet1!$A$2:$B$25,2,0)</f>
        <v>0</v>
      </c>
    </row>
    <row r="1101" customFormat="false" ht="15" hidden="false" customHeight="false" outlineLevel="0" collapsed="false">
      <c r="A1101" s="13" t="n">
        <v>44584.9166666667</v>
      </c>
      <c r="B1101" s="12" t="n">
        <v>306.62</v>
      </c>
      <c r="C1101" s="0" t="n">
        <f aca="false">WEEKDAY(A1101,2)</f>
        <v>7</v>
      </c>
      <c r="D1101" s="0" t="n">
        <f aca="false">DAY(A1101)</f>
        <v>23</v>
      </c>
      <c r="E1101" s="0" t="n">
        <f aca="false">HOUR(A1101)</f>
        <v>22</v>
      </c>
      <c r="F1101" s="0" t="n">
        <f aca="false">IF(C1101&gt;=6,0,1)</f>
        <v>0</v>
      </c>
      <c r="G1101" s="0" t="n">
        <f aca="false">VLOOKUP(E1101,Sheet1!$A$2:$B$25,2,0)</f>
        <v>0</v>
      </c>
    </row>
    <row r="1102" customFormat="false" ht="15" hidden="false" customHeight="false" outlineLevel="0" collapsed="false">
      <c r="A1102" s="13" t="n">
        <v>44584.9375</v>
      </c>
      <c r="B1102" s="12" t="n">
        <v>308.036</v>
      </c>
      <c r="C1102" s="0" t="n">
        <f aca="false">WEEKDAY(A1102,2)</f>
        <v>7</v>
      </c>
      <c r="D1102" s="0" t="n">
        <f aca="false">DAY(A1102)</f>
        <v>23</v>
      </c>
      <c r="E1102" s="0" t="n">
        <f aca="false">HOUR(A1102)</f>
        <v>22</v>
      </c>
      <c r="F1102" s="0" t="n">
        <f aca="false">IF(C1102&gt;=6,0,1)</f>
        <v>0</v>
      </c>
      <c r="G1102" s="0" t="n">
        <f aca="false">VLOOKUP(E1102,Sheet1!$A$2:$B$25,2,0)</f>
        <v>0</v>
      </c>
    </row>
    <row r="1103" customFormat="false" ht="15" hidden="false" customHeight="false" outlineLevel="0" collapsed="false">
      <c r="A1103" s="13" t="n">
        <v>44584.9583333333</v>
      </c>
      <c r="B1103" s="12" t="n">
        <v>304.825</v>
      </c>
      <c r="C1103" s="0" t="n">
        <f aca="false">WEEKDAY(A1103,2)</f>
        <v>7</v>
      </c>
      <c r="D1103" s="0" t="n">
        <f aca="false">DAY(A1103)</f>
        <v>23</v>
      </c>
      <c r="E1103" s="0" t="n">
        <f aca="false">HOUR(A1103)</f>
        <v>23</v>
      </c>
      <c r="F1103" s="0" t="n">
        <f aca="false">IF(C1103&gt;=6,0,1)</f>
        <v>0</v>
      </c>
      <c r="G1103" s="0" t="n">
        <f aca="false">VLOOKUP(E1103,Sheet1!$A$2:$B$25,2,0)</f>
        <v>0</v>
      </c>
    </row>
    <row r="1104" customFormat="false" ht="15" hidden="false" customHeight="false" outlineLevel="0" collapsed="false">
      <c r="A1104" s="13" t="n">
        <v>44584.9791666667</v>
      </c>
      <c r="B1104" s="12" t="n">
        <v>305.396</v>
      </c>
      <c r="C1104" s="0" t="n">
        <f aca="false">WEEKDAY(A1104,2)</f>
        <v>7</v>
      </c>
      <c r="D1104" s="0" t="n">
        <f aca="false">DAY(A1104)</f>
        <v>23</v>
      </c>
      <c r="E1104" s="0" t="n">
        <f aca="false">HOUR(A1104)</f>
        <v>23</v>
      </c>
      <c r="F1104" s="0" t="n">
        <f aca="false">IF(C1104&gt;=6,0,1)</f>
        <v>0</v>
      </c>
      <c r="G1104" s="0" t="n">
        <f aca="false">VLOOKUP(E1104,Sheet1!$A$2:$B$25,2,0)</f>
        <v>0</v>
      </c>
    </row>
    <row r="1105" customFormat="false" ht="15" hidden="false" customHeight="false" outlineLevel="0" collapsed="false">
      <c r="A1105" s="13" t="n">
        <v>44585</v>
      </c>
      <c r="B1105" s="12" t="n">
        <v>309.956</v>
      </c>
      <c r="C1105" s="0" t="n">
        <f aca="false">WEEKDAY(A1105,2)</f>
        <v>1</v>
      </c>
      <c r="D1105" s="0" t="n">
        <f aca="false">DAY(A1105)</f>
        <v>24</v>
      </c>
      <c r="E1105" s="0" t="n">
        <f aca="false">HOUR(A1105)</f>
        <v>0</v>
      </c>
      <c r="F1105" s="0" t="n">
        <f aca="false">IF(C1105&gt;=6,0,1)</f>
        <v>1</v>
      </c>
      <c r="G1105" s="0" t="n">
        <f aca="false">VLOOKUP(E1105,Sheet1!$A$2:$B$25,2,0)</f>
        <v>0</v>
      </c>
    </row>
    <row r="1106" customFormat="false" ht="15" hidden="false" customHeight="false" outlineLevel="0" collapsed="false">
      <c r="A1106" s="13" t="n">
        <v>44585.0208333333</v>
      </c>
      <c r="B1106" s="12" t="n">
        <v>309.505</v>
      </c>
      <c r="C1106" s="0" t="n">
        <f aca="false">WEEKDAY(A1106,2)</f>
        <v>1</v>
      </c>
      <c r="D1106" s="0" t="n">
        <f aca="false">DAY(A1106)</f>
        <v>24</v>
      </c>
      <c r="E1106" s="0" t="n">
        <f aca="false">HOUR(A1106)</f>
        <v>0</v>
      </c>
      <c r="F1106" s="0" t="n">
        <f aca="false">IF(C1106&gt;=6,0,1)</f>
        <v>1</v>
      </c>
      <c r="G1106" s="0" t="n">
        <f aca="false">VLOOKUP(E1106,Sheet1!$A$2:$B$25,2,0)</f>
        <v>0</v>
      </c>
    </row>
    <row r="1107" customFormat="false" ht="15" hidden="false" customHeight="false" outlineLevel="0" collapsed="false">
      <c r="A1107" s="13" t="n">
        <v>44585.0416666667</v>
      </c>
      <c r="B1107" s="12" t="n">
        <v>303.596</v>
      </c>
      <c r="C1107" s="0" t="n">
        <f aca="false">WEEKDAY(A1107,2)</f>
        <v>1</v>
      </c>
      <c r="D1107" s="0" t="n">
        <f aca="false">DAY(A1107)</f>
        <v>24</v>
      </c>
      <c r="E1107" s="0" t="n">
        <f aca="false">HOUR(A1107)</f>
        <v>1</v>
      </c>
      <c r="F1107" s="0" t="n">
        <f aca="false">IF(C1107&gt;=6,0,1)</f>
        <v>1</v>
      </c>
      <c r="G1107" s="0" t="n">
        <f aca="false">VLOOKUP(E1107,Sheet1!$A$2:$B$25,2,0)</f>
        <v>0</v>
      </c>
    </row>
    <row r="1108" customFormat="false" ht="15" hidden="false" customHeight="false" outlineLevel="0" collapsed="false">
      <c r="A1108" s="13" t="n">
        <v>44585.0625</v>
      </c>
      <c r="B1108" s="12" t="n">
        <v>306.625</v>
      </c>
      <c r="C1108" s="0" t="n">
        <f aca="false">WEEKDAY(A1108,2)</f>
        <v>1</v>
      </c>
      <c r="D1108" s="0" t="n">
        <f aca="false">DAY(A1108)</f>
        <v>24</v>
      </c>
      <c r="E1108" s="0" t="n">
        <f aca="false">HOUR(A1108)</f>
        <v>1</v>
      </c>
      <c r="F1108" s="0" t="n">
        <f aca="false">IF(C1108&gt;=6,0,1)</f>
        <v>1</v>
      </c>
      <c r="G1108" s="0" t="n">
        <f aca="false">VLOOKUP(E1108,Sheet1!$A$2:$B$25,2,0)</f>
        <v>0</v>
      </c>
    </row>
    <row r="1109" customFormat="false" ht="15" hidden="false" customHeight="false" outlineLevel="0" collapsed="false">
      <c r="A1109" s="13" t="n">
        <v>44585.0833333333</v>
      </c>
      <c r="B1109" s="12" t="n">
        <v>307.196</v>
      </c>
      <c r="C1109" s="0" t="n">
        <f aca="false">WEEKDAY(A1109,2)</f>
        <v>1</v>
      </c>
      <c r="D1109" s="0" t="n">
        <f aca="false">DAY(A1109)</f>
        <v>24</v>
      </c>
      <c r="E1109" s="0" t="n">
        <f aca="false">HOUR(A1109)</f>
        <v>2</v>
      </c>
      <c r="F1109" s="0" t="n">
        <f aca="false">IF(C1109&gt;=6,0,1)</f>
        <v>1</v>
      </c>
      <c r="G1109" s="0" t="n">
        <f aca="false">VLOOKUP(E1109,Sheet1!$A$2:$B$25,2,0)</f>
        <v>0</v>
      </c>
    </row>
    <row r="1110" customFormat="false" ht="15" hidden="false" customHeight="false" outlineLevel="0" collapsed="false">
      <c r="A1110" s="13" t="n">
        <v>44585.1041666667</v>
      </c>
      <c r="B1110" s="12" t="n">
        <v>308.66</v>
      </c>
      <c r="C1110" s="0" t="n">
        <f aca="false">WEEKDAY(A1110,2)</f>
        <v>1</v>
      </c>
      <c r="D1110" s="0" t="n">
        <f aca="false">DAY(A1110)</f>
        <v>24</v>
      </c>
      <c r="E1110" s="0" t="n">
        <f aca="false">HOUR(A1110)</f>
        <v>2</v>
      </c>
      <c r="F1110" s="0" t="n">
        <f aca="false">IF(C1110&gt;=6,0,1)</f>
        <v>1</v>
      </c>
      <c r="G1110" s="0" t="n">
        <f aca="false">VLOOKUP(E1110,Sheet1!$A$2:$B$25,2,0)</f>
        <v>0</v>
      </c>
    </row>
    <row r="1111" customFormat="false" ht="15" hidden="false" customHeight="false" outlineLevel="0" collapsed="false">
      <c r="A1111" s="13" t="n">
        <v>44585.125</v>
      </c>
      <c r="B1111" s="12" t="n">
        <v>303.961</v>
      </c>
      <c r="C1111" s="0" t="n">
        <f aca="false">WEEKDAY(A1111,2)</f>
        <v>1</v>
      </c>
      <c r="D1111" s="0" t="n">
        <f aca="false">DAY(A1111)</f>
        <v>24</v>
      </c>
      <c r="E1111" s="0" t="n">
        <f aca="false">HOUR(A1111)</f>
        <v>3</v>
      </c>
      <c r="F1111" s="0" t="n">
        <f aca="false">IF(C1111&gt;=6,0,1)</f>
        <v>1</v>
      </c>
      <c r="G1111" s="0" t="n">
        <f aca="false">VLOOKUP(E1111,Sheet1!$A$2:$B$25,2,0)</f>
        <v>0</v>
      </c>
    </row>
    <row r="1112" customFormat="false" ht="15" hidden="false" customHeight="false" outlineLevel="0" collapsed="false">
      <c r="A1112" s="13" t="n">
        <v>44585.1458333333</v>
      </c>
      <c r="B1112" s="12" t="n">
        <v>307.94</v>
      </c>
      <c r="C1112" s="0" t="n">
        <f aca="false">WEEKDAY(A1112,2)</f>
        <v>1</v>
      </c>
      <c r="D1112" s="0" t="n">
        <f aca="false">DAY(A1112)</f>
        <v>24</v>
      </c>
      <c r="E1112" s="0" t="n">
        <f aca="false">HOUR(A1112)</f>
        <v>3</v>
      </c>
      <c r="F1112" s="0" t="n">
        <f aca="false">IF(C1112&gt;=6,0,1)</f>
        <v>1</v>
      </c>
      <c r="G1112" s="0" t="n">
        <f aca="false">VLOOKUP(E1112,Sheet1!$A$2:$B$25,2,0)</f>
        <v>0</v>
      </c>
    </row>
    <row r="1113" customFormat="false" ht="15" hidden="false" customHeight="false" outlineLevel="0" collapsed="false">
      <c r="A1113" s="13" t="n">
        <v>44585.1666666667</v>
      </c>
      <c r="B1113" s="12" t="n">
        <v>468.241</v>
      </c>
      <c r="C1113" s="0" t="n">
        <f aca="false">WEEKDAY(A1113,2)</f>
        <v>1</v>
      </c>
      <c r="D1113" s="0" t="n">
        <f aca="false">DAY(A1113)</f>
        <v>24</v>
      </c>
      <c r="E1113" s="0" t="n">
        <f aca="false">HOUR(A1113)</f>
        <v>4</v>
      </c>
      <c r="F1113" s="0" t="n">
        <f aca="false">IF(C1113&gt;=6,0,1)</f>
        <v>1</v>
      </c>
      <c r="G1113" s="0" t="n">
        <f aca="false">VLOOKUP(E1113,Sheet1!$A$2:$B$25,2,0)</f>
        <v>1</v>
      </c>
    </row>
    <row r="1114" customFormat="false" ht="15" hidden="false" customHeight="false" outlineLevel="0" collapsed="false">
      <c r="A1114" s="13" t="n">
        <v>44585.1875</v>
      </c>
      <c r="B1114" s="12" t="n">
        <v>875.396</v>
      </c>
      <c r="C1114" s="0" t="n">
        <f aca="false">WEEKDAY(A1114,2)</f>
        <v>1</v>
      </c>
      <c r="D1114" s="0" t="n">
        <f aca="false">DAY(A1114)</f>
        <v>24</v>
      </c>
      <c r="E1114" s="0" t="n">
        <f aca="false">HOUR(A1114)</f>
        <v>4</v>
      </c>
      <c r="F1114" s="0" t="n">
        <f aca="false">IF(C1114&gt;=6,0,1)</f>
        <v>1</v>
      </c>
      <c r="G1114" s="0" t="n">
        <f aca="false">VLOOKUP(E1114,Sheet1!$A$2:$B$25,2,0)</f>
        <v>1</v>
      </c>
    </row>
    <row r="1115" customFormat="false" ht="15" hidden="false" customHeight="false" outlineLevel="0" collapsed="false">
      <c r="A1115" s="13" t="n">
        <v>44585.2083333333</v>
      </c>
      <c r="B1115" s="12" t="n">
        <v>841.316</v>
      </c>
      <c r="C1115" s="0" t="n">
        <f aca="false">WEEKDAY(A1115,2)</f>
        <v>1</v>
      </c>
      <c r="D1115" s="0" t="n">
        <f aca="false">DAY(A1115)</f>
        <v>24</v>
      </c>
      <c r="E1115" s="0" t="n">
        <f aca="false">HOUR(A1115)</f>
        <v>5</v>
      </c>
      <c r="F1115" s="0" t="n">
        <f aca="false">IF(C1115&gt;=6,0,1)</f>
        <v>1</v>
      </c>
      <c r="G1115" s="0" t="n">
        <f aca="false">VLOOKUP(E1115,Sheet1!$A$2:$B$25,2,0)</f>
        <v>1</v>
      </c>
    </row>
    <row r="1116" customFormat="false" ht="15" hidden="false" customHeight="false" outlineLevel="0" collapsed="false">
      <c r="A1116" s="13" t="n">
        <v>44585.2291666667</v>
      </c>
      <c r="B1116" s="12" t="n">
        <v>737.06</v>
      </c>
      <c r="C1116" s="0" t="n">
        <f aca="false">WEEKDAY(A1116,2)</f>
        <v>1</v>
      </c>
      <c r="D1116" s="0" t="n">
        <f aca="false">DAY(A1116)</f>
        <v>24</v>
      </c>
      <c r="E1116" s="0" t="n">
        <f aca="false">HOUR(A1116)</f>
        <v>5</v>
      </c>
      <c r="F1116" s="0" t="n">
        <f aca="false">IF(C1116&gt;=6,0,1)</f>
        <v>1</v>
      </c>
      <c r="G1116" s="0" t="n">
        <f aca="false">VLOOKUP(E1116,Sheet1!$A$2:$B$25,2,0)</f>
        <v>1</v>
      </c>
    </row>
    <row r="1117" customFormat="false" ht="15" hidden="false" customHeight="false" outlineLevel="0" collapsed="false">
      <c r="A1117" s="13" t="n">
        <v>44585.25</v>
      </c>
      <c r="B1117" s="12" t="n">
        <v>776.3</v>
      </c>
      <c r="C1117" s="0" t="n">
        <f aca="false">WEEKDAY(A1117,2)</f>
        <v>1</v>
      </c>
      <c r="D1117" s="0" t="n">
        <f aca="false">DAY(A1117)</f>
        <v>24</v>
      </c>
      <c r="E1117" s="0" t="n">
        <f aca="false">HOUR(A1117)</f>
        <v>6</v>
      </c>
      <c r="F1117" s="0" t="n">
        <f aca="false">IF(C1117&gt;=6,0,1)</f>
        <v>1</v>
      </c>
      <c r="G1117" s="0" t="n">
        <f aca="false">VLOOKUP(E1117,Sheet1!$A$2:$B$25,2,0)</f>
        <v>1</v>
      </c>
    </row>
    <row r="1118" customFormat="false" ht="15" hidden="false" customHeight="false" outlineLevel="0" collapsed="false">
      <c r="A1118" s="13" t="n">
        <v>44585.2708333333</v>
      </c>
      <c r="B1118" s="12" t="n">
        <v>927.745</v>
      </c>
      <c r="C1118" s="0" t="n">
        <f aca="false">WEEKDAY(A1118,2)</f>
        <v>1</v>
      </c>
      <c r="D1118" s="0" t="n">
        <f aca="false">DAY(A1118)</f>
        <v>24</v>
      </c>
      <c r="E1118" s="0" t="n">
        <f aca="false">HOUR(A1118)</f>
        <v>6</v>
      </c>
      <c r="F1118" s="0" t="n">
        <f aca="false">IF(C1118&gt;=6,0,1)</f>
        <v>1</v>
      </c>
      <c r="G1118" s="0" t="n">
        <f aca="false">VLOOKUP(E1118,Sheet1!$A$2:$B$25,2,0)</f>
        <v>1</v>
      </c>
    </row>
    <row r="1119" customFormat="false" ht="15" hidden="false" customHeight="false" outlineLevel="0" collapsed="false">
      <c r="A1119" s="13" t="n">
        <v>44585.2916666667</v>
      </c>
      <c r="B1119" s="12" t="n">
        <v>992.3</v>
      </c>
      <c r="C1119" s="0" t="n">
        <f aca="false">WEEKDAY(A1119,2)</f>
        <v>1</v>
      </c>
      <c r="D1119" s="0" t="n">
        <f aca="false">DAY(A1119)</f>
        <v>24</v>
      </c>
      <c r="E1119" s="0" t="n">
        <f aca="false">HOUR(A1119)</f>
        <v>7</v>
      </c>
      <c r="F1119" s="0" t="n">
        <f aca="false">IF(C1119&gt;=6,0,1)</f>
        <v>1</v>
      </c>
      <c r="G1119" s="0" t="n">
        <f aca="false">VLOOKUP(E1119,Sheet1!$A$2:$B$25,2,0)</f>
        <v>1</v>
      </c>
    </row>
    <row r="1120" customFormat="false" ht="15" hidden="false" customHeight="false" outlineLevel="0" collapsed="false">
      <c r="A1120" s="13" t="n">
        <v>44585.3125</v>
      </c>
      <c r="B1120" s="12" t="n">
        <v>1005.38</v>
      </c>
      <c r="C1120" s="0" t="n">
        <f aca="false">WEEKDAY(A1120,2)</f>
        <v>1</v>
      </c>
      <c r="D1120" s="0" t="n">
        <f aca="false">DAY(A1120)</f>
        <v>24</v>
      </c>
      <c r="E1120" s="0" t="n">
        <f aca="false">HOUR(A1120)</f>
        <v>7</v>
      </c>
      <c r="F1120" s="0" t="n">
        <f aca="false">IF(C1120&gt;=6,0,1)</f>
        <v>1</v>
      </c>
      <c r="G1120" s="0" t="n">
        <f aca="false">VLOOKUP(E1120,Sheet1!$A$2:$B$25,2,0)</f>
        <v>1</v>
      </c>
    </row>
    <row r="1121" customFormat="false" ht="15" hidden="false" customHeight="false" outlineLevel="0" collapsed="false">
      <c r="A1121" s="13" t="n">
        <v>44585.3333333333</v>
      </c>
      <c r="B1121" s="12" t="n">
        <v>1000.316</v>
      </c>
      <c r="C1121" s="0" t="n">
        <f aca="false">WEEKDAY(A1121,2)</f>
        <v>1</v>
      </c>
      <c r="D1121" s="0" t="n">
        <f aca="false">DAY(A1121)</f>
        <v>24</v>
      </c>
      <c r="E1121" s="0" t="n">
        <f aca="false">HOUR(A1121)</f>
        <v>8</v>
      </c>
      <c r="F1121" s="0" t="n">
        <f aca="false">IF(C1121&gt;=6,0,1)</f>
        <v>1</v>
      </c>
      <c r="G1121" s="0" t="n">
        <f aca="false">VLOOKUP(E1121,Sheet1!$A$2:$B$25,2,0)</f>
        <v>1</v>
      </c>
    </row>
    <row r="1122" customFormat="false" ht="15" hidden="false" customHeight="false" outlineLevel="0" collapsed="false">
      <c r="A1122" s="13" t="n">
        <v>44585.3541666667</v>
      </c>
      <c r="B1122" s="12" t="n">
        <v>775.7</v>
      </c>
      <c r="C1122" s="0" t="n">
        <f aca="false">WEEKDAY(A1122,2)</f>
        <v>1</v>
      </c>
      <c r="D1122" s="0" t="n">
        <f aca="false">DAY(A1122)</f>
        <v>24</v>
      </c>
      <c r="E1122" s="0" t="n">
        <f aca="false">HOUR(A1122)</f>
        <v>8</v>
      </c>
      <c r="F1122" s="0" t="n">
        <f aca="false">IF(C1122&gt;=6,0,1)</f>
        <v>1</v>
      </c>
      <c r="G1122" s="0" t="n">
        <f aca="false">VLOOKUP(E1122,Sheet1!$A$2:$B$25,2,0)</f>
        <v>1</v>
      </c>
    </row>
    <row r="1123" customFormat="false" ht="15" hidden="false" customHeight="false" outlineLevel="0" collapsed="false">
      <c r="A1123" s="13" t="n">
        <v>44585.375</v>
      </c>
      <c r="B1123" s="12" t="n">
        <v>803.876</v>
      </c>
      <c r="C1123" s="0" t="n">
        <f aca="false">WEEKDAY(A1123,2)</f>
        <v>1</v>
      </c>
      <c r="D1123" s="0" t="n">
        <f aca="false">DAY(A1123)</f>
        <v>24</v>
      </c>
      <c r="E1123" s="0" t="n">
        <f aca="false">HOUR(A1123)</f>
        <v>9</v>
      </c>
      <c r="F1123" s="0" t="n">
        <f aca="false">IF(C1123&gt;=6,0,1)</f>
        <v>1</v>
      </c>
      <c r="G1123" s="0" t="n">
        <f aca="false">VLOOKUP(E1123,Sheet1!$A$2:$B$25,2,0)</f>
        <v>1</v>
      </c>
    </row>
    <row r="1124" customFormat="false" ht="15" hidden="false" customHeight="false" outlineLevel="0" collapsed="false">
      <c r="A1124" s="13" t="n">
        <v>44585.3958333333</v>
      </c>
      <c r="B1124" s="12" t="n">
        <v>760.681</v>
      </c>
      <c r="C1124" s="0" t="n">
        <f aca="false">WEEKDAY(A1124,2)</f>
        <v>1</v>
      </c>
      <c r="D1124" s="0" t="n">
        <f aca="false">DAY(A1124)</f>
        <v>24</v>
      </c>
      <c r="E1124" s="0" t="n">
        <f aca="false">HOUR(A1124)</f>
        <v>9</v>
      </c>
      <c r="F1124" s="0" t="n">
        <f aca="false">IF(C1124&gt;=6,0,1)</f>
        <v>1</v>
      </c>
      <c r="G1124" s="0" t="n">
        <f aca="false">VLOOKUP(E1124,Sheet1!$A$2:$B$25,2,0)</f>
        <v>1</v>
      </c>
    </row>
    <row r="1125" customFormat="false" ht="15" hidden="false" customHeight="false" outlineLevel="0" collapsed="false">
      <c r="A1125" s="13" t="n">
        <v>44585.4166666667</v>
      </c>
      <c r="B1125" s="12" t="n">
        <v>799.196</v>
      </c>
      <c r="C1125" s="0" t="n">
        <f aca="false">WEEKDAY(A1125,2)</f>
        <v>1</v>
      </c>
      <c r="D1125" s="0" t="n">
        <f aca="false">DAY(A1125)</f>
        <v>24</v>
      </c>
      <c r="E1125" s="0" t="n">
        <f aca="false">HOUR(A1125)</f>
        <v>10</v>
      </c>
      <c r="F1125" s="0" t="n">
        <f aca="false">IF(C1125&gt;=6,0,1)</f>
        <v>1</v>
      </c>
      <c r="G1125" s="0" t="n">
        <f aca="false">VLOOKUP(E1125,Sheet1!$A$2:$B$25,2,0)</f>
        <v>1</v>
      </c>
    </row>
    <row r="1126" customFormat="false" ht="15" hidden="false" customHeight="false" outlineLevel="0" collapsed="false">
      <c r="A1126" s="13" t="n">
        <v>44585.4375</v>
      </c>
      <c r="B1126" s="12" t="n">
        <v>764.06</v>
      </c>
      <c r="C1126" s="0" t="n">
        <f aca="false">WEEKDAY(A1126,2)</f>
        <v>1</v>
      </c>
      <c r="D1126" s="0" t="n">
        <f aca="false">DAY(A1126)</f>
        <v>24</v>
      </c>
      <c r="E1126" s="0" t="n">
        <f aca="false">HOUR(A1126)</f>
        <v>10</v>
      </c>
      <c r="F1126" s="0" t="n">
        <f aca="false">IF(C1126&gt;=6,0,1)</f>
        <v>1</v>
      </c>
      <c r="G1126" s="0" t="n">
        <f aca="false">VLOOKUP(E1126,Sheet1!$A$2:$B$25,2,0)</f>
        <v>1</v>
      </c>
    </row>
    <row r="1127" customFormat="false" ht="15" hidden="false" customHeight="false" outlineLevel="0" collapsed="false">
      <c r="A1127" s="13" t="n">
        <v>44585.4583333333</v>
      </c>
      <c r="B1127" s="12" t="n">
        <v>827.636</v>
      </c>
      <c r="C1127" s="0" t="n">
        <f aca="false">WEEKDAY(A1127,2)</f>
        <v>1</v>
      </c>
      <c r="D1127" s="0" t="n">
        <f aca="false">DAY(A1127)</f>
        <v>24</v>
      </c>
      <c r="E1127" s="0" t="n">
        <f aca="false">HOUR(A1127)</f>
        <v>11</v>
      </c>
      <c r="F1127" s="0" t="n">
        <f aca="false">IF(C1127&gt;=6,0,1)</f>
        <v>1</v>
      </c>
      <c r="G1127" s="0" t="n">
        <f aca="false">VLOOKUP(E1127,Sheet1!$A$2:$B$25,2,0)</f>
        <v>1</v>
      </c>
    </row>
    <row r="1128" customFormat="false" ht="15" hidden="false" customHeight="false" outlineLevel="0" collapsed="false">
      <c r="A1128" s="13" t="n">
        <v>44585.4791666667</v>
      </c>
      <c r="B1128" s="12" t="n">
        <v>803.401</v>
      </c>
      <c r="C1128" s="0" t="n">
        <f aca="false">WEEKDAY(A1128,2)</f>
        <v>1</v>
      </c>
      <c r="D1128" s="0" t="n">
        <f aca="false">DAY(A1128)</f>
        <v>24</v>
      </c>
      <c r="E1128" s="0" t="n">
        <f aca="false">HOUR(A1128)</f>
        <v>11</v>
      </c>
      <c r="F1128" s="0" t="n">
        <f aca="false">IF(C1128&gt;=6,0,1)</f>
        <v>1</v>
      </c>
      <c r="G1128" s="0" t="n">
        <f aca="false">VLOOKUP(E1128,Sheet1!$A$2:$B$25,2,0)</f>
        <v>1</v>
      </c>
    </row>
    <row r="1129" customFormat="false" ht="15" hidden="false" customHeight="false" outlineLevel="0" collapsed="false">
      <c r="A1129" s="13" t="n">
        <v>44585.5</v>
      </c>
      <c r="B1129" s="12" t="n">
        <v>732.02</v>
      </c>
      <c r="C1129" s="0" t="n">
        <f aca="false">WEEKDAY(A1129,2)</f>
        <v>1</v>
      </c>
      <c r="D1129" s="0" t="n">
        <f aca="false">DAY(A1129)</f>
        <v>24</v>
      </c>
      <c r="E1129" s="0" t="n">
        <f aca="false">HOUR(A1129)</f>
        <v>12</v>
      </c>
      <c r="F1129" s="0" t="n">
        <f aca="false">IF(C1129&gt;=6,0,1)</f>
        <v>1</v>
      </c>
      <c r="G1129" s="0" t="n">
        <f aca="false">VLOOKUP(E1129,Sheet1!$A$2:$B$25,2,0)</f>
        <v>1</v>
      </c>
    </row>
    <row r="1130" customFormat="false" ht="15" hidden="false" customHeight="false" outlineLevel="0" collapsed="false">
      <c r="A1130" s="13" t="n">
        <v>44585.5208333333</v>
      </c>
      <c r="B1130" s="12" t="n">
        <v>711.956</v>
      </c>
      <c r="C1130" s="0" t="n">
        <f aca="false">WEEKDAY(A1130,2)</f>
        <v>1</v>
      </c>
      <c r="D1130" s="0" t="n">
        <f aca="false">DAY(A1130)</f>
        <v>24</v>
      </c>
      <c r="E1130" s="0" t="n">
        <f aca="false">HOUR(A1130)</f>
        <v>12</v>
      </c>
      <c r="F1130" s="0" t="n">
        <f aca="false">IF(C1130&gt;=6,0,1)</f>
        <v>1</v>
      </c>
      <c r="G1130" s="0" t="n">
        <f aca="false">VLOOKUP(E1130,Sheet1!$A$2:$B$25,2,0)</f>
        <v>1</v>
      </c>
    </row>
    <row r="1131" customFormat="false" ht="15" hidden="false" customHeight="false" outlineLevel="0" collapsed="false">
      <c r="A1131" s="13" t="n">
        <v>44585.5416666667</v>
      </c>
      <c r="B1131" s="12" t="n">
        <v>694.321</v>
      </c>
      <c r="C1131" s="0" t="n">
        <f aca="false">WEEKDAY(A1131,2)</f>
        <v>1</v>
      </c>
      <c r="D1131" s="0" t="n">
        <f aca="false">DAY(A1131)</f>
        <v>24</v>
      </c>
      <c r="E1131" s="0" t="n">
        <f aca="false">HOUR(A1131)</f>
        <v>13</v>
      </c>
      <c r="F1131" s="0" t="n">
        <f aca="false">IF(C1131&gt;=6,0,1)</f>
        <v>1</v>
      </c>
      <c r="G1131" s="0" t="n">
        <f aca="false">VLOOKUP(E1131,Sheet1!$A$2:$B$25,2,0)</f>
        <v>1</v>
      </c>
    </row>
    <row r="1132" customFormat="false" ht="15" hidden="false" customHeight="false" outlineLevel="0" collapsed="false">
      <c r="A1132" s="13" t="n">
        <v>44585.5625</v>
      </c>
      <c r="B1132" s="12" t="n">
        <v>695.9</v>
      </c>
      <c r="C1132" s="0" t="n">
        <f aca="false">WEEKDAY(A1132,2)</f>
        <v>1</v>
      </c>
      <c r="D1132" s="0" t="n">
        <f aca="false">DAY(A1132)</f>
        <v>24</v>
      </c>
      <c r="E1132" s="0" t="n">
        <f aca="false">HOUR(A1132)</f>
        <v>13</v>
      </c>
      <c r="F1132" s="0" t="n">
        <f aca="false">IF(C1132&gt;=6,0,1)</f>
        <v>1</v>
      </c>
      <c r="G1132" s="0" t="n">
        <f aca="false">VLOOKUP(E1132,Sheet1!$A$2:$B$25,2,0)</f>
        <v>1</v>
      </c>
    </row>
    <row r="1133" customFormat="false" ht="15" hidden="false" customHeight="false" outlineLevel="0" collapsed="false">
      <c r="A1133" s="13" t="n">
        <v>44585.5833333333</v>
      </c>
      <c r="B1133" s="12" t="n">
        <v>679.7</v>
      </c>
      <c r="C1133" s="0" t="n">
        <f aca="false">WEEKDAY(A1133,2)</f>
        <v>1</v>
      </c>
      <c r="D1133" s="0" t="n">
        <f aca="false">DAY(A1133)</f>
        <v>24</v>
      </c>
      <c r="E1133" s="0" t="n">
        <f aca="false">HOUR(A1133)</f>
        <v>14</v>
      </c>
      <c r="F1133" s="0" t="n">
        <f aca="false">IF(C1133&gt;=6,0,1)</f>
        <v>1</v>
      </c>
      <c r="G1133" s="0" t="n">
        <f aca="false">VLOOKUP(E1133,Sheet1!$A$2:$B$25,2,0)</f>
        <v>1</v>
      </c>
    </row>
    <row r="1134" customFormat="false" ht="15" hidden="false" customHeight="false" outlineLevel="0" collapsed="false">
      <c r="A1134" s="13" t="n">
        <v>44585.6041666667</v>
      </c>
      <c r="B1134" s="12" t="n">
        <v>648.505</v>
      </c>
      <c r="C1134" s="0" t="n">
        <f aca="false">WEEKDAY(A1134,2)</f>
        <v>1</v>
      </c>
      <c r="D1134" s="0" t="n">
        <f aca="false">DAY(A1134)</f>
        <v>24</v>
      </c>
      <c r="E1134" s="0" t="n">
        <f aca="false">HOUR(A1134)</f>
        <v>14</v>
      </c>
      <c r="F1134" s="0" t="n">
        <f aca="false">IF(C1134&gt;=6,0,1)</f>
        <v>1</v>
      </c>
      <c r="G1134" s="0" t="n">
        <f aca="false">VLOOKUP(E1134,Sheet1!$A$2:$B$25,2,0)</f>
        <v>1</v>
      </c>
    </row>
    <row r="1135" customFormat="false" ht="15" hidden="false" customHeight="false" outlineLevel="0" collapsed="false">
      <c r="A1135" s="13" t="n">
        <v>44585.625</v>
      </c>
      <c r="B1135" s="12" t="n">
        <v>682.46</v>
      </c>
      <c r="C1135" s="0" t="n">
        <f aca="false">WEEKDAY(A1135,2)</f>
        <v>1</v>
      </c>
      <c r="D1135" s="0" t="n">
        <f aca="false">DAY(A1135)</f>
        <v>24</v>
      </c>
      <c r="E1135" s="0" t="n">
        <f aca="false">HOUR(A1135)</f>
        <v>15</v>
      </c>
      <c r="F1135" s="0" t="n">
        <f aca="false">IF(C1135&gt;=6,0,1)</f>
        <v>1</v>
      </c>
      <c r="G1135" s="0" t="n">
        <f aca="false">VLOOKUP(E1135,Sheet1!$A$2:$B$25,2,0)</f>
        <v>1</v>
      </c>
    </row>
    <row r="1136" customFormat="false" ht="15" hidden="false" customHeight="false" outlineLevel="0" collapsed="false">
      <c r="A1136" s="13" t="n">
        <v>44585.6458333333</v>
      </c>
      <c r="B1136" s="12" t="n">
        <v>686.42</v>
      </c>
      <c r="C1136" s="0" t="n">
        <f aca="false">WEEKDAY(A1136,2)</f>
        <v>1</v>
      </c>
      <c r="D1136" s="0" t="n">
        <f aca="false">DAY(A1136)</f>
        <v>24</v>
      </c>
      <c r="E1136" s="0" t="n">
        <f aca="false">HOUR(A1136)</f>
        <v>15</v>
      </c>
      <c r="F1136" s="0" t="n">
        <f aca="false">IF(C1136&gt;=6,0,1)</f>
        <v>1</v>
      </c>
      <c r="G1136" s="0" t="n">
        <f aca="false">VLOOKUP(E1136,Sheet1!$A$2:$B$25,2,0)</f>
        <v>1</v>
      </c>
    </row>
    <row r="1137" customFormat="false" ht="15" hidden="false" customHeight="false" outlineLevel="0" collapsed="false">
      <c r="A1137" s="13" t="n">
        <v>44585.6666666667</v>
      </c>
      <c r="B1137" s="12" t="n">
        <v>622.796</v>
      </c>
      <c r="C1137" s="0" t="n">
        <f aca="false">WEEKDAY(A1137,2)</f>
        <v>1</v>
      </c>
      <c r="D1137" s="0" t="n">
        <f aca="false">DAY(A1137)</f>
        <v>24</v>
      </c>
      <c r="E1137" s="0" t="n">
        <f aca="false">HOUR(A1137)</f>
        <v>16</v>
      </c>
      <c r="F1137" s="0" t="n">
        <f aca="false">IF(C1137&gt;=6,0,1)</f>
        <v>1</v>
      </c>
      <c r="G1137" s="0" t="n">
        <f aca="false">VLOOKUP(E1137,Sheet1!$A$2:$B$25,2,0)</f>
        <v>0</v>
      </c>
    </row>
    <row r="1138" customFormat="false" ht="15" hidden="false" customHeight="false" outlineLevel="0" collapsed="false">
      <c r="A1138" s="13" t="n">
        <v>44585.6875</v>
      </c>
      <c r="B1138" s="12" t="n">
        <v>376.945</v>
      </c>
      <c r="C1138" s="0" t="n">
        <f aca="false">WEEKDAY(A1138,2)</f>
        <v>1</v>
      </c>
      <c r="D1138" s="0" t="n">
        <f aca="false">DAY(A1138)</f>
        <v>24</v>
      </c>
      <c r="E1138" s="0" t="n">
        <f aca="false">HOUR(A1138)</f>
        <v>16</v>
      </c>
      <c r="F1138" s="0" t="n">
        <f aca="false">IF(C1138&gt;=6,0,1)</f>
        <v>1</v>
      </c>
      <c r="G1138" s="0" t="n">
        <f aca="false">VLOOKUP(E1138,Sheet1!$A$2:$B$25,2,0)</f>
        <v>0</v>
      </c>
    </row>
    <row r="1139" customFormat="false" ht="15" hidden="false" customHeight="false" outlineLevel="0" collapsed="false">
      <c r="A1139" s="13" t="n">
        <v>44585.7083333333</v>
      </c>
      <c r="B1139" s="12" t="n">
        <v>380.036</v>
      </c>
      <c r="C1139" s="0" t="n">
        <f aca="false">WEEKDAY(A1139,2)</f>
        <v>1</v>
      </c>
      <c r="D1139" s="0" t="n">
        <f aca="false">DAY(A1139)</f>
        <v>24</v>
      </c>
      <c r="E1139" s="0" t="n">
        <f aca="false">HOUR(A1139)</f>
        <v>17</v>
      </c>
      <c r="F1139" s="0" t="n">
        <f aca="false">IF(C1139&gt;=6,0,1)</f>
        <v>1</v>
      </c>
      <c r="G1139" s="0" t="n">
        <f aca="false">VLOOKUP(E1139,Sheet1!$A$2:$B$25,2,0)</f>
        <v>0</v>
      </c>
    </row>
    <row r="1140" customFormat="false" ht="15" hidden="false" customHeight="false" outlineLevel="0" collapsed="false">
      <c r="A1140" s="13" t="n">
        <v>44585.7291666667</v>
      </c>
      <c r="B1140" s="12" t="n">
        <v>382.916</v>
      </c>
      <c r="C1140" s="0" t="n">
        <f aca="false">WEEKDAY(A1140,2)</f>
        <v>1</v>
      </c>
      <c r="D1140" s="0" t="n">
        <f aca="false">DAY(A1140)</f>
        <v>24</v>
      </c>
      <c r="E1140" s="0" t="n">
        <f aca="false">HOUR(A1140)</f>
        <v>17</v>
      </c>
      <c r="F1140" s="0" t="n">
        <f aca="false">IF(C1140&gt;=6,0,1)</f>
        <v>1</v>
      </c>
      <c r="G1140" s="0" t="n">
        <f aca="false">VLOOKUP(E1140,Sheet1!$A$2:$B$25,2,0)</f>
        <v>0</v>
      </c>
    </row>
    <row r="1141" customFormat="false" ht="15" hidden="false" customHeight="false" outlineLevel="0" collapsed="false">
      <c r="A1141" s="13" t="n">
        <v>44585.75</v>
      </c>
      <c r="B1141" s="12" t="n">
        <v>385.196</v>
      </c>
      <c r="C1141" s="0" t="n">
        <f aca="false">WEEKDAY(A1141,2)</f>
        <v>1</v>
      </c>
      <c r="D1141" s="0" t="n">
        <f aca="false">DAY(A1141)</f>
        <v>24</v>
      </c>
      <c r="E1141" s="0" t="n">
        <f aca="false">HOUR(A1141)</f>
        <v>18</v>
      </c>
      <c r="F1141" s="0" t="n">
        <f aca="false">IF(C1141&gt;=6,0,1)</f>
        <v>1</v>
      </c>
      <c r="G1141" s="0" t="n">
        <f aca="false">VLOOKUP(E1141,Sheet1!$A$2:$B$25,2,0)</f>
        <v>0</v>
      </c>
    </row>
    <row r="1142" customFormat="false" ht="15" hidden="false" customHeight="false" outlineLevel="0" collapsed="false">
      <c r="A1142" s="13" t="n">
        <v>44585.7708333333</v>
      </c>
      <c r="B1142" s="12" t="n">
        <v>378.236</v>
      </c>
      <c r="C1142" s="0" t="n">
        <f aca="false">WEEKDAY(A1142,2)</f>
        <v>1</v>
      </c>
      <c r="D1142" s="0" t="n">
        <f aca="false">DAY(A1142)</f>
        <v>24</v>
      </c>
      <c r="E1142" s="0" t="n">
        <f aca="false">HOUR(A1142)</f>
        <v>18</v>
      </c>
      <c r="F1142" s="0" t="n">
        <f aca="false">IF(C1142&gt;=6,0,1)</f>
        <v>1</v>
      </c>
      <c r="G1142" s="0" t="n">
        <f aca="false">VLOOKUP(E1142,Sheet1!$A$2:$B$25,2,0)</f>
        <v>0</v>
      </c>
    </row>
    <row r="1143" customFormat="false" ht="15" hidden="false" customHeight="false" outlineLevel="0" collapsed="false">
      <c r="A1143" s="13" t="n">
        <v>44585.7916666667</v>
      </c>
      <c r="B1143" s="12" t="n">
        <v>364.561</v>
      </c>
      <c r="C1143" s="0" t="n">
        <f aca="false">WEEKDAY(A1143,2)</f>
        <v>1</v>
      </c>
      <c r="D1143" s="0" t="n">
        <f aca="false">DAY(A1143)</f>
        <v>24</v>
      </c>
      <c r="E1143" s="0" t="n">
        <f aca="false">HOUR(A1143)</f>
        <v>19</v>
      </c>
      <c r="F1143" s="0" t="n">
        <f aca="false">IF(C1143&gt;=6,0,1)</f>
        <v>1</v>
      </c>
      <c r="G1143" s="0" t="n">
        <f aca="false">VLOOKUP(E1143,Sheet1!$A$2:$B$25,2,0)</f>
        <v>0</v>
      </c>
    </row>
    <row r="1144" customFormat="false" ht="15" hidden="false" customHeight="false" outlineLevel="0" collapsed="false">
      <c r="A1144" s="13" t="n">
        <v>44585.8125</v>
      </c>
      <c r="B1144" s="12" t="n">
        <v>370.22</v>
      </c>
      <c r="C1144" s="0" t="n">
        <f aca="false">WEEKDAY(A1144,2)</f>
        <v>1</v>
      </c>
      <c r="D1144" s="0" t="n">
        <f aca="false">DAY(A1144)</f>
        <v>24</v>
      </c>
      <c r="E1144" s="0" t="n">
        <f aca="false">HOUR(A1144)</f>
        <v>19</v>
      </c>
      <c r="F1144" s="0" t="n">
        <f aca="false">IF(C1144&gt;=6,0,1)</f>
        <v>1</v>
      </c>
      <c r="G1144" s="0" t="n">
        <f aca="false">VLOOKUP(E1144,Sheet1!$A$2:$B$25,2,0)</f>
        <v>0</v>
      </c>
    </row>
    <row r="1145" customFormat="false" ht="15" hidden="false" customHeight="false" outlineLevel="0" collapsed="false">
      <c r="A1145" s="13" t="n">
        <v>44585.8333333333</v>
      </c>
      <c r="B1145" s="12" t="n">
        <v>369.98</v>
      </c>
      <c r="C1145" s="0" t="n">
        <f aca="false">WEEKDAY(A1145,2)</f>
        <v>1</v>
      </c>
      <c r="D1145" s="0" t="n">
        <f aca="false">DAY(A1145)</f>
        <v>24</v>
      </c>
      <c r="E1145" s="0" t="n">
        <f aca="false">HOUR(A1145)</f>
        <v>20</v>
      </c>
      <c r="F1145" s="0" t="n">
        <f aca="false">IF(C1145&gt;=6,0,1)</f>
        <v>1</v>
      </c>
      <c r="G1145" s="0" t="n">
        <f aca="false">VLOOKUP(E1145,Sheet1!$A$2:$B$25,2,0)</f>
        <v>0</v>
      </c>
    </row>
    <row r="1146" customFormat="false" ht="15" hidden="false" customHeight="false" outlineLevel="0" collapsed="false">
      <c r="A1146" s="13" t="n">
        <v>44585.8541666667</v>
      </c>
      <c r="B1146" s="12" t="n">
        <v>369.841</v>
      </c>
      <c r="C1146" s="0" t="n">
        <f aca="false">WEEKDAY(A1146,2)</f>
        <v>1</v>
      </c>
      <c r="D1146" s="0" t="n">
        <f aca="false">DAY(A1146)</f>
        <v>24</v>
      </c>
      <c r="E1146" s="0" t="n">
        <f aca="false">HOUR(A1146)</f>
        <v>20</v>
      </c>
      <c r="F1146" s="0" t="n">
        <f aca="false">IF(C1146&gt;=6,0,1)</f>
        <v>1</v>
      </c>
      <c r="G1146" s="0" t="n">
        <f aca="false">VLOOKUP(E1146,Sheet1!$A$2:$B$25,2,0)</f>
        <v>0</v>
      </c>
    </row>
    <row r="1147" customFormat="false" ht="15" hidden="false" customHeight="false" outlineLevel="0" collapsed="false">
      <c r="A1147" s="13" t="n">
        <v>44585.875</v>
      </c>
      <c r="B1147" s="12" t="n">
        <v>362.036</v>
      </c>
      <c r="C1147" s="0" t="n">
        <f aca="false">WEEKDAY(A1147,2)</f>
        <v>1</v>
      </c>
      <c r="D1147" s="0" t="n">
        <f aca="false">DAY(A1147)</f>
        <v>24</v>
      </c>
      <c r="E1147" s="0" t="n">
        <f aca="false">HOUR(A1147)</f>
        <v>21</v>
      </c>
      <c r="F1147" s="0" t="n">
        <f aca="false">IF(C1147&gt;=6,0,1)</f>
        <v>1</v>
      </c>
      <c r="G1147" s="0" t="n">
        <f aca="false">VLOOKUP(E1147,Sheet1!$A$2:$B$25,2,0)</f>
        <v>0</v>
      </c>
    </row>
    <row r="1148" customFormat="false" ht="15" hidden="false" customHeight="false" outlineLevel="0" collapsed="false">
      <c r="A1148" s="13" t="n">
        <v>44585.8958333333</v>
      </c>
      <c r="B1148" s="12" t="n">
        <v>359.156</v>
      </c>
      <c r="C1148" s="0" t="n">
        <f aca="false">WEEKDAY(A1148,2)</f>
        <v>1</v>
      </c>
      <c r="D1148" s="0" t="n">
        <f aca="false">DAY(A1148)</f>
        <v>24</v>
      </c>
      <c r="E1148" s="0" t="n">
        <f aca="false">HOUR(A1148)</f>
        <v>21</v>
      </c>
      <c r="F1148" s="0" t="n">
        <f aca="false">IF(C1148&gt;=6,0,1)</f>
        <v>1</v>
      </c>
      <c r="G1148" s="0" t="n">
        <f aca="false">VLOOKUP(E1148,Sheet1!$A$2:$B$25,2,0)</f>
        <v>0</v>
      </c>
    </row>
    <row r="1149" customFormat="false" ht="15" hidden="false" customHeight="false" outlineLevel="0" collapsed="false">
      <c r="A1149" s="13" t="n">
        <v>44585.9166666667</v>
      </c>
      <c r="B1149" s="12" t="n">
        <v>369.121</v>
      </c>
      <c r="C1149" s="0" t="n">
        <f aca="false">WEEKDAY(A1149,2)</f>
        <v>1</v>
      </c>
      <c r="D1149" s="0" t="n">
        <f aca="false">DAY(A1149)</f>
        <v>24</v>
      </c>
      <c r="E1149" s="0" t="n">
        <f aca="false">HOUR(A1149)</f>
        <v>22</v>
      </c>
      <c r="F1149" s="0" t="n">
        <f aca="false">IF(C1149&gt;=6,0,1)</f>
        <v>1</v>
      </c>
      <c r="G1149" s="0" t="n">
        <f aca="false">VLOOKUP(E1149,Sheet1!$A$2:$B$25,2,0)</f>
        <v>0</v>
      </c>
    </row>
    <row r="1150" customFormat="false" ht="15" hidden="false" customHeight="false" outlineLevel="0" collapsed="false">
      <c r="A1150" s="13" t="n">
        <v>44585.9375</v>
      </c>
      <c r="B1150" s="12" t="n">
        <v>349.796</v>
      </c>
      <c r="C1150" s="0" t="n">
        <f aca="false">WEEKDAY(A1150,2)</f>
        <v>1</v>
      </c>
      <c r="D1150" s="0" t="n">
        <f aca="false">DAY(A1150)</f>
        <v>24</v>
      </c>
      <c r="E1150" s="0" t="n">
        <f aca="false">HOUR(A1150)</f>
        <v>22</v>
      </c>
      <c r="F1150" s="0" t="n">
        <f aca="false">IF(C1150&gt;=6,0,1)</f>
        <v>1</v>
      </c>
      <c r="G1150" s="0" t="n">
        <f aca="false">VLOOKUP(E1150,Sheet1!$A$2:$B$25,2,0)</f>
        <v>0</v>
      </c>
    </row>
    <row r="1151" customFormat="false" ht="15" hidden="false" customHeight="false" outlineLevel="0" collapsed="false">
      <c r="A1151" s="13" t="n">
        <v>44585.9583333333</v>
      </c>
      <c r="B1151" s="12" t="n">
        <v>336.5</v>
      </c>
      <c r="C1151" s="0" t="n">
        <f aca="false">WEEKDAY(A1151,2)</f>
        <v>1</v>
      </c>
      <c r="D1151" s="0" t="n">
        <f aca="false">DAY(A1151)</f>
        <v>24</v>
      </c>
      <c r="E1151" s="0" t="n">
        <f aca="false">HOUR(A1151)</f>
        <v>23</v>
      </c>
      <c r="F1151" s="0" t="n">
        <f aca="false">IF(C1151&gt;=6,0,1)</f>
        <v>1</v>
      </c>
      <c r="G1151" s="0" t="n">
        <f aca="false">VLOOKUP(E1151,Sheet1!$A$2:$B$25,2,0)</f>
        <v>0</v>
      </c>
    </row>
    <row r="1152" customFormat="false" ht="15" hidden="false" customHeight="false" outlineLevel="0" collapsed="false">
      <c r="A1152" s="13" t="n">
        <v>44585.9791666667</v>
      </c>
      <c r="B1152" s="12" t="n">
        <v>334.7</v>
      </c>
      <c r="C1152" s="0" t="n">
        <f aca="false">WEEKDAY(A1152,2)</f>
        <v>1</v>
      </c>
      <c r="D1152" s="0" t="n">
        <f aca="false">DAY(A1152)</f>
        <v>24</v>
      </c>
      <c r="E1152" s="0" t="n">
        <f aca="false">HOUR(A1152)</f>
        <v>23</v>
      </c>
      <c r="F1152" s="0" t="n">
        <f aca="false">IF(C1152&gt;=6,0,1)</f>
        <v>1</v>
      </c>
      <c r="G1152" s="0" t="n">
        <f aca="false">VLOOKUP(E1152,Sheet1!$A$2:$B$25,2,0)</f>
        <v>0</v>
      </c>
    </row>
    <row r="1153" customFormat="false" ht="15" hidden="false" customHeight="false" outlineLevel="0" collapsed="false">
      <c r="A1153" s="13" t="n">
        <v>44586</v>
      </c>
      <c r="B1153" s="12" t="n">
        <v>332.521</v>
      </c>
      <c r="C1153" s="0" t="n">
        <f aca="false">WEEKDAY(A1153,2)</f>
        <v>2</v>
      </c>
      <c r="D1153" s="0" t="n">
        <f aca="false">DAY(A1153)</f>
        <v>25</v>
      </c>
      <c r="E1153" s="0" t="n">
        <f aca="false">HOUR(A1153)</f>
        <v>0</v>
      </c>
      <c r="F1153" s="0" t="n">
        <f aca="false">IF(C1153&gt;=6,0,1)</f>
        <v>1</v>
      </c>
      <c r="G1153" s="0" t="n">
        <f aca="false">VLOOKUP(E1153,Sheet1!$A$2:$B$25,2,0)</f>
        <v>0</v>
      </c>
    </row>
    <row r="1154" customFormat="false" ht="15" hidden="false" customHeight="false" outlineLevel="0" collapsed="false">
      <c r="A1154" s="13" t="n">
        <v>44586.0208333333</v>
      </c>
      <c r="B1154" s="12" t="n">
        <v>340.1</v>
      </c>
      <c r="C1154" s="0" t="n">
        <f aca="false">WEEKDAY(A1154,2)</f>
        <v>2</v>
      </c>
      <c r="D1154" s="0" t="n">
        <f aca="false">DAY(A1154)</f>
        <v>25</v>
      </c>
      <c r="E1154" s="0" t="n">
        <f aca="false">HOUR(A1154)</f>
        <v>0</v>
      </c>
      <c r="F1154" s="0" t="n">
        <f aca="false">IF(C1154&gt;=6,0,1)</f>
        <v>1</v>
      </c>
      <c r="G1154" s="0" t="n">
        <f aca="false">VLOOKUP(E1154,Sheet1!$A$2:$B$25,2,0)</f>
        <v>0</v>
      </c>
    </row>
    <row r="1155" customFormat="false" ht="15" hidden="false" customHeight="false" outlineLevel="0" collapsed="false">
      <c r="A1155" s="13" t="n">
        <v>44586.0416666667</v>
      </c>
      <c r="B1155" s="12" t="n">
        <v>341.396</v>
      </c>
      <c r="C1155" s="0" t="n">
        <f aca="false">WEEKDAY(A1155,2)</f>
        <v>2</v>
      </c>
      <c r="D1155" s="0" t="n">
        <f aca="false">DAY(A1155)</f>
        <v>25</v>
      </c>
      <c r="E1155" s="0" t="n">
        <f aca="false">HOUR(A1155)</f>
        <v>1</v>
      </c>
      <c r="F1155" s="0" t="n">
        <f aca="false">IF(C1155&gt;=6,0,1)</f>
        <v>1</v>
      </c>
      <c r="G1155" s="0" t="n">
        <f aca="false">VLOOKUP(E1155,Sheet1!$A$2:$B$25,2,0)</f>
        <v>0</v>
      </c>
    </row>
    <row r="1156" customFormat="false" ht="15" hidden="false" customHeight="false" outlineLevel="0" collapsed="false">
      <c r="A1156" s="13" t="n">
        <v>44586.0625</v>
      </c>
      <c r="B1156" s="12" t="n">
        <v>336.86</v>
      </c>
      <c r="C1156" s="0" t="n">
        <f aca="false">WEEKDAY(A1156,2)</f>
        <v>2</v>
      </c>
      <c r="D1156" s="0" t="n">
        <f aca="false">DAY(A1156)</f>
        <v>25</v>
      </c>
      <c r="E1156" s="0" t="n">
        <f aca="false">HOUR(A1156)</f>
        <v>1</v>
      </c>
      <c r="F1156" s="0" t="n">
        <f aca="false">IF(C1156&gt;=6,0,1)</f>
        <v>1</v>
      </c>
      <c r="G1156" s="0" t="n">
        <f aca="false">VLOOKUP(E1156,Sheet1!$A$2:$B$25,2,0)</f>
        <v>0</v>
      </c>
    </row>
    <row r="1157" customFormat="false" ht="15" hidden="false" customHeight="false" outlineLevel="0" collapsed="false">
      <c r="A1157" s="13" t="n">
        <v>44586.0833333333</v>
      </c>
      <c r="B1157" s="12" t="n">
        <v>341.54</v>
      </c>
      <c r="C1157" s="0" t="n">
        <f aca="false">WEEKDAY(A1157,2)</f>
        <v>2</v>
      </c>
      <c r="D1157" s="0" t="n">
        <f aca="false">DAY(A1157)</f>
        <v>25</v>
      </c>
      <c r="E1157" s="0" t="n">
        <f aca="false">HOUR(A1157)</f>
        <v>2</v>
      </c>
      <c r="F1157" s="0" t="n">
        <f aca="false">IF(C1157&gt;=6,0,1)</f>
        <v>1</v>
      </c>
      <c r="G1157" s="0" t="n">
        <f aca="false">VLOOKUP(E1157,Sheet1!$A$2:$B$25,2,0)</f>
        <v>0</v>
      </c>
    </row>
    <row r="1158" customFormat="false" ht="15" hidden="false" customHeight="false" outlineLevel="0" collapsed="false">
      <c r="A1158" s="13" t="n">
        <v>44586.1041666667</v>
      </c>
      <c r="B1158" s="12" t="n">
        <v>342.481</v>
      </c>
      <c r="C1158" s="0" t="n">
        <f aca="false">WEEKDAY(A1158,2)</f>
        <v>2</v>
      </c>
      <c r="D1158" s="0" t="n">
        <f aca="false">DAY(A1158)</f>
        <v>25</v>
      </c>
      <c r="E1158" s="0" t="n">
        <f aca="false">HOUR(A1158)</f>
        <v>2</v>
      </c>
      <c r="F1158" s="0" t="n">
        <f aca="false">IF(C1158&gt;=6,0,1)</f>
        <v>1</v>
      </c>
      <c r="G1158" s="0" t="n">
        <f aca="false">VLOOKUP(E1158,Sheet1!$A$2:$B$25,2,0)</f>
        <v>0</v>
      </c>
    </row>
    <row r="1159" customFormat="false" ht="15" hidden="false" customHeight="false" outlineLevel="0" collapsed="false">
      <c r="A1159" s="13" t="n">
        <v>44586.125</v>
      </c>
      <c r="B1159" s="12" t="n">
        <v>344.06</v>
      </c>
      <c r="C1159" s="0" t="n">
        <f aca="false">WEEKDAY(A1159,2)</f>
        <v>2</v>
      </c>
      <c r="D1159" s="0" t="n">
        <f aca="false">DAY(A1159)</f>
        <v>25</v>
      </c>
      <c r="E1159" s="0" t="n">
        <f aca="false">HOUR(A1159)</f>
        <v>3</v>
      </c>
      <c r="F1159" s="0" t="n">
        <f aca="false">IF(C1159&gt;=6,0,1)</f>
        <v>1</v>
      </c>
      <c r="G1159" s="0" t="n">
        <f aca="false">VLOOKUP(E1159,Sheet1!$A$2:$B$25,2,0)</f>
        <v>0</v>
      </c>
    </row>
    <row r="1160" customFormat="false" ht="15" hidden="false" customHeight="false" outlineLevel="0" collapsed="false">
      <c r="A1160" s="13" t="n">
        <v>44586.1458333333</v>
      </c>
      <c r="B1160" s="12" t="n">
        <v>339.716</v>
      </c>
      <c r="C1160" s="0" t="n">
        <f aca="false">WEEKDAY(A1160,2)</f>
        <v>2</v>
      </c>
      <c r="D1160" s="0" t="n">
        <f aca="false">DAY(A1160)</f>
        <v>25</v>
      </c>
      <c r="E1160" s="0" t="n">
        <f aca="false">HOUR(A1160)</f>
        <v>3</v>
      </c>
      <c r="F1160" s="0" t="n">
        <f aca="false">IF(C1160&gt;=6,0,1)</f>
        <v>1</v>
      </c>
      <c r="G1160" s="0" t="n">
        <f aca="false">VLOOKUP(E1160,Sheet1!$A$2:$B$25,2,0)</f>
        <v>0</v>
      </c>
    </row>
    <row r="1161" customFormat="false" ht="15" hidden="false" customHeight="false" outlineLevel="0" collapsed="false">
      <c r="A1161" s="13" t="n">
        <v>44586.1666666667</v>
      </c>
      <c r="B1161" s="12" t="n">
        <v>418.705</v>
      </c>
      <c r="C1161" s="0" t="n">
        <f aca="false">WEEKDAY(A1161,2)</f>
        <v>2</v>
      </c>
      <c r="D1161" s="0" t="n">
        <f aca="false">DAY(A1161)</f>
        <v>25</v>
      </c>
      <c r="E1161" s="0" t="n">
        <f aca="false">HOUR(A1161)</f>
        <v>4</v>
      </c>
      <c r="F1161" s="0" t="n">
        <f aca="false">IF(C1161&gt;=6,0,1)</f>
        <v>1</v>
      </c>
      <c r="G1161" s="0" t="n">
        <f aca="false">VLOOKUP(E1161,Sheet1!$A$2:$B$25,2,0)</f>
        <v>1</v>
      </c>
    </row>
    <row r="1162" customFormat="false" ht="15" hidden="false" customHeight="false" outlineLevel="0" collapsed="false">
      <c r="A1162" s="13" t="n">
        <v>44586.1875</v>
      </c>
      <c r="B1162" s="12" t="n">
        <v>817.82</v>
      </c>
      <c r="C1162" s="0" t="n">
        <f aca="false">WEEKDAY(A1162,2)</f>
        <v>2</v>
      </c>
      <c r="D1162" s="0" t="n">
        <f aca="false">DAY(A1162)</f>
        <v>25</v>
      </c>
      <c r="E1162" s="0" t="n">
        <f aca="false">HOUR(A1162)</f>
        <v>4</v>
      </c>
      <c r="F1162" s="0" t="n">
        <f aca="false">IF(C1162&gt;=6,0,1)</f>
        <v>1</v>
      </c>
      <c r="G1162" s="0" t="n">
        <f aca="false">VLOOKUP(E1162,Sheet1!$A$2:$B$25,2,0)</f>
        <v>1</v>
      </c>
    </row>
    <row r="1163" customFormat="false" ht="15" hidden="false" customHeight="false" outlineLevel="0" collapsed="false">
      <c r="A1163" s="13" t="n">
        <v>44586.2083333333</v>
      </c>
      <c r="B1163" s="12" t="n">
        <v>669.025</v>
      </c>
      <c r="C1163" s="0" t="n">
        <f aca="false">WEEKDAY(A1163,2)</f>
        <v>2</v>
      </c>
      <c r="D1163" s="0" t="n">
        <f aca="false">DAY(A1163)</f>
        <v>25</v>
      </c>
      <c r="E1163" s="0" t="n">
        <f aca="false">HOUR(A1163)</f>
        <v>5</v>
      </c>
      <c r="F1163" s="0" t="n">
        <f aca="false">IF(C1163&gt;=6,0,1)</f>
        <v>1</v>
      </c>
      <c r="G1163" s="0" t="n">
        <f aca="false">VLOOKUP(E1163,Sheet1!$A$2:$B$25,2,0)</f>
        <v>1</v>
      </c>
    </row>
    <row r="1164" customFormat="false" ht="15" hidden="false" customHeight="false" outlineLevel="0" collapsed="false">
      <c r="A1164" s="13" t="n">
        <v>44586.2291666667</v>
      </c>
      <c r="B1164" s="12" t="n">
        <v>718.316</v>
      </c>
      <c r="C1164" s="0" t="n">
        <f aca="false">WEEKDAY(A1164,2)</f>
        <v>2</v>
      </c>
      <c r="D1164" s="0" t="n">
        <f aca="false">DAY(A1164)</f>
        <v>25</v>
      </c>
      <c r="E1164" s="0" t="n">
        <f aca="false">HOUR(A1164)</f>
        <v>5</v>
      </c>
      <c r="F1164" s="0" t="n">
        <f aca="false">IF(C1164&gt;=6,0,1)</f>
        <v>1</v>
      </c>
      <c r="G1164" s="0" t="n">
        <f aca="false">VLOOKUP(E1164,Sheet1!$A$2:$B$25,2,0)</f>
        <v>1</v>
      </c>
    </row>
    <row r="1165" customFormat="false" ht="15" hidden="false" customHeight="false" outlineLevel="0" collapsed="false">
      <c r="A1165" s="13" t="n">
        <v>44586.25</v>
      </c>
      <c r="B1165" s="12" t="n">
        <v>768.74</v>
      </c>
      <c r="C1165" s="0" t="n">
        <f aca="false">WEEKDAY(A1165,2)</f>
        <v>2</v>
      </c>
      <c r="D1165" s="0" t="n">
        <f aca="false">DAY(A1165)</f>
        <v>25</v>
      </c>
      <c r="E1165" s="0" t="n">
        <f aca="false">HOUR(A1165)</f>
        <v>6</v>
      </c>
      <c r="F1165" s="0" t="n">
        <f aca="false">IF(C1165&gt;=6,0,1)</f>
        <v>1</v>
      </c>
      <c r="G1165" s="0" t="n">
        <f aca="false">VLOOKUP(E1165,Sheet1!$A$2:$B$25,2,0)</f>
        <v>1</v>
      </c>
    </row>
    <row r="1166" customFormat="false" ht="15" hidden="false" customHeight="false" outlineLevel="0" collapsed="false">
      <c r="A1166" s="13" t="n">
        <v>44586.2708333333</v>
      </c>
      <c r="B1166" s="12" t="n">
        <v>805.801</v>
      </c>
      <c r="C1166" s="0" t="n">
        <f aca="false">WEEKDAY(A1166,2)</f>
        <v>2</v>
      </c>
      <c r="D1166" s="0" t="n">
        <f aca="false">DAY(A1166)</f>
        <v>25</v>
      </c>
      <c r="E1166" s="0" t="n">
        <f aca="false">HOUR(A1166)</f>
        <v>6</v>
      </c>
      <c r="F1166" s="0" t="n">
        <f aca="false">IF(C1166&gt;=6,0,1)</f>
        <v>1</v>
      </c>
      <c r="G1166" s="0" t="n">
        <f aca="false">VLOOKUP(E1166,Sheet1!$A$2:$B$25,2,0)</f>
        <v>1</v>
      </c>
    </row>
    <row r="1167" customFormat="false" ht="15" hidden="false" customHeight="false" outlineLevel="0" collapsed="false">
      <c r="A1167" s="13" t="n">
        <v>44586.2916666667</v>
      </c>
      <c r="B1167" s="12" t="n">
        <v>902.3</v>
      </c>
      <c r="C1167" s="0" t="n">
        <f aca="false">WEEKDAY(A1167,2)</f>
        <v>2</v>
      </c>
      <c r="D1167" s="0" t="n">
        <f aca="false">DAY(A1167)</f>
        <v>25</v>
      </c>
      <c r="E1167" s="0" t="n">
        <f aca="false">HOUR(A1167)</f>
        <v>7</v>
      </c>
      <c r="F1167" s="0" t="n">
        <f aca="false">IF(C1167&gt;=6,0,1)</f>
        <v>1</v>
      </c>
      <c r="G1167" s="0" t="n">
        <f aca="false">VLOOKUP(E1167,Sheet1!$A$2:$B$25,2,0)</f>
        <v>1</v>
      </c>
    </row>
    <row r="1168" customFormat="false" ht="15" hidden="false" customHeight="false" outlineLevel="0" collapsed="false">
      <c r="A1168" s="13" t="n">
        <v>44586.3125</v>
      </c>
      <c r="B1168" s="12" t="n">
        <v>915.836</v>
      </c>
      <c r="C1168" s="0" t="n">
        <f aca="false">WEEKDAY(A1168,2)</f>
        <v>2</v>
      </c>
      <c r="D1168" s="0" t="n">
        <f aca="false">DAY(A1168)</f>
        <v>25</v>
      </c>
      <c r="E1168" s="0" t="n">
        <f aca="false">HOUR(A1168)</f>
        <v>7</v>
      </c>
      <c r="F1168" s="0" t="n">
        <f aca="false">IF(C1168&gt;=6,0,1)</f>
        <v>1</v>
      </c>
      <c r="G1168" s="0" t="n">
        <f aca="false">VLOOKUP(E1168,Sheet1!$A$2:$B$25,2,0)</f>
        <v>1</v>
      </c>
    </row>
    <row r="1169" customFormat="false" ht="15" hidden="false" customHeight="false" outlineLevel="0" collapsed="false">
      <c r="A1169" s="13" t="n">
        <v>44586.3333333333</v>
      </c>
      <c r="B1169" s="12" t="n">
        <v>912.74</v>
      </c>
      <c r="C1169" s="0" t="n">
        <f aca="false">WEEKDAY(A1169,2)</f>
        <v>2</v>
      </c>
      <c r="D1169" s="0" t="n">
        <f aca="false">DAY(A1169)</f>
        <v>25</v>
      </c>
      <c r="E1169" s="0" t="n">
        <f aca="false">HOUR(A1169)</f>
        <v>8</v>
      </c>
      <c r="F1169" s="0" t="n">
        <f aca="false">IF(C1169&gt;=6,0,1)</f>
        <v>1</v>
      </c>
      <c r="G1169" s="0" t="n">
        <f aca="false">VLOOKUP(E1169,Sheet1!$A$2:$B$25,2,0)</f>
        <v>1</v>
      </c>
    </row>
    <row r="1170" customFormat="false" ht="15" hidden="false" customHeight="false" outlineLevel="0" collapsed="false">
      <c r="A1170" s="13" t="n">
        <v>44586.3541666667</v>
      </c>
      <c r="B1170" s="12" t="n">
        <v>910.321</v>
      </c>
      <c r="C1170" s="0" t="n">
        <f aca="false">WEEKDAY(A1170,2)</f>
        <v>2</v>
      </c>
      <c r="D1170" s="0" t="n">
        <f aca="false">DAY(A1170)</f>
        <v>25</v>
      </c>
      <c r="E1170" s="0" t="n">
        <f aca="false">HOUR(A1170)</f>
        <v>8</v>
      </c>
      <c r="F1170" s="0" t="n">
        <f aca="false">IF(C1170&gt;=6,0,1)</f>
        <v>1</v>
      </c>
      <c r="G1170" s="0" t="n">
        <f aca="false">VLOOKUP(E1170,Sheet1!$A$2:$B$25,2,0)</f>
        <v>1</v>
      </c>
    </row>
    <row r="1171" customFormat="false" ht="15" hidden="false" customHeight="false" outlineLevel="0" collapsed="false">
      <c r="A1171" s="13" t="n">
        <v>44586.375</v>
      </c>
      <c r="B1171" s="12" t="n">
        <v>985.316</v>
      </c>
      <c r="C1171" s="0" t="n">
        <f aca="false">WEEKDAY(A1171,2)</f>
        <v>2</v>
      </c>
      <c r="D1171" s="0" t="n">
        <f aca="false">DAY(A1171)</f>
        <v>25</v>
      </c>
      <c r="E1171" s="0" t="n">
        <f aca="false">HOUR(A1171)</f>
        <v>9</v>
      </c>
      <c r="F1171" s="0" t="n">
        <f aca="false">IF(C1171&gt;=6,0,1)</f>
        <v>1</v>
      </c>
      <c r="G1171" s="0" t="n">
        <f aca="false">VLOOKUP(E1171,Sheet1!$A$2:$B$25,2,0)</f>
        <v>1</v>
      </c>
    </row>
    <row r="1172" customFormat="false" ht="15" hidden="false" customHeight="false" outlineLevel="0" collapsed="false">
      <c r="A1172" s="13" t="n">
        <v>44586.3958333333</v>
      </c>
      <c r="B1172" s="12" t="n">
        <v>1010.9</v>
      </c>
      <c r="C1172" s="0" t="n">
        <f aca="false">WEEKDAY(A1172,2)</f>
        <v>2</v>
      </c>
      <c r="D1172" s="0" t="n">
        <f aca="false">DAY(A1172)</f>
        <v>25</v>
      </c>
      <c r="E1172" s="0" t="n">
        <f aca="false">HOUR(A1172)</f>
        <v>9</v>
      </c>
      <c r="F1172" s="0" t="n">
        <f aca="false">IF(C1172&gt;=6,0,1)</f>
        <v>1</v>
      </c>
      <c r="G1172" s="0" t="n">
        <f aca="false">VLOOKUP(E1172,Sheet1!$A$2:$B$25,2,0)</f>
        <v>1</v>
      </c>
    </row>
    <row r="1173" customFormat="false" ht="15" hidden="false" customHeight="false" outlineLevel="0" collapsed="false">
      <c r="A1173" s="13" t="n">
        <v>44586.4166666667</v>
      </c>
      <c r="B1173" s="12" t="n">
        <v>951.505</v>
      </c>
      <c r="C1173" s="0" t="n">
        <f aca="false">WEEKDAY(A1173,2)</f>
        <v>2</v>
      </c>
      <c r="D1173" s="0" t="n">
        <f aca="false">DAY(A1173)</f>
        <v>25</v>
      </c>
      <c r="E1173" s="0" t="n">
        <f aca="false">HOUR(A1173)</f>
        <v>10</v>
      </c>
      <c r="F1173" s="0" t="n">
        <f aca="false">IF(C1173&gt;=6,0,1)</f>
        <v>1</v>
      </c>
      <c r="G1173" s="0" t="n">
        <f aca="false">VLOOKUP(E1173,Sheet1!$A$2:$B$25,2,0)</f>
        <v>1</v>
      </c>
    </row>
    <row r="1174" customFormat="false" ht="15" hidden="false" customHeight="false" outlineLevel="0" collapsed="false">
      <c r="A1174" s="13" t="n">
        <v>44586.4375</v>
      </c>
      <c r="B1174" s="12" t="n">
        <v>899.876</v>
      </c>
      <c r="C1174" s="0" t="n">
        <f aca="false">WEEKDAY(A1174,2)</f>
        <v>2</v>
      </c>
      <c r="D1174" s="0" t="n">
        <f aca="false">DAY(A1174)</f>
        <v>25</v>
      </c>
      <c r="E1174" s="0" t="n">
        <f aca="false">HOUR(A1174)</f>
        <v>10</v>
      </c>
      <c r="F1174" s="0" t="n">
        <f aca="false">IF(C1174&gt;=6,0,1)</f>
        <v>1</v>
      </c>
      <c r="G1174" s="0" t="n">
        <f aca="false">VLOOKUP(E1174,Sheet1!$A$2:$B$25,2,0)</f>
        <v>1</v>
      </c>
    </row>
    <row r="1175" customFormat="false" ht="15" hidden="false" customHeight="false" outlineLevel="0" collapsed="false">
      <c r="A1175" s="13" t="n">
        <v>44586.4583333333</v>
      </c>
      <c r="B1175" s="12" t="n">
        <v>918.356</v>
      </c>
      <c r="C1175" s="0" t="n">
        <f aca="false">WEEKDAY(A1175,2)</f>
        <v>2</v>
      </c>
      <c r="D1175" s="0" t="n">
        <f aca="false">DAY(A1175)</f>
        <v>25</v>
      </c>
      <c r="E1175" s="0" t="n">
        <f aca="false">HOUR(A1175)</f>
        <v>11</v>
      </c>
      <c r="F1175" s="0" t="n">
        <f aca="false">IF(C1175&gt;=6,0,1)</f>
        <v>1</v>
      </c>
      <c r="G1175" s="0" t="n">
        <f aca="false">VLOOKUP(E1175,Sheet1!$A$2:$B$25,2,0)</f>
        <v>1</v>
      </c>
    </row>
    <row r="1176" customFormat="false" ht="15" hidden="false" customHeight="false" outlineLevel="0" collapsed="false">
      <c r="A1176" s="13" t="n">
        <v>44586.4791666667</v>
      </c>
      <c r="B1176" s="12" t="n">
        <v>837.02</v>
      </c>
      <c r="C1176" s="0" t="n">
        <f aca="false">WEEKDAY(A1176,2)</f>
        <v>2</v>
      </c>
      <c r="D1176" s="0" t="n">
        <f aca="false">DAY(A1176)</f>
        <v>25</v>
      </c>
      <c r="E1176" s="0" t="n">
        <f aca="false">HOUR(A1176)</f>
        <v>11</v>
      </c>
      <c r="F1176" s="0" t="n">
        <f aca="false">IF(C1176&gt;=6,0,1)</f>
        <v>1</v>
      </c>
      <c r="G1176" s="0" t="n">
        <f aca="false">VLOOKUP(E1176,Sheet1!$A$2:$B$25,2,0)</f>
        <v>1</v>
      </c>
    </row>
    <row r="1177" customFormat="false" ht="15" hidden="false" customHeight="false" outlineLevel="0" collapsed="false">
      <c r="A1177" s="13" t="n">
        <v>44586.5</v>
      </c>
      <c r="B1177" s="12" t="n">
        <v>863.18</v>
      </c>
      <c r="C1177" s="0" t="n">
        <f aca="false">WEEKDAY(A1177,2)</f>
        <v>2</v>
      </c>
      <c r="D1177" s="0" t="n">
        <f aca="false">DAY(A1177)</f>
        <v>25</v>
      </c>
      <c r="E1177" s="0" t="n">
        <f aca="false">HOUR(A1177)</f>
        <v>12</v>
      </c>
      <c r="F1177" s="0" t="n">
        <f aca="false">IF(C1177&gt;=6,0,1)</f>
        <v>1</v>
      </c>
      <c r="G1177" s="0" t="n">
        <f aca="false">VLOOKUP(E1177,Sheet1!$A$2:$B$25,2,0)</f>
        <v>1</v>
      </c>
    </row>
    <row r="1178" customFormat="false" ht="15" hidden="false" customHeight="false" outlineLevel="0" collapsed="false">
      <c r="A1178" s="13" t="n">
        <v>44586.5208333333</v>
      </c>
      <c r="B1178" s="12" t="n">
        <v>814.945</v>
      </c>
      <c r="C1178" s="0" t="n">
        <f aca="false">WEEKDAY(A1178,2)</f>
        <v>2</v>
      </c>
      <c r="D1178" s="0" t="n">
        <f aca="false">DAY(A1178)</f>
        <v>25</v>
      </c>
      <c r="E1178" s="0" t="n">
        <f aca="false">HOUR(A1178)</f>
        <v>12</v>
      </c>
      <c r="F1178" s="0" t="n">
        <f aca="false">IF(C1178&gt;=6,0,1)</f>
        <v>1</v>
      </c>
      <c r="G1178" s="0" t="n">
        <f aca="false">VLOOKUP(E1178,Sheet1!$A$2:$B$25,2,0)</f>
        <v>1</v>
      </c>
    </row>
    <row r="1179" customFormat="false" ht="15" hidden="false" customHeight="false" outlineLevel="0" collapsed="false">
      <c r="A1179" s="13" t="n">
        <v>44586.5416666667</v>
      </c>
      <c r="B1179" s="12" t="n">
        <v>889.46</v>
      </c>
      <c r="C1179" s="0" t="n">
        <f aca="false">WEEKDAY(A1179,2)</f>
        <v>2</v>
      </c>
      <c r="D1179" s="0" t="n">
        <f aca="false">DAY(A1179)</f>
        <v>25</v>
      </c>
      <c r="E1179" s="0" t="n">
        <f aca="false">HOUR(A1179)</f>
        <v>13</v>
      </c>
      <c r="F1179" s="0" t="n">
        <f aca="false">IF(C1179&gt;=6,0,1)</f>
        <v>1</v>
      </c>
      <c r="G1179" s="0" t="n">
        <f aca="false">VLOOKUP(E1179,Sheet1!$A$2:$B$25,2,0)</f>
        <v>1</v>
      </c>
    </row>
    <row r="1180" customFormat="false" ht="15" hidden="false" customHeight="false" outlineLevel="0" collapsed="false">
      <c r="A1180" s="13" t="n">
        <v>44586.5625</v>
      </c>
      <c r="B1180" s="12" t="n">
        <v>882.596</v>
      </c>
      <c r="C1180" s="0" t="n">
        <f aca="false">WEEKDAY(A1180,2)</f>
        <v>2</v>
      </c>
      <c r="D1180" s="0" t="n">
        <f aca="false">DAY(A1180)</f>
        <v>25</v>
      </c>
      <c r="E1180" s="0" t="n">
        <f aca="false">HOUR(A1180)</f>
        <v>13</v>
      </c>
      <c r="F1180" s="0" t="n">
        <f aca="false">IF(C1180&gt;=6,0,1)</f>
        <v>1</v>
      </c>
      <c r="G1180" s="0" t="n">
        <f aca="false">VLOOKUP(E1180,Sheet1!$A$2:$B$25,2,0)</f>
        <v>1</v>
      </c>
    </row>
    <row r="1181" customFormat="false" ht="15" hidden="false" customHeight="false" outlineLevel="0" collapsed="false">
      <c r="A1181" s="13" t="n">
        <v>44586.5833333333</v>
      </c>
      <c r="B1181" s="12" t="n">
        <v>871.201</v>
      </c>
      <c r="C1181" s="0" t="n">
        <f aca="false">WEEKDAY(A1181,2)</f>
        <v>2</v>
      </c>
      <c r="D1181" s="0" t="n">
        <f aca="false">DAY(A1181)</f>
        <v>25</v>
      </c>
      <c r="E1181" s="0" t="n">
        <f aca="false">HOUR(A1181)</f>
        <v>14</v>
      </c>
      <c r="F1181" s="0" t="n">
        <f aca="false">IF(C1181&gt;=6,0,1)</f>
        <v>1</v>
      </c>
      <c r="G1181" s="0" t="n">
        <f aca="false">VLOOKUP(E1181,Sheet1!$A$2:$B$25,2,0)</f>
        <v>1</v>
      </c>
    </row>
    <row r="1182" customFormat="false" ht="15" hidden="false" customHeight="false" outlineLevel="0" collapsed="false">
      <c r="A1182" s="13" t="n">
        <v>44586.6041666667</v>
      </c>
      <c r="B1182" s="12" t="n">
        <v>761.036</v>
      </c>
      <c r="C1182" s="0" t="n">
        <f aca="false">WEEKDAY(A1182,2)</f>
        <v>2</v>
      </c>
      <c r="D1182" s="0" t="n">
        <f aca="false">DAY(A1182)</f>
        <v>25</v>
      </c>
      <c r="E1182" s="0" t="n">
        <f aca="false">HOUR(A1182)</f>
        <v>14</v>
      </c>
      <c r="F1182" s="0" t="n">
        <f aca="false">IF(C1182&gt;=6,0,1)</f>
        <v>1</v>
      </c>
      <c r="G1182" s="0" t="n">
        <f aca="false">VLOOKUP(E1182,Sheet1!$A$2:$B$25,2,0)</f>
        <v>1</v>
      </c>
    </row>
    <row r="1183" customFormat="false" ht="15" hidden="false" customHeight="false" outlineLevel="0" collapsed="false">
      <c r="A1183" s="13" t="n">
        <v>44586.625</v>
      </c>
      <c r="B1183" s="12" t="n">
        <v>666.14</v>
      </c>
      <c r="C1183" s="0" t="n">
        <f aca="false">WEEKDAY(A1183,2)</f>
        <v>2</v>
      </c>
      <c r="D1183" s="0" t="n">
        <f aca="false">DAY(A1183)</f>
        <v>25</v>
      </c>
      <c r="E1183" s="0" t="n">
        <f aca="false">HOUR(A1183)</f>
        <v>15</v>
      </c>
      <c r="F1183" s="0" t="n">
        <f aca="false">IF(C1183&gt;=6,0,1)</f>
        <v>1</v>
      </c>
      <c r="G1183" s="0" t="n">
        <f aca="false">VLOOKUP(E1183,Sheet1!$A$2:$B$25,2,0)</f>
        <v>1</v>
      </c>
    </row>
    <row r="1184" customFormat="false" ht="15" hidden="false" customHeight="false" outlineLevel="0" collapsed="false">
      <c r="A1184" s="13" t="n">
        <v>44586.6458333333</v>
      </c>
      <c r="B1184" s="12" t="n">
        <v>503.9</v>
      </c>
      <c r="C1184" s="0" t="n">
        <f aca="false">WEEKDAY(A1184,2)</f>
        <v>2</v>
      </c>
      <c r="D1184" s="0" t="n">
        <f aca="false">DAY(A1184)</f>
        <v>25</v>
      </c>
      <c r="E1184" s="0" t="n">
        <f aca="false">HOUR(A1184)</f>
        <v>15</v>
      </c>
      <c r="F1184" s="0" t="n">
        <f aca="false">IF(C1184&gt;=6,0,1)</f>
        <v>1</v>
      </c>
      <c r="G1184" s="0" t="n">
        <f aca="false">VLOOKUP(E1184,Sheet1!$A$2:$B$25,2,0)</f>
        <v>1</v>
      </c>
    </row>
    <row r="1185" customFormat="false" ht="15" hidden="false" customHeight="false" outlineLevel="0" collapsed="false">
      <c r="A1185" s="13" t="n">
        <v>44586.6666666667</v>
      </c>
      <c r="B1185" s="12" t="n">
        <v>404.785</v>
      </c>
      <c r="C1185" s="0" t="n">
        <f aca="false">WEEKDAY(A1185,2)</f>
        <v>2</v>
      </c>
      <c r="D1185" s="0" t="n">
        <f aca="false">DAY(A1185)</f>
        <v>25</v>
      </c>
      <c r="E1185" s="0" t="n">
        <f aca="false">HOUR(A1185)</f>
        <v>16</v>
      </c>
      <c r="F1185" s="0" t="n">
        <f aca="false">IF(C1185&gt;=6,0,1)</f>
        <v>1</v>
      </c>
      <c r="G1185" s="0" t="n">
        <f aca="false">VLOOKUP(E1185,Sheet1!$A$2:$B$25,2,0)</f>
        <v>0</v>
      </c>
    </row>
    <row r="1186" customFormat="false" ht="15" hidden="false" customHeight="false" outlineLevel="0" collapsed="false">
      <c r="A1186" s="13" t="n">
        <v>44586.6875</v>
      </c>
      <c r="B1186" s="12" t="n">
        <v>398.9</v>
      </c>
      <c r="C1186" s="0" t="n">
        <f aca="false">WEEKDAY(A1186,2)</f>
        <v>2</v>
      </c>
      <c r="D1186" s="0" t="n">
        <f aca="false">DAY(A1186)</f>
        <v>25</v>
      </c>
      <c r="E1186" s="0" t="n">
        <f aca="false">HOUR(A1186)</f>
        <v>16</v>
      </c>
      <c r="F1186" s="0" t="n">
        <f aca="false">IF(C1186&gt;=6,0,1)</f>
        <v>1</v>
      </c>
      <c r="G1186" s="0" t="n">
        <f aca="false">VLOOKUP(E1186,Sheet1!$A$2:$B$25,2,0)</f>
        <v>0</v>
      </c>
    </row>
    <row r="1187" customFormat="false" ht="15" hidden="false" customHeight="false" outlineLevel="0" collapsed="false">
      <c r="A1187" s="13" t="n">
        <v>44586.7083333333</v>
      </c>
      <c r="B1187" s="12" t="n">
        <v>383.42</v>
      </c>
      <c r="C1187" s="0" t="n">
        <f aca="false">WEEKDAY(A1187,2)</f>
        <v>2</v>
      </c>
      <c r="D1187" s="0" t="n">
        <f aca="false">DAY(A1187)</f>
        <v>25</v>
      </c>
      <c r="E1187" s="0" t="n">
        <f aca="false">HOUR(A1187)</f>
        <v>17</v>
      </c>
      <c r="F1187" s="0" t="n">
        <f aca="false">IF(C1187&gt;=6,0,1)</f>
        <v>1</v>
      </c>
      <c r="G1187" s="0" t="n">
        <f aca="false">VLOOKUP(E1187,Sheet1!$A$2:$B$25,2,0)</f>
        <v>0</v>
      </c>
    </row>
    <row r="1188" customFormat="false" ht="15" hidden="false" customHeight="false" outlineLevel="0" collapsed="false">
      <c r="A1188" s="13" t="n">
        <v>44586.7291666667</v>
      </c>
      <c r="B1188" s="12" t="n">
        <v>385.316</v>
      </c>
      <c r="C1188" s="0" t="n">
        <f aca="false">WEEKDAY(A1188,2)</f>
        <v>2</v>
      </c>
      <c r="D1188" s="0" t="n">
        <f aca="false">DAY(A1188)</f>
        <v>25</v>
      </c>
      <c r="E1188" s="0" t="n">
        <f aca="false">HOUR(A1188)</f>
        <v>17</v>
      </c>
      <c r="F1188" s="0" t="n">
        <f aca="false">IF(C1188&gt;=6,0,1)</f>
        <v>1</v>
      </c>
      <c r="G1188" s="0" t="n">
        <f aca="false">VLOOKUP(E1188,Sheet1!$A$2:$B$25,2,0)</f>
        <v>0</v>
      </c>
    </row>
    <row r="1189" customFormat="false" ht="15" hidden="false" customHeight="false" outlineLevel="0" collapsed="false">
      <c r="A1189" s="13" t="n">
        <v>44586.75</v>
      </c>
      <c r="B1189" s="12" t="n">
        <v>394.1</v>
      </c>
      <c r="C1189" s="0" t="n">
        <f aca="false">WEEKDAY(A1189,2)</f>
        <v>2</v>
      </c>
      <c r="D1189" s="0" t="n">
        <f aca="false">DAY(A1189)</f>
        <v>25</v>
      </c>
      <c r="E1189" s="0" t="n">
        <f aca="false">HOUR(A1189)</f>
        <v>18</v>
      </c>
      <c r="F1189" s="0" t="n">
        <f aca="false">IF(C1189&gt;=6,0,1)</f>
        <v>1</v>
      </c>
      <c r="G1189" s="0" t="n">
        <f aca="false">VLOOKUP(E1189,Sheet1!$A$2:$B$25,2,0)</f>
        <v>0</v>
      </c>
    </row>
    <row r="1190" customFormat="false" ht="15" hidden="false" customHeight="false" outlineLevel="0" collapsed="false">
      <c r="A1190" s="13" t="n">
        <v>44586.7708333333</v>
      </c>
      <c r="B1190" s="12" t="n">
        <v>384.601</v>
      </c>
      <c r="C1190" s="0" t="n">
        <f aca="false">WEEKDAY(A1190,2)</f>
        <v>2</v>
      </c>
      <c r="D1190" s="0" t="n">
        <f aca="false">DAY(A1190)</f>
        <v>25</v>
      </c>
      <c r="E1190" s="0" t="n">
        <f aca="false">HOUR(A1190)</f>
        <v>18</v>
      </c>
      <c r="F1190" s="0" t="n">
        <f aca="false">IF(C1190&gt;=6,0,1)</f>
        <v>1</v>
      </c>
      <c r="G1190" s="0" t="n">
        <f aca="false">VLOOKUP(E1190,Sheet1!$A$2:$B$25,2,0)</f>
        <v>0</v>
      </c>
    </row>
    <row r="1191" customFormat="false" ht="15" hidden="false" customHeight="false" outlineLevel="0" collapsed="false">
      <c r="A1191" s="13" t="n">
        <v>44586.7916666667</v>
      </c>
      <c r="B1191" s="12" t="n">
        <v>382.436</v>
      </c>
      <c r="C1191" s="0" t="n">
        <f aca="false">WEEKDAY(A1191,2)</f>
        <v>2</v>
      </c>
      <c r="D1191" s="0" t="n">
        <f aca="false">DAY(A1191)</f>
        <v>25</v>
      </c>
      <c r="E1191" s="0" t="n">
        <f aca="false">HOUR(A1191)</f>
        <v>19</v>
      </c>
      <c r="F1191" s="0" t="n">
        <f aca="false">IF(C1191&gt;=6,0,1)</f>
        <v>1</v>
      </c>
      <c r="G1191" s="0" t="n">
        <f aca="false">VLOOKUP(E1191,Sheet1!$A$2:$B$25,2,0)</f>
        <v>0</v>
      </c>
    </row>
    <row r="1192" customFormat="false" ht="15" hidden="false" customHeight="false" outlineLevel="0" collapsed="false">
      <c r="A1192" s="13" t="n">
        <v>44586.8125</v>
      </c>
      <c r="B1192" s="12" t="n">
        <v>368.156</v>
      </c>
      <c r="C1192" s="0" t="n">
        <f aca="false">WEEKDAY(A1192,2)</f>
        <v>2</v>
      </c>
      <c r="D1192" s="0" t="n">
        <f aca="false">DAY(A1192)</f>
        <v>25</v>
      </c>
      <c r="E1192" s="0" t="n">
        <f aca="false">HOUR(A1192)</f>
        <v>19</v>
      </c>
      <c r="F1192" s="0" t="n">
        <f aca="false">IF(C1192&gt;=6,0,1)</f>
        <v>1</v>
      </c>
      <c r="G1192" s="0" t="n">
        <f aca="false">VLOOKUP(E1192,Sheet1!$A$2:$B$25,2,0)</f>
        <v>0</v>
      </c>
    </row>
    <row r="1193" customFormat="false" ht="15" hidden="false" customHeight="false" outlineLevel="0" collapsed="false">
      <c r="A1193" s="13" t="n">
        <v>44586.8333333333</v>
      </c>
      <c r="B1193" s="12" t="n">
        <v>374.156</v>
      </c>
      <c r="C1193" s="0" t="n">
        <f aca="false">WEEKDAY(A1193,2)</f>
        <v>2</v>
      </c>
      <c r="D1193" s="0" t="n">
        <f aca="false">DAY(A1193)</f>
        <v>25</v>
      </c>
      <c r="E1193" s="0" t="n">
        <f aca="false">HOUR(A1193)</f>
        <v>20</v>
      </c>
      <c r="F1193" s="0" t="n">
        <f aca="false">IF(C1193&gt;=6,0,1)</f>
        <v>1</v>
      </c>
      <c r="G1193" s="0" t="n">
        <f aca="false">VLOOKUP(E1193,Sheet1!$A$2:$B$25,2,0)</f>
        <v>0</v>
      </c>
    </row>
    <row r="1194" customFormat="false" ht="15" hidden="false" customHeight="false" outlineLevel="0" collapsed="false">
      <c r="A1194" s="13" t="n">
        <v>44586.8541666667</v>
      </c>
      <c r="B1194" s="12" t="n">
        <v>361.561</v>
      </c>
      <c r="C1194" s="0" t="n">
        <f aca="false">WEEKDAY(A1194,2)</f>
        <v>2</v>
      </c>
      <c r="D1194" s="0" t="n">
        <f aca="false">DAY(A1194)</f>
        <v>25</v>
      </c>
      <c r="E1194" s="0" t="n">
        <f aca="false">HOUR(A1194)</f>
        <v>20</v>
      </c>
      <c r="F1194" s="0" t="n">
        <f aca="false">IF(C1194&gt;=6,0,1)</f>
        <v>1</v>
      </c>
      <c r="G1194" s="0" t="n">
        <f aca="false">VLOOKUP(E1194,Sheet1!$A$2:$B$25,2,0)</f>
        <v>0</v>
      </c>
    </row>
    <row r="1195" customFormat="false" ht="15" hidden="false" customHeight="false" outlineLevel="0" collapsed="false">
      <c r="A1195" s="13" t="n">
        <v>44586.875</v>
      </c>
      <c r="B1195" s="12" t="n">
        <v>373.46</v>
      </c>
      <c r="C1195" s="0" t="n">
        <f aca="false">WEEKDAY(A1195,2)</f>
        <v>2</v>
      </c>
      <c r="D1195" s="0" t="n">
        <f aca="false">DAY(A1195)</f>
        <v>25</v>
      </c>
      <c r="E1195" s="0" t="n">
        <f aca="false">HOUR(A1195)</f>
        <v>21</v>
      </c>
      <c r="F1195" s="0" t="n">
        <f aca="false">IF(C1195&gt;=6,0,1)</f>
        <v>1</v>
      </c>
      <c r="G1195" s="0" t="n">
        <f aca="false">VLOOKUP(E1195,Sheet1!$A$2:$B$25,2,0)</f>
        <v>0</v>
      </c>
    </row>
    <row r="1196" customFormat="false" ht="15" hidden="false" customHeight="false" outlineLevel="0" collapsed="false">
      <c r="A1196" s="13" t="n">
        <v>44586.8958333333</v>
      </c>
      <c r="B1196" s="12" t="n">
        <v>367.585</v>
      </c>
      <c r="C1196" s="0" t="n">
        <f aca="false">WEEKDAY(A1196,2)</f>
        <v>2</v>
      </c>
      <c r="D1196" s="0" t="n">
        <f aca="false">DAY(A1196)</f>
        <v>25</v>
      </c>
      <c r="E1196" s="0" t="n">
        <f aca="false">HOUR(A1196)</f>
        <v>21</v>
      </c>
      <c r="F1196" s="0" t="n">
        <f aca="false">IF(C1196&gt;=6,0,1)</f>
        <v>1</v>
      </c>
      <c r="G1196" s="0" t="n">
        <f aca="false">VLOOKUP(E1196,Sheet1!$A$2:$B$25,2,0)</f>
        <v>0</v>
      </c>
    </row>
    <row r="1197" customFormat="false" ht="15" hidden="false" customHeight="false" outlineLevel="0" collapsed="false">
      <c r="A1197" s="13" t="n">
        <v>44586.9166666667</v>
      </c>
      <c r="B1197" s="12" t="n">
        <v>358.58</v>
      </c>
      <c r="C1197" s="0" t="n">
        <f aca="false">WEEKDAY(A1197,2)</f>
        <v>2</v>
      </c>
      <c r="D1197" s="0" t="n">
        <f aca="false">DAY(A1197)</f>
        <v>25</v>
      </c>
      <c r="E1197" s="0" t="n">
        <f aca="false">HOUR(A1197)</f>
        <v>22</v>
      </c>
      <c r="F1197" s="0" t="n">
        <f aca="false">IF(C1197&gt;=6,0,1)</f>
        <v>1</v>
      </c>
      <c r="G1197" s="0" t="n">
        <f aca="false">VLOOKUP(E1197,Sheet1!$A$2:$B$25,2,0)</f>
        <v>0</v>
      </c>
    </row>
    <row r="1198" customFormat="false" ht="15" hidden="false" customHeight="false" outlineLevel="0" collapsed="false">
      <c r="A1198" s="13" t="n">
        <v>44586.9375</v>
      </c>
      <c r="B1198" s="12" t="n">
        <v>358.796</v>
      </c>
      <c r="C1198" s="0" t="n">
        <f aca="false">WEEKDAY(A1198,2)</f>
        <v>2</v>
      </c>
      <c r="D1198" s="0" t="n">
        <f aca="false">DAY(A1198)</f>
        <v>25</v>
      </c>
      <c r="E1198" s="0" t="n">
        <f aca="false">HOUR(A1198)</f>
        <v>22</v>
      </c>
      <c r="F1198" s="0" t="n">
        <f aca="false">IF(C1198&gt;=6,0,1)</f>
        <v>1</v>
      </c>
      <c r="G1198" s="0" t="n">
        <f aca="false">VLOOKUP(E1198,Sheet1!$A$2:$B$25,2,0)</f>
        <v>0</v>
      </c>
    </row>
    <row r="1199" customFormat="false" ht="15" hidden="false" customHeight="false" outlineLevel="0" collapsed="false">
      <c r="A1199" s="13" t="n">
        <v>44586.9583333333</v>
      </c>
      <c r="B1199" s="12" t="n">
        <v>354.241</v>
      </c>
      <c r="C1199" s="0" t="n">
        <f aca="false">WEEKDAY(A1199,2)</f>
        <v>2</v>
      </c>
      <c r="D1199" s="0" t="n">
        <f aca="false">DAY(A1199)</f>
        <v>25</v>
      </c>
      <c r="E1199" s="0" t="n">
        <f aca="false">HOUR(A1199)</f>
        <v>23</v>
      </c>
      <c r="F1199" s="0" t="n">
        <f aca="false">IF(C1199&gt;=6,0,1)</f>
        <v>1</v>
      </c>
      <c r="G1199" s="0" t="n">
        <f aca="false">VLOOKUP(E1199,Sheet1!$A$2:$B$25,2,0)</f>
        <v>0</v>
      </c>
    </row>
    <row r="1200" customFormat="false" ht="15" hidden="false" customHeight="false" outlineLevel="0" collapsed="false">
      <c r="A1200" s="13" t="n">
        <v>44586.9791666667</v>
      </c>
      <c r="B1200" s="12" t="n">
        <v>351.476</v>
      </c>
      <c r="C1200" s="0" t="n">
        <f aca="false">WEEKDAY(A1200,2)</f>
        <v>2</v>
      </c>
      <c r="D1200" s="0" t="n">
        <f aca="false">DAY(A1200)</f>
        <v>25</v>
      </c>
      <c r="E1200" s="0" t="n">
        <f aca="false">HOUR(A1200)</f>
        <v>23</v>
      </c>
      <c r="F1200" s="0" t="n">
        <f aca="false">IF(C1200&gt;=6,0,1)</f>
        <v>1</v>
      </c>
      <c r="G1200" s="0" t="n">
        <f aca="false">VLOOKUP(E1200,Sheet1!$A$2:$B$25,2,0)</f>
        <v>0</v>
      </c>
    </row>
    <row r="1201" customFormat="false" ht="15" hidden="false" customHeight="false" outlineLevel="0" collapsed="false">
      <c r="A1201" s="13" t="n">
        <v>44587</v>
      </c>
      <c r="B1201" s="12" t="n">
        <v>358.105</v>
      </c>
      <c r="C1201" s="0" t="n">
        <f aca="false">WEEKDAY(A1201,2)</f>
        <v>3</v>
      </c>
      <c r="D1201" s="0" t="n">
        <f aca="false">DAY(A1201)</f>
        <v>26</v>
      </c>
      <c r="E1201" s="0" t="n">
        <f aca="false">HOUR(A1201)</f>
        <v>0</v>
      </c>
      <c r="F1201" s="0" t="n">
        <f aca="false">IF(C1201&gt;=6,0,1)</f>
        <v>1</v>
      </c>
      <c r="G1201" s="0" t="n">
        <f aca="false">VLOOKUP(E1201,Sheet1!$A$2:$B$25,2,0)</f>
        <v>0</v>
      </c>
    </row>
    <row r="1202" customFormat="false" ht="15" hidden="false" customHeight="false" outlineLevel="0" collapsed="false">
      <c r="A1202" s="13" t="n">
        <v>44587.0208333333</v>
      </c>
      <c r="B1202" s="12" t="n">
        <v>358.556</v>
      </c>
      <c r="C1202" s="0" t="n">
        <f aca="false">WEEKDAY(A1202,2)</f>
        <v>3</v>
      </c>
      <c r="D1202" s="0" t="n">
        <f aca="false">DAY(A1202)</f>
        <v>26</v>
      </c>
      <c r="E1202" s="0" t="n">
        <f aca="false">HOUR(A1202)</f>
        <v>0</v>
      </c>
      <c r="F1202" s="0" t="n">
        <f aca="false">IF(C1202&gt;=6,0,1)</f>
        <v>1</v>
      </c>
      <c r="G1202" s="0" t="n">
        <f aca="false">VLOOKUP(E1202,Sheet1!$A$2:$B$25,2,0)</f>
        <v>0</v>
      </c>
    </row>
    <row r="1203" customFormat="false" ht="15" hidden="false" customHeight="false" outlineLevel="0" collapsed="false">
      <c r="A1203" s="13" t="n">
        <v>44587.0416666667</v>
      </c>
      <c r="B1203" s="12" t="n">
        <v>356.996</v>
      </c>
      <c r="C1203" s="0" t="n">
        <f aca="false">WEEKDAY(A1203,2)</f>
        <v>3</v>
      </c>
      <c r="D1203" s="0" t="n">
        <f aca="false">DAY(A1203)</f>
        <v>26</v>
      </c>
      <c r="E1203" s="0" t="n">
        <f aca="false">HOUR(A1203)</f>
        <v>1</v>
      </c>
      <c r="F1203" s="0" t="n">
        <f aca="false">IF(C1203&gt;=6,0,1)</f>
        <v>1</v>
      </c>
      <c r="G1203" s="0" t="n">
        <f aca="false">VLOOKUP(E1203,Sheet1!$A$2:$B$25,2,0)</f>
        <v>0</v>
      </c>
    </row>
    <row r="1204" customFormat="false" ht="15" hidden="false" customHeight="false" outlineLevel="0" collapsed="false">
      <c r="A1204" s="13" t="n">
        <v>44587.0625</v>
      </c>
      <c r="B1204" s="12" t="n">
        <v>359.521</v>
      </c>
      <c r="C1204" s="0" t="n">
        <f aca="false">WEEKDAY(A1204,2)</f>
        <v>3</v>
      </c>
      <c r="D1204" s="0" t="n">
        <f aca="false">DAY(A1204)</f>
        <v>26</v>
      </c>
      <c r="E1204" s="0" t="n">
        <f aca="false">HOUR(A1204)</f>
        <v>1</v>
      </c>
      <c r="F1204" s="0" t="n">
        <f aca="false">IF(C1204&gt;=6,0,1)</f>
        <v>1</v>
      </c>
      <c r="G1204" s="0" t="n">
        <f aca="false">VLOOKUP(E1204,Sheet1!$A$2:$B$25,2,0)</f>
        <v>0</v>
      </c>
    </row>
    <row r="1205" customFormat="false" ht="15" hidden="false" customHeight="false" outlineLevel="0" collapsed="false">
      <c r="A1205" s="13" t="n">
        <v>44587.0833333333</v>
      </c>
      <c r="B1205" s="12" t="n">
        <v>356.78</v>
      </c>
      <c r="C1205" s="0" t="n">
        <f aca="false">WEEKDAY(A1205,2)</f>
        <v>3</v>
      </c>
      <c r="D1205" s="0" t="n">
        <f aca="false">DAY(A1205)</f>
        <v>26</v>
      </c>
      <c r="E1205" s="0" t="n">
        <f aca="false">HOUR(A1205)</f>
        <v>2</v>
      </c>
      <c r="F1205" s="0" t="n">
        <f aca="false">IF(C1205&gt;=6,0,1)</f>
        <v>1</v>
      </c>
      <c r="G1205" s="0" t="n">
        <f aca="false">VLOOKUP(E1205,Sheet1!$A$2:$B$25,2,0)</f>
        <v>0</v>
      </c>
    </row>
    <row r="1206" customFormat="false" ht="15" hidden="false" customHeight="false" outlineLevel="0" collapsed="false">
      <c r="A1206" s="13" t="n">
        <v>44587.1041666667</v>
      </c>
      <c r="B1206" s="12" t="n">
        <v>362.425</v>
      </c>
      <c r="C1206" s="0" t="n">
        <f aca="false">WEEKDAY(A1206,2)</f>
        <v>3</v>
      </c>
      <c r="D1206" s="0" t="n">
        <f aca="false">DAY(A1206)</f>
        <v>26</v>
      </c>
      <c r="E1206" s="0" t="n">
        <f aca="false">HOUR(A1206)</f>
        <v>2</v>
      </c>
      <c r="F1206" s="0" t="n">
        <f aca="false">IF(C1206&gt;=6,0,1)</f>
        <v>1</v>
      </c>
      <c r="G1206" s="0" t="n">
        <f aca="false">VLOOKUP(E1206,Sheet1!$A$2:$B$25,2,0)</f>
        <v>0</v>
      </c>
    </row>
    <row r="1207" customFormat="false" ht="15" hidden="false" customHeight="false" outlineLevel="0" collapsed="false">
      <c r="A1207" s="13" t="n">
        <v>44587.125</v>
      </c>
      <c r="B1207" s="12" t="n">
        <v>364.916</v>
      </c>
      <c r="C1207" s="0" t="n">
        <f aca="false">WEEKDAY(A1207,2)</f>
        <v>3</v>
      </c>
      <c r="D1207" s="0" t="n">
        <f aca="false">DAY(A1207)</f>
        <v>26</v>
      </c>
      <c r="E1207" s="0" t="n">
        <f aca="false">HOUR(A1207)</f>
        <v>3</v>
      </c>
      <c r="F1207" s="0" t="n">
        <f aca="false">IF(C1207&gt;=6,0,1)</f>
        <v>1</v>
      </c>
      <c r="G1207" s="0" t="n">
        <f aca="false">VLOOKUP(E1207,Sheet1!$A$2:$B$25,2,0)</f>
        <v>0</v>
      </c>
    </row>
    <row r="1208" customFormat="false" ht="15" hidden="false" customHeight="false" outlineLevel="0" collapsed="false">
      <c r="A1208" s="13" t="n">
        <v>44587.1458333333</v>
      </c>
      <c r="B1208" s="12" t="n">
        <v>363.025</v>
      </c>
      <c r="C1208" s="0" t="n">
        <f aca="false">WEEKDAY(A1208,2)</f>
        <v>3</v>
      </c>
      <c r="D1208" s="0" t="n">
        <f aca="false">DAY(A1208)</f>
        <v>26</v>
      </c>
      <c r="E1208" s="0" t="n">
        <f aca="false">HOUR(A1208)</f>
        <v>3</v>
      </c>
      <c r="F1208" s="0" t="n">
        <f aca="false">IF(C1208&gt;=6,0,1)</f>
        <v>1</v>
      </c>
      <c r="G1208" s="0" t="n">
        <f aca="false">VLOOKUP(E1208,Sheet1!$A$2:$B$25,2,0)</f>
        <v>0</v>
      </c>
    </row>
    <row r="1209" customFormat="false" ht="15" hidden="false" customHeight="false" outlineLevel="0" collapsed="false">
      <c r="A1209" s="13" t="n">
        <v>44587.1666666667</v>
      </c>
      <c r="B1209" s="12" t="n">
        <v>386.516</v>
      </c>
      <c r="C1209" s="0" t="n">
        <f aca="false">WEEKDAY(A1209,2)</f>
        <v>3</v>
      </c>
      <c r="D1209" s="0" t="n">
        <f aca="false">DAY(A1209)</f>
        <v>26</v>
      </c>
      <c r="E1209" s="0" t="n">
        <f aca="false">HOUR(A1209)</f>
        <v>4</v>
      </c>
      <c r="F1209" s="0" t="n">
        <f aca="false">IF(C1209&gt;=6,0,1)</f>
        <v>1</v>
      </c>
      <c r="G1209" s="0" t="n">
        <f aca="false">VLOOKUP(E1209,Sheet1!$A$2:$B$25,2,0)</f>
        <v>1</v>
      </c>
    </row>
    <row r="1210" customFormat="false" ht="15" hidden="false" customHeight="false" outlineLevel="0" collapsed="false">
      <c r="A1210" s="13" t="n">
        <v>44587.1875</v>
      </c>
      <c r="B1210" s="12" t="n">
        <v>904.681</v>
      </c>
      <c r="C1210" s="0" t="n">
        <f aca="false">WEEKDAY(A1210,2)</f>
        <v>3</v>
      </c>
      <c r="D1210" s="0" t="n">
        <f aca="false">DAY(A1210)</f>
        <v>26</v>
      </c>
      <c r="E1210" s="0" t="n">
        <f aca="false">HOUR(A1210)</f>
        <v>4</v>
      </c>
      <c r="F1210" s="0" t="n">
        <f aca="false">IF(C1210&gt;=6,0,1)</f>
        <v>1</v>
      </c>
      <c r="G1210" s="0" t="n">
        <f aca="false">VLOOKUP(E1210,Sheet1!$A$2:$B$25,2,0)</f>
        <v>1</v>
      </c>
    </row>
    <row r="1211" customFormat="false" ht="15" hidden="false" customHeight="false" outlineLevel="0" collapsed="false">
      <c r="A1211" s="13" t="n">
        <v>44587.2083333333</v>
      </c>
      <c r="B1211" s="12" t="n">
        <v>692.06</v>
      </c>
      <c r="C1211" s="0" t="n">
        <f aca="false">WEEKDAY(A1211,2)</f>
        <v>3</v>
      </c>
      <c r="D1211" s="0" t="n">
        <f aca="false">DAY(A1211)</f>
        <v>26</v>
      </c>
      <c r="E1211" s="0" t="n">
        <f aca="false">HOUR(A1211)</f>
        <v>5</v>
      </c>
      <c r="F1211" s="0" t="n">
        <f aca="false">IF(C1211&gt;=6,0,1)</f>
        <v>1</v>
      </c>
      <c r="G1211" s="0" t="n">
        <f aca="false">VLOOKUP(E1211,Sheet1!$A$2:$B$25,2,0)</f>
        <v>1</v>
      </c>
    </row>
    <row r="1212" customFormat="false" ht="15" hidden="false" customHeight="false" outlineLevel="0" collapsed="false">
      <c r="A1212" s="13" t="n">
        <v>44587.2291666667</v>
      </c>
      <c r="B1212" s="12" t="n">
        <v>705.236</v>
      </c>
      <c r="C1212" s="0" t="n">
        <f aca="false">WEEKDAY(A1212,2)</f>
        <v>3</v>
      </c>
      <c r="D1212" s="0" t="n">
        <f aca="false">DAY(A1212)</f>
        <v>26</v>
      </c>
      <c r="E1212" s="0" t="n">
        <f aca="false">HOUR(A1212)</f>
        <v>5</v>
      </c>
      <c r="F1212" s="0" t="n">
        <f aca="false">IF(C1212&gt;=6,0,1)</f>
        <v>1</v>
      </c>
      <c r="G1212" s="0" t="n">
        <f aca="false">VLOOKUP(E1212,Sheet1!$A$2:$B$25,2,0)</f>
        <v>1</v>
      </c>
    </row>
    <row r="1213" customFormat="false" ht="15" hidden="false" customHeight="false" outlineLevel="0" collapsed="false">
      <c r="A1213" s="13" t="n">
        <v>44587.25</v>
      </c>
      <c r="B1213" s="12" t="n">
        <v>787.465</v>
      </c>
      <c r="C1213" s="0" t="n">
        <f aca="false">WEEKDAY(A1213,2)</f>
        <v>3</v>
      </c>
      <c r="D1213" s="0" t="n">
        <f aca="false">DAY(A1213)</f>
        <v>26</v>
      </c>
      <c r="E1213" s="0" t="n">
        <f aca="false">HOUR(A1213)</f>
        <v>6</v>
      </c>
      <c r="F1213" s="0" t="n">
        <f aca="false">IF(C1213&gt;=6,0,1)</f>
        <v>1</v>
      </c>
      <c r="G1213" s="0" t="n">
        <f aca="false">VLOOKUP(E1213,Sheet1!$A$2:$B$25,2,0)</f>
        <v>1</v>
      </c>
    </row>
    <row r="1214" customFormat="false" ht="15" hidden="false" customHeight="false" outlineLevel="0" collapsed="false">
      <c r="A1214" s="13" t="n">
        <v>44587.2708333333</v>
      </c>
      <c r="B1214" s="12" t="n">
        <v>853.82</v>
      </c>
      <c r="C1214" s="0" t="n">
        <f aca="false">WEEKDAY(A1214,2)</f>
        <v>3</v>
      </c>
      <c r="D1214" s="0" t="n">
        <f aca="false">DAY(A1214)</f>
        <v>26</v>
      </c>
      <c r="E1214" s="0" t="n">
        <f aca="false">HOUR(A1214)</f>
        <v>6</v>
      </c>
      <c r="F1214" s="0" t="n">
        <f aca="false">IF(C1214&gt;=6,0,1)</f>
        <v>1</v>
      </c>
      <c r="G1214" s="0" t="n">
        <f aca="false">VLOOKUP(E1214,Sheet1!$A$2:$B$25,2,0)</f>
        <v>1</v>
      </c>
    </row>
    <row r="1215" customFormat="false" ht="15" hidden="false" customHeight="false" outlineLevel="0" collapsed="false">
      <c r="A1215" s="13" t="n">
        <v>44587.2916666667</v>
      </c>
      <c r="B1215" s="12" t="n">
        <v>883.436</v>
      </c>
      <c r="C1215" s="0" t="n">
        <f aca="false">WEEKDAY(A1215,2)</f>
        <v>3</v>
      </c>
      <c r="D1215" s="0" t="n">
        <f aca="false">DAY(A1215)</f>
        <v>26</v>
      </c>
      <c r="E1215" s="0" t="n">
        <f aca="false">HOUR(A1215)</f>
        <v>7</v>
      </c>
      <c r="F1215" s="0" t="n">
        <f aca="false">IF(C1215&gt;=6,0,1)</f>
        <v>1</v>
      </c>
      <c r="G1215" s="0" t="n">
        <f aca="false">VLOOKUP(E1215,Sheet1!$A$2:$B$25,2,0)</f>
        <v>1</v>
      </c>
    </row>
    <row r="1216" customFormat="false" ht="15" hidden="false" customHeight="false" outlineLevel="0" collapsed="false">
      <c r="A1216" s="13" t="n">
        <v>44587.3125</v>
      </c>
      <c r="B1216" s="12" t="n">
        <v>902.156</v>
      </c>
      <c r="C1216" s="0" t="n">
        <f aca="false">WEEKDAY(A1216,2)</f>
        <v>3</v>
      </c>
      <c r="D1216" s="0" t="n">
        <f aca="false">DAY(A1216)</f>
        <v>26</v>
      </c>
      <c r="E1216" s="0" t="n">
        <f aca="false">HOUR(A1216)</f>
        <v>7</v>
      </c>
      <c r="F1216" s="0" t="n">
        <f aca="false">IF(C1216&gt;=6,0,1)</f>
        <v>1</v>
      </c>
      <c r="G1216" s="0" t="n">
        <f aca="false">VLOOKUP(E1216,Sheet1!$A$2:$B$25,2,0)</f>
        <v>1</v>
      </c>
    </row>
    <row r="1217" customFormat="false" ht="15" hidden="false" customHeight="false" outlineLevel="0" collapsed="false">
      <c r="A1217" s="13" t="n">
        <v>44587.3333333333</v>
      </c>
      <c r="B1217" s="12" t="n">
        <v>906.86</v>
      </c>
      <c r="C1217" s="0" t="n">
        <f aca="false">WEEKDAY(A1217,2)</f>
        <v>3</v>
      </c>
      <c r="D1217" s="0" t="n">
        <f aca="false">DAY(A1217)</f>
        <v>26</v>
      </c>
      <c r="E1217" s="0" t="n">
        <f aca="false">HOUR(A1217)</f>
        <v>8</v>
      </c>
      <c r="F1217" s="0" t="n">
        <f aca="false">IF(C1217&gt;=6,0,1)</f>
        <v>1</v>
      </c>
      <c r="G1217" s="0" t="n">
        <f aca="false">VLOOKUP(E1217,Sheet1!$A$2:$B$25,2,0)</f>
        <v>1</v>
      </c>
    </row>
    <row r="1218" customFormat="false" ht="15" hidden="false" customHeight="false" outlineLevel="0" collapsed="false">
      <c r="A1218" s="13" t="n">
        <v>44587.3541666667</v>
      </c>
      <c r="B1218" s="12" t="n">
        <v>883.796</v>
      </c>
      <c r="C1218" s="0" t="n">
        <f aca="false">WEEKDAY(A1218,2)</f>
        <v>3</v>
      </c>
      <c r="D1218" s="0" t="n">
        <f aca="false">DAY(A1218)</f>
        <v>26</v>
      </c>
      <c r="E1218" s="0" t="n">
        <f aca="false">HOUR(A1218)</f>
        <v>8</v>
      </c>
      <c r="F1218" s="0" t="n">
        <f aca="false">IF(C1218&gt;=6,0,1)</f>
        <v>1</v>
      </c>
      <c r="G1218" s="0" t="n">
        <f aca="false">VLOOKUP(E1218,Sheet1!$A$2:$B$25,2,0)</f>
        <v>1</v>
      </c>
    </row>
    <row r="1219" customFormat="false" ht="15" hidden="false" customHeight="false" outlineLevel="0" collapsed="false">
      <c r="A1219" s="13" t="n">
        <v>44587.375</v>
      </c>
      <c r="B1219" s="12" t="n">
        <v>923.305</v>
      </c>
      <c r="C1219" s="0" t="n">
        <f aca="false">WEEKDAY(A1219,2)</f>
        <v>3</v>
      </c>
      <c r="D1219" s="0" t="n">
        <f aca="false">DAY(A1219)</f>
        <v>26</v>
      </c>
      <c r="E1219" s="0" t="n">
        <f aca="false">HOUR(A1219)</f>
        <v>9</v>
      </c>
      <c r="F1219" s="0" t="n">
        <f aca="false">IF(C1219&gt;=6,0,1)</f>
        <v>1</v>
      </c>
      <c r="G1219" s="0" t="n">
        <f aca="false">VLOOKUP(E1219,Sheet1!$A$2:$B$25,2,0)</f>
        <v>1</v>
      </c>
    </row>
    <row r="1220" customFormat="false" ht="15" hidden="false" customHeight="false" outlineLevel="0" collapsed="false">
      <c r="A1220" s="13" t="n">
        <v>44587.3958333333</v>
      </c>
      <c r="B1220" s="12" t="n">
        <v>923.876</v>
      </c>
      <c r="C1220" s="0" t="n">
        <f aca="false">WEEKDAY(A1220,2)</f>
        <v>3</v>
      </c>
      <c r="D1220" s="0" t="n">
        <f aca="false">DAY(A1220)</f>
        <v>26</v>
      </c>
      <c r="E1220" s="0" t="n">
        <f aca="false">HOUR(A1220)</f>
        <v>9</v>
      </c>
      <c r="F1220" s="0" t="n">
        <f aca="false">IF(C1220&gt;=6,0,1)</f>
        <v>1</v>
      </c>
      <c r="G1220" s="0" t="n">
        <f aca="false">VLOOKUP(E1220,Sheet1!$A$2:$B$25,2,0)</f>
        <v>1</v>
      </c>
    </row>
    <row r="1221" customFormat="false" ht="15" hidden="false" customHeight="false" outlineLevel="0" collapsed="false">
      <c r="A1221" s="13" t="n">
        <v>44587.4166666667</v>
      </c>
      <c r="B1221" s="12" t="n">
        <v>872.66</v>
      </c>
      <c r="C1221" s="0" t="n">
        <f aca="false">WEEKDAY(A1221,2)</f>
        <v>3</v>
      </c>
      <c r="D1221" s="0" t="n">
        <f aca="false">DAY(A1221)</f>
        <v>26</v>
      </c>
      <c r="E1221" s="0" t="n">
        <f aca="false">HOUR(A1221)</f>
        <v>10</v>
      </c>
      <c r="F1221" s="0" t="n">
        <f aca="false">IF(C1221&gt;=6,0,1)</f>
        <v>1</v>
      </c>
      <c r="G1221" s="0" t="n">
        <f aca="false">VLOOKUP(E1221,Sheet1!$A$2:$B$25,2,0)</f>
        <v>1</v>
      </c>
    </row>
    <row r="1222" customFormat="false" ht="15" hidden="false" customHeight="false" outlineLevel="0" collapsed="false">
      <c r="A1222" s="13" t="n">
        <v>44587.4375</v>
      </c>
      <c r="B1222" s="12" t="n">
        <v>740.516</v>
      </c>
      <c r="C1222" s="0" t="n">
        <f aca="false">WEEKDAY(A1222,2)</f>
        <v>3</v>
      </c>
      <c r="D1222" s="0" t="n">
        <f aca="false">DAY(A1222)</f>
        <v>26</v>
      </c>
      <c r="E1222" s="0" t="n">
        <f aca="false">HOUR(A1222)</f>
        <v>10</v>
      </c>
      <c r="F1222" s="0" t="n">
        <f aca="false">IF(C1222&gt;=6,0,1)</f>
        <v>1</v>
      </c>
      <c r="G1222" s="0" t="n">
        <f aca="false">VLOOKUP(E1222,Sheet1!$A$2:$B$25,2,0)</f>
        <v>1</v>
      </c>
    </row>
    <row r="1223" customFormat="false" ht="15" hidden="false" customHeight="false" outlineLevel="0" collapsed="false">
      <c r="A1223" s="13" t="n">
        <v>44587.4583333333</v>
      </c>
      <c r="B1223" s="12" t="n">
        <v>740.036</v>
      </c>
      <c r="C1223" s="0" t="n">
        <f aca="false">WEEKDAY(A1223,2)</f>
        <v>3</v>
      </c>
      <c r="D1223" s="0" t="n">
        <f aca="false">DAY(A1223)</f>
        <v>26</v>
      </c>
      <c r="E1223" s="0" t="n">
        <f aca="false">HOUR(A1223)</f>
        <v>11</v>
      </c>
      <c r="F1223" s="0" t="n">
        <f aca="false">IF(C1223&gt;=6,0,1)</f>
        <v>1</v>
      </c>
      <c r="G1223" s="0" t="n">
        <f aca="false">VLOOKUP(E1223,Sheet1!$A$2:$B$25,2,0)</f>
        <v>1</v>
      </c>
    </row>
    <row r="1224" customFormat="false" ht="15" hidden="false" customHeight="false" outlineLevel="0" collapsed="false">
      <c r="A1224" s="13" t="n">
        <v>44587.4791666667</v>
      </c>
      <c r="B1224" s="12" t="n">
        <v>673.201</v>
      </c>
      <c r="C1224" s="0" t="n">
        <f aca="false">WEEKDAY(A1224,2)</f>
        <v>3</v>
      </c>
      <c r="D1224" s="0" t="n">
        <f aca="false">DAY(A1224)</f>
        <v>26</v>
      </c>
      <c r="E1224" s="0" t="n">
        <f aca="false">HOUR(A1224)</f>
        <v>11</v>
      </c>
      <c r="F1224" s="0" t="n">
        <f aca="false">IF(C1224&gt;=6,0,1)</f>
        <v>1</v>
      </c>
      <c r="G1224" s="0" t="n">
        <f aca="false">VLOOKUP(E1224,Sheet1!$A$2:$B$25,2,0)</f>
        <v>1</v>
      </c>
    </row>
    <row r="1225" customFormat="false" ht="15" hidden="false" customHeight="false" outlineLevel="0" collapsed="false">
      <c r="A1225" s="13" t="n">
        <v>44587.5</v>
      </c>
      <c r="B1225" s="12" t="n">
        <v>685.196</v>
      </c>
      <c r="C1225" s="0" t="n">
        <f aca="false">WEEKDAY(A1225,2)</f>
        <v>3</v>
      </c>
      <c r="D1225" s="0" t="n">
        <f aca="false">DAY(A1225)</f>
        <v>26</v>
      </c>
      <c r="E1225" s="0" t="n">
        <f aca="false">HOUR(A1225)</f>
        <v>12</v>
      </c>
      <c r="F1225" s="0" t="n">
        <f aca="false">IF(C1225&gt;=6,0,1)</f>
        <v>1</v>
      </c>
      <c r="G1225" s="0" t="n">
        <f aca="false">VLOOKUP(E1225,Sheet1!$A$2:$B$25,2,0)</f>
        <v>1</v>
      </c>
    </row>
    <row r="1226" customFormat="false" ht="15" hidden="false" customHeight="false" outlineLevel="0" collapsed="false">
      <c r="A1226" s="13" t="n">
        <v>44587.5208333333</v>
      </c>
      <c r="B1226" s="12" t="n">
        <v>721.436</v>
      </c>
      <c r="C1226" s="0" t="n">
        <f aca="false">WEEKDAY(A1226,2)</f>
        <v>3</v>
      </c>
      <c r="D1226" s="0" t="n">
        <f aca="false">DAY(A1226)</f>
        <v>26</v>
      </c>
      <c r="E1226" s="0" t="n">
        <f aca="false">HOUR(A1226)</f>
        <v>12</v>
      </c>
      <c r="F1226" s="0" t="n">
        <f aca="false">IF(C1226&gt;=6,0,1)</f>
        <v>1</v>
      </c>
      <c r="G1226" s="0" t="n">
        <f aca="false">VLOOKUP(E1226,Sheet1!$A$2:$B$25,2,0)</f>
        <v>1</v>
      </c>
    </row>
    <row r="1227" customFormat="false" ht="15" hidden="false" customHeight="false" outlineLevel="0" collapsed="false">
      <c r="A1227" s="13" t="n">
        <v>44587.5416666667</v>
      </c>
      <c r="B1227" s="12" t="n">
        <v>765.74</v>
      </c>
      <c r="C1227" s="0" t="n">
        <f aca="false">WEEKDAY(A1227,2)</f>
        <v>3</v>
      </c>
      <c r="D1227" s="0" t="n">
        <f aca="false">DAY(A1227)</f>
        <v>26</v>
      </c>
      <c r="E1227" s="0" t="n">
        <f aca="false">HOUR(A1227)</f>
        <v>13</v>
      </c>
      <c r="F1227" s="0" t="n">
        <f aca="false">IF(C1227&gt;=6,0,1)</f>
        <v>1</v>
      </c>
      <c r="G1227" s="0" t="n">
        <f aca="false">VLOOKUP(E1227,Sheet1!$A$2:$B$25,2,0)</f>
        <v>1</v>
      </c>
    </row>
    <row r="1228" customFormat="false" ht="15" hidden="false" customHeight="false" outlineLevel="0" collapsed="false">
      <c r="A1228" s="13" t="n">
        <v>44587.5625</v>
      </c>
      <c r="B1228" s="12" t="n">
        <v>783.721</v>
      </c>
      <c r="C1228" s="0" t="n">
        <f aca="false">WEEKDAY(A1228,2)</f>
        <v>3</v>
      </c>
      <c r="D1228" s="0" t="n">
        <f aca="false">DAY(A1228)</f>
        <v>26</v>
      </c>
      <c r="E1228" s="0" t="n">
        <f aca="false">HOUR(A1228)</f>
        <v>13</v>
      </c>
      <c r="F1228" s="0" t="n">
        <f aca="false">IF(C1228&gt;=6,0,1)</f>
        <v>1</v>
      </c>
      <c r="G1228" s="0" t="n">
        <f aca="false">VLOOKUP(E1228,Sheet1!$A$2:$B$25,2,0)</f>
        <v>1</v>
      </c>
    </row>
    <row r="1229" customFormat="false" ht="15" hidden="false" customHeight="false" outlineLevel="0" collapsed="false">
      <c r="A1229" s="13" t="n">
        <v>44587.5833333333</v>
      </c>
      <c r="B1229" s="12" t="n">
        <v>664.316</v>
      </c>
      <c r="C1229" s="0" t="n">
        <f aca="false">WEEKDAY(A1229,2)</f>
        <v>3</v>
      </c>
      <c r="D1229" s="0" t="n">
        <f aca="false">DAY(A1229)</f>
        <v>26</v>
      </c>
      <c r="E1229" s="0" t="n">
        <f aca="false">HOUR(A1229)</f>
        <v>14</v>
      </c>
      <c r="F1229" s="0" t="n">
        <f aca="false">IF(C1229&gt;=6,0,1)</f>
        <v>1</v>
      </c>
      <c r="G1229" s="0" t="n">
        <f aca="false">VLOOKUP(E1229,Sheet1!$A$2:$B$25,2,0)</f>
        <v>1</v>
      </c>
    </row>
    <row r="1230" customFormat="false" ht="15" hidden="false" customHeight="false" outlineLevel="0" collapsed="false">
      <c r="A1230" s="13" t="n">
        <v>44587.6041666667</v>
      </c>
      <c r="B1230" s="12" t="n">
        <v>583.196</v>
      </c>
      <c r="C1230" s="0" t="n">
        <f aca="false">WEEKDAY(A1230,2)</f>
        <v>3</v>
      </c>
      <c r="D1230" s="0" t="n">
        <f aca="false">DAY(A1230)</f>
        <v>26</v>
      </c>
      <c r="E1230" s="0" t="n">
        <f aca="false">HOUR(A1230)</f>
        <v>14</v>
      </c>
      <c r="F1230" s="0" t="n">
        <f aca="false">IF(C1230&gt;=6,0,1)</f>
        <v>1</v>
      </c>
      <c r="G1230" s="0" t="n">
        <f aca="false">VLOOKUP(E1230,Sheet1!$A$2:$B$25,2,0)</f>
        <v>1</v>
      </c>
    </row>
    <row r="1231" customFormat="false" ht="15" hidden="false" customHeight="false" outlineLevel="0" collapsed="false">
      <c r="A1231" s="13" t="n">
        <v>44587.625</v>
      </c>
      <c r="B1231" s="12" t="n">
        <v>558.265</v>
      </c>
      <c r="C1231" s="0" t="n">
        <f aca="false">WEEKDAY(A1231,2)</f>
        <v>3</v>
      </c>
      <c r="D1231" s="0" t="n">
        <f aca="false">DAY(A1231)</f>
        <v>26</v>
      </c>
      <c r="E1231" s="0" t="n">
        <f aca="false">HOUR(A1231)</f>
        <v>15</v>
      </c>
      <c r="F1231" s="0" t="n">
        <f aca="false">IF(C1231&gt;=6,0,1)</f>
        <v>1</v>
      </c>
      <c r="G1231" s="0" t="n">
        <f aca="false">VLOOKUP(E1231,Sheet1!$A$2:$B$25,2,0)</f>
        <v>1</v>
      </c>
    </row>
    <row r="1232" customFormat="false" ht="15" hidden="false" customHeight="false" outlineLevel="0" collapsed="false">
      <c r="A1232" s="13" t="n">
        <v>44587.6458333333</v>
      </c>
      <c r="B1232" s="12" t="n">
        <v>530.06</v>
      </c>
      <c r="C1232" s="0" t="n">
        <f aca="false">WEEKDAY(A1232,2)</f>
        <v>3</v>
      </c>
      <c r="D1232" s="0" t="n">
        <f aca="false">DAY(A1232)</f>
        <v>26</v>
      </c>
      <c r="E1232" s="0" t="n">
        <f aca="false">HOUR(A1232)</f>
        <v>15</v>
      </c>
      <c r="F1232" s="0" t="n">
        <f aca="false">IF(C1232&gt;=6,0,1)</f>
        <v>1</v>
      </c>
      <c r="G1232" s="0" t="n">
        <f aca="false">VLOOKUP(E1232,Sheet1!$A$2:$B$25,2,0)</f>
        <v>1</v>
      </c>
    </row>
    <row r="1233" customFormat="false" ht="15" hidden="false" customHeight="false" outlineLevel="0" collapsed="false">
      <c r="A1233" s="13" t="n">
        <v>44587.6666666667</v>
      </c>
      <c r="B1233" s="12" t="n">
        <v>489.356</v>
      </c>
      <c r="C1233" s="0" t="n">
        <f aca="false">WEEKDAY(A1233,2)</f>
        <v>3</v>
      </c>
      <c r="D1233" s="0" t="n">
        <f aca="false">DAY(A1233)</f>
        <v>26</v>
      </c>
      <c r="E1233" s="0" t="n">
        <f aca="false">HOUR(A1233)</f>
        <v>16</v>
      </c>
      <c r="F1233" s="0" t="n">
        <f aca="false">IF(C1233&gt;=6,0,1)</f>
        <v>1</v>
      </c>
      <c r="G1233" s="0" t="n">
        <f aca="false">VLOOKUP(E1233,Sheet1!$A$2:$B$25,2,0)</f>
        <v>0</v>
      </c>
    </row>
    <row r="1234" customFormat="false" ht="15" hidden="false" customHeight="false" outlineLevel="0" collapsed="false">
      <c r="A1234" s="13" t="n">
        <v>44587.6875</v>
      </c>
      <c r="B1234" s="12" t="n">
        <v>429.481</v>
      </c>
      <c r="C1234" s="0" t="n">
        <f aca="false">WEEKDAY(A1234,2)</f>
        <v>3</v>
      </c>
      <c r="D1234" s="0" t="n">
        <f aca="false">DAY(A1234)</f>
        <v>26</v>
      </c>
      <c r="E1234" s="0" t="n">
        <f aca="false">HOUR(A1234)</f>
        <v>16</v>
      </c>
      <c r="F1234" s="0" t="n">
        <f aca="false">IF(C1234&gt;=6,0,1)</f>
        <v>1</v>
      </c>
      <c r="G1234" s="0" t="n">
        <f aca="false">VLOOKUP(E1234,Sheet1!$A$2:$B$25,2,0)</f>
        <v>0</v>
      </c>
    </row>
    <row r="1235" customFormat="false" ht="15" hidden="false" customHeight="false" outlineLevel="0" collapsed="false">
      <c r="A1235" s="13" t="n">
        <v>44587.7083333333</v>
      </c>
      <c r="B1235" s="12" t="n">
        <v>434.78</v>
      </c>
      <c r="C1235" s="0" t="n">
        <f aca="false">WEEKDAY(A1235,2)</f>
        <v>3</v>
      </c>
      <c r="D1235" s="0" t="n">
        <f aca="false">DAY(A1235)</f>
        <v>26</v>
      </c>
      <c r="E1235" s="0" t="n">
        <f aca="false">HOUR(A1235)</f>
        <v>17</v>
      </c>
      <c r="F1235" s="0" t="n">
        <f aca="false">IF(C1235&gt;=6,0,1)</f>
        <v>1</v>
      </c>
      <c r="G1235" s="0" t="n">
        <f aca="false">VLOOKUP(E1235,Sheet1!$A$2:$B$25,2,0)</f>
        <v>0</v>
      </c>
    </row>
    <row r="1236" customFormat="false" ht="15" hidden="false" customHeight="false" outlineLevel="0" collapsed="false">
      <c r="A1236" s="13" t="n">
        <v>44587.7291666667</v>
      </c>
      <c r="B1236" s="12" t="n">
        <v>411.596</v>
      </c>
      <c r="C1236" s="0" t="n">
        <f aca="false">WEEKDAY(A1236,2)</f>
        <v>3</v>
      </c>
      <c r="D1236" s="0" t="n">
        <f aca="false">DAY(A1236)</f>
        <v>26</v>
      </c>
      <c r="E1236" s="0" t="n">
        <f aca="false">HOUR(A1236)</f>
        <v>17</v>
      </c>
      <c r="F1236" s="0" t="n">
        <f aca="false">IF(C1236&gt;=6,0,1)</f>
        <v>1</v>
      </c>
      <c r="G1236" s="0" t="n">
        <f aca="false">VLOOKUP(E1236,Sheet1!$A$2:$B$25,2,0)</f>
        <v>0</v>
      </c>
    </row>
    <row r="1237" customFormat="false" ht="15" hidden="false" customHeight="false" outlineLevel="0" collapsed="false">
      <c r="A1237" s="13" t="n">
        <v>44587.75</v>
      </c>
      <c r="B1237" s="12" t="n">
        <v>381.74</v>
      </c>
      <c r="C1237" s="0" t="n">
        <f aca="false">WEEKDAY(A1237,2)</f>
        <v>3</v>
      </c>
      <c r="D1237" s="0" t="n">
        <f aca="false">DAY(A1237)</f>
        <v>26</v>
      </c>
      <c r="E1237" s="0" t="n">
        <f aca="false">HOUR(A1237)</f>
        <v>18</v>
      </c>
      <c r="F1237" s="0" t="n">
        <f aca="false">IF(C1237&gt;=6,0,1)</f>
        <v>1</v>
      </c>
      <c r="G1237" s="0" t="n">
        <f aca="false">VLOOKUP(E1237,Sheet1!$A$2:$B$25,2,0)</f>
        <v>0</v>
      </c>
    </row>
    <row r="1238" customFormat="false" ht="15" hidden="false" customHeight="false" outlineLevel="0" collapsed="false">
      <c r="A1238" s="13" t="n">
        <v>44587.7708333333</v>
      </c>
      <c r="B1238" s="12" t="n">
        <v>378.74</v>
      </c>
      <c r="C1238" s="0" t="n">
        <f aca="false">WEEKDAY(A1238,2)</f>
        <v>3</v>
      </c>
      <c r="D1238" s="0" t="n">
        <f aca="false">DAY(A1238)</f>
        <v>26</v>
      </c>
      <c r="E1238" s="0" t="n">
        <f aca="false">HOUR(A1238)</f>
        <v>18</v>
      </c>
      <c r="F1238" s="0" t="n">
        <f aca="false">IF(C1238&gt;=6,0,1)</f>
        <v>1</v>
      </c>
      <c r="G1238" s="0" t="n">
        <f aca="false">VLOOKUP(E1238,Sheet1!$A$2:$B$25,2,0)</f>
        <v>0</v>
      </c>
    </row>
    <row r="1239" customFormat="false" ht="15" hidden="false" customHeight="false" outlineLevel="0" collapsed="false">
      <c r="A1239" s="13" t="n">
        <v>44587.7916666667</v>
      </c>
      <c r="B1239" s="12" t="n">
        <v>379.436</v>
      </c>
      <c r="C1239" s="0" t="n">
        <f aca="false">WEEKDAY(A1239,2)</f>
        <v>3</v>
      </c>
      <c r="D1239" s="0" t="n">
        <f aca="false">DAY(A1239)</f>
        <v>26</v>
      </c>
      <c r="E1239" s="0" t="n">
        <f aca="false">HOUR(A1239)</f>
        <v>19</v>
      </c>
      <c r="F1239" s="0" t="n">
        <f aca="false">IF(C1239&gt;=6,0,1)</f>
        <v>1</v>
      </c>
      <c r="G1239" s="0" t="n">
        <f aca="false">VLOOKUP(E1239,Sheet1!$A$2:$B$25,2,0)</f>
        <v>0</v>
      </c>
    </row>
    <row r="1240" customFormat="false" ht="15" hidden="false" customHeight="false" outlineLevel="0" collapsed="false">
      <c r="A1240" s="13" t="n">
        <v>44587.8125</v>
      </c>
      <c r="B1240" s="12" t="n">
        <v>369.985</v>
      </c>
      <c r="C1240" s="0" t="n">
        <f aca="false">WEEKDAY(A1240,2)</f>
        <v>3</v>
      </c>
      <c r="D1240" s="0" t="n">
        <f aca="false">DAY(A1240)</f>
        <v>26</v>
      </c>
      <c r="E1240" s="0" t="n">
        <f aca="false">HOUR(A1240)</f>
        <v>19</v>
      </c>
      <c r="F1240" s="0" t="n">
        <f aca="false">IF(C1240&gt;=6,0,1)</f>
        <v>1</v>
      </c>
      <c r="G1240" s="0" t="n">
        <f aca="false">VLOOKUP(E1240,Sheet1!$A$2:$B$25,2,0)</f>
        <v>0</v>
      </c>
    </row>
    <row r="1241" customFormat="false" ht="15" hidden="false" customHeight="false" outlineLevel="0" collapsed="false">
      <c r="A1241" s="13" t="n">
        <v>44587.8333333333</v>
      </c>
      <c r="B1241" s="12" t="n">
        <v>369.836</v>
      </c>
      <c r="C1241" s="0" t="n">
        <f aca="false">WEEKDAY(A1241,2)</f>
        <v>3</v>
      </c>
      <c r="D1241" s="0" t="n">
        <f aca="false">DAY(A1241)</f>
        <v>26</v>
      </c>
      <c r="E1241" s="0" t="n">
        <f aca="false">HOUR(A1241)</f>
        <v>20</v>
      </c>
      <c r="F1241" s="0" t="n">
        <f aca="false">IF(C1241&gt;=6,0,1)</f>
        <v>1</v>
      </c>
      <c r="G1241" s="0" t="n">
        <f aca="false">VLOOKUP(E1241,Sheet1!$A$2:$B$25,2,0)</f>
        <v>0</v>
      </c>
    </row>
    <row r="1242" customFormat="false" ht="15" hidden="false" customHeight="false" outlineLevel="0" collapsed="false">
      <c r="A1242" s="13" t="n">
        <v>44587.8541666667</v>
      </c>
      <c r="B1242" s="12" t="n">
        <v>363.836</v>
      </c>
      <c r="C1242" s="0" t="n">
        <f aca="false">WEEKDAY(A1242,2)</f>
        <v>3</v>
      </c>
      <c r="D1242" s="0" t="n">
        <f aca="false">DAY(A1242)</f>
        <v>26</v>
      </c>
      <c r="E1242" s="0" t="n">
        <f aca="false">HOUR(A1242)</f>
        <v>20</v>
      </c>
      <c r="F1242" s="0" t="n">
        <f aca="false">IF(C1242&gt;=6,0,1)</f>
        <v>1</v>
      </c>
      <c r="G1242" s="0" t="n">
        <f aca="false">VLOOKUP(E1242,Sheet1!$A$2:$B$25,2,0)</f>
        <v>0</v>
      </c>
    </row>
    <row r="1243" customFormat="false" ht="15" hidden="false" customHeight="false" outlineLevel="0" collapsed="false">
      <c r="A1243" s="13" t="n">
        <v>44587.875</v>
      </c>
      <c r="B1243" s="12" t="n">
        <v>362.396</v>
      </c>
      <c r="C1243" s="0" t="n">
        <f aca="false">WEEKDAY(A1243,2)</f>
        <v>3</v>
      </c>
      <c r="D1243" s="0" t="n">
        <f aca="false">DAY(A1243)</f>
        <v>26</v>
      </c>
      <c r="E1243" s="0" t="n">
        <f aca="false">HOUR(A1243)</f>
        <v>21</v>
      </c>
      <c r="F1243" s="0" t="n">
        <f aca="false">IF(C1243&gt;=6,0,1)</f>
        <v>1</v>
      </c>
      <c r="G1243" s="0" t="n">
        <f aca="false">VLOOKUP(E1243,Sheet1!$A$2:$B$25,2,0)</f>
        <v>0</v>
      </c>
    </row>
    <row r="1244" customFormat="false" ht="15" hidden="false" customHeight="false" outlineLevel="0" collapsed="false">
      <c r="A1244" s="13" t="n">
        <v>44587.8958333333</v>
      </c>
      <c r="B1244" s="12" t="n">
        <v>349.076</v>
      </c>
      <c r="C1244" s="0" t="n">
        <f aca="false">WEEKDAY(A1244,2)</f>
        <v>3</v>
      </c>
      <c r="D1244" s="0" t="n">
        <f aca="false">DAY(A1244)</f>
        <v>26</v>
      </c>
      <c r="E1244" s="0" t="n">
        <f aca="false">HOUR(A1244)</f>
        <v>21</v>
      </c>
      <c r="F1244" s="0" t="n">
        <f aca="false">IF(C1244&gt;=6,0,1)</f>
        <v>1</v>
      </c>
      <c r="G1244" s="0" t="n">
        <f aca="false">VLOOKUP(E1244,Sheet1!$A$2:$B$25,2,0)</f>
        <v>0</v>
      </c>
    </row>
    <row r="1245" customFormat="false" ht="15" hidden="false" customHeight="false" outlineLevel="0" collapsed="false">
      <c r="A1245" s="13" t="n">
        <v>44587.9166666667</v>
      </c>
      <c r="B1245" s="12" t="n">
        <v>359.881</v>
      </c>
      <c r="C1245" s="0" t="n">
        <f aca="false">WEEKDAY(A1245,2)</f>
        <v>3</v>
      </c>
      <c r="D1245" s="0" t="n">
        <f aca="false">DAY(A1245)</f>
        <v>26</v>
      </c>
      <c r="E1245" s="0" t="n">
        <f aca="false">HOUR(A1245)</f>
        <v>22</v>
      </c>
      <c r="F1245" s="0" t="n">
        <f aca="false">IF(C1245&gt;=6,0,1)</f>
        <v>1</v>
      </c>
      <c r="G1245" s="0" t="n">
        <f aca="false">VLOOKUP(E1245,Sheet1!$A$2:$B$25,2,0)</f>
        <v>0</v>
      </c>
    </row>
    <row r="1246" customFormat="false" ht="15" hidden="false" customHeight="false" outlineLevel="0" collapsed="false">
      <c r="A1246" s="13" t="n">
        <v>44587.9375</v>
      </c>
      <c r="B1246" s="12" t="n">
        <v>348.716</v>
      </c>
      <c r="C1246" s="0" t="n">
        <f aca="false">WEEKDAY(A1246,2)</f>
        <v>3</v>
      </c>
      <c r="D1246" s="0" t="n">
        <f aca="false">DAY(A1246)</f>
        <v>26</v>
      </c>
      <c r="E1246" s="0" t="n">
        <f aca="false">HOUR(A1246)</f>
        <v>22</v>
      </c>
      <c r="F1246" s="0" t="n">
        <f aca="false">IF(C1246&gt;=6,0,1)</f>
        <v>1</v>
      </c>
      <c r="G1246" s="0" t="n">
        <f aca="false">VLOOKUP(E1246,Sheet1!$A$2:$B$25,2,0)</f>
        <v>0</v>
      </c>
    </row>
    <row r="1247" customFormat="false" ht="15" hidden="false" customHeight="false" outlineLevel="0" collapsed="false">
      <c r="A1247" s="13" t="n">
        <v>44587.9583333333</v>
      </c>
      <c r="B1247" s="12" t="n">
        <v>346.076</v>
      </c>
      <c r="C1247" s="0" t="n">
        <f aca="false">WEEKDAY(A1247,2)</f>
        <v>3</v>
      </c>
      <c r="D1247" s="0" t="n">
        <f aca="false">DAY(A1247)</f>
        <v>26</v>
      </c>
      <c r="E1247" s="0" t="n">
        <f aca="false">HOUR(A1247)</f>
        <v>23</v>
      </c>
      <c r="F1247" s="0" t="n">
        <f aca="false">IF(C1247&gt;=6,0,1)</f>
        <v>1</v>
      </c>
      <c r="G1247" s="0" t="n">
        <f aca="false">VLOOKUP(E1247,Sheet1!$A$2:$B$25,2,0)</f>
        <v>0</v>
      </c>
    </row>
    <row r="1248" customFormat="false" ht="15" hidden="false" customHeight="false" outlineLevel="0" collapsed="false">
      <c r="A1248" s="13" t="n">
        <v>44587.9791666667</v>
      </c>
      <c r="B1248" s="12" t="n">
        <v>342.505</v>
      </c>
      <c r="C1248" s="0" t="n">
        <f aca="false">WEEKDAY(A1248,2)</f>
        <v>3</v>
      </c>
      <c r="D1248" s="0" t="n">
        <f aca="false">DAY(A1248)</f>
        <v>26</v>
      </c>
      <c r="E1248" s="0" t="n">
        <f aca="false">HOUR(A1248)</f>
        <v>23</v>
      </c>
      <c r="F1248" s="0" t="n">
        <f aca="false">IF(C1248&gt;=6,0,1)</f>
        <v>1</v>
      </c>
      <c r="G1248" s="0" t="n">
        <f aca="false">VLOOKUP(E1248,Sheet1!$A$2:$B$25,2,0)</f>
        <v>0</v>
      </c>
    </row>
    <row r="1249" customFormat="false" ht="15" hidden="false" customHeight="false" outlineLevel="0" collapsed="false">
      <c r="A1249" s="13" t="n">
        <v>44588</v>
      </c>
      <c r="B1249" s="12" t="n">
        <v>336.236</v>
      </c>
      <c r="C1249" s="0" t="n">
        <f aca="false">WEEKDAY(A1249,2)</f>
        <v>4</v>
      </c>
      <c r="D1249" s="0" t="n">
        <f aca="false">DAY(A1249)</f>
        <v>27</v>
      </c>
      <c r="E1249" s="0" t="n">
        <f aca="false">HOUR(A1249)</f>
        <v>0</v>
      </c>
      <c r="F1249" s="0" t="n">
        <f aca="false">IF(C1249&gt;=6,0,1)</f>
        <v>1</v>
      </c>
      <c r="G1249" s="0" t="n">
        <f aca="false">VLOOKUP(E1249,Sheet1!$A$2:$B$25,2,0)</f>
        <v>0</v>
      </c>
    </row>
    <row r="1250" customFormat="false" ht="15" hidden="false" customHeight="false" outlineLevel="0" collapsed="false">
      <c r="A1250" s="13" t="n">
        <v>44588.0208333333</v>
      </c>
      <c r="B1250" s="12" t="n">
        <v>335.996</v>
      </c>
      <c r="C1250" s="0" t="n">
        <f aca="false">WEEKDAY(A1250,2)</f>
        <v>4</v>
      </c>
      <c r="D1250" s="0" t="n">
        <f aca="false">DAY(A1250)</f>
        <v>27</v>
      </c>
      <c r="E1250" s="0" t="n">
        <f aca="false">HOUR(A1250)</f>
        <v>0</v>
      </c>
      <c r="F1250" s="0" t="n">
        <f aca="false">IF(C1250&gt;=6,0,1)</f>
        <v>1</v>
      </c>
      <c r="G1250" s="0" t="n">
        <f aca="false">VLOOKUP(E1250,Sheet1!$A$2:$B$25,2,0)</f>
        <v>0</v>
      </c>
    </row>
    <row r="1251" customFormat="false" ht="15" hidden="false" customHeight="false" outlineLevel="0" collapsed="false">
      <c r="A1251" s="13" t="n">
        <v>44588.0416666667</v>
      </c>
      <c r="B1251" s="12" t="n">
        <v>334.316</v>
      </c>
      <c r="C1251" s="0" t="n">
        <f aca="false">WEEKDAY(A1251,2)</f>
        <v>4</v>
      </c>
      <c r="D1251" s="0" t="n">
        <f aca="false">DAY(A1251)</f>
        <v>27</v>
      </c>
      <c r="E1251" s="0" t="n">
        <f aca="false">HOUR(A1251)</f>
        <v>1</v>
      </c>
      <c r="F1251" s="0" t="n">
        <f aca="false">IF(C1251&gt;=6,0,1)</f>
        <v>1</v>
      </c>
      <c r="G1251" s="0" t="n">
        <f aca="false">VLOOKUP(E1251,Sheet1!$A$2:$B$25,2,0)</f>
        <v>0</v>
      </c>
    </row>
    <row r="1252" customFormat="false" ht="15" hidden="false" customHeight="false" outlineLevel="0" collapsed="false">
      <c r="A1252" s="13" t="n">
        <v>44588.0625</v>
      </c>
      <c r="B1252" s="12" t="n">
        <v>335.9</v>
      </c>
      <c r="C1252" s="0" t="n">
        <f aca="false">WEEKDAY(A1252,2)</f>
        <v>4</v>
      </c>
      <c r="D1252" s="0" t="n">
        <f aca="false">DAY(A1252)</f>
        <v>27</v>
      </c>
      <c r="E1252" s="0" t="n">
        <f aca="false">HOUR(A1252)</f>
        <v>1</v>
      </c>
      <c r="F1252" s="0" t="n">
        <f aca="false">IF(C1252&gt;=6,0,1)</f>
        <v>1</v>
      </c>
      <c r="G1252" s="0" t="n">
        <f aca="false">VLOOKUP(E1252,Sheet1!$A$2:$B$25,2,0)</f>
        <v>0</v>
      </c>
    </row>
    <row r="1253" customFormat="false" ht="15" hidden="false" customHeight="false" outlineLevel="0" collapsed="false">
      <c r="A1253" s="13" t="n">
        <v>44588.0833333333</v>
      </c>
      <c r="B1253" s="12" t="n">
        <v>333.74</v>
      </c>
      <c r="C1253" s="0" t="n">
        <f aca="false">WEEKDAY(A1253,2)</f>
        <v>4</v>
      </c>
      <c r="D1253" s="0" t="n">
        <f aca="false">DAY(A1253)</f>
        <v>27</v>
      </c>
      <c r="E1253" s="0" t="n">
        <f aca="false">HOUR(A1253)</f>
        <v>2</v>
      </c>
      <c r="F1253" s="0" t="n">
        <f aca="false">IF(C1253&gt;=6,0,1)</f>
        <v>1</v>
      </c>
      <c r="G1253" s="0" t="n">
        <f aca="false">VLOOKUP(E1253,Sheet1!$A$2:$B$25,2,0)</f>
        <v>0</v>
      </c>
    </row>
    <row r="1254" customFormat="false" ht="15" hidden="false" customHeight="false" outlineLevel="0" collapsed="false">
      <c r="A1254" s="13" t="n">
        <v>44588.1041666667</v>
      </c>
      <c r="B1254" s="12" t="n">
        <v>339.121</v>
      </c>
      <c r="C1254" s="0" t="n">
        <f aca="false">WEEKDAY(A1254,2)</f>
        <v>4</v>
      </c>
      <c r="D1254" s="0" t="n">
        <f aca="false">DAY(A1254)</f>
        <v>27</v>
      </c>
      <c r="E1254" s="0" t="n">
        <f aca="false">HOUR(A1254)</f>
        <v>2</v>
      </c>
      <c r="F1254" s="0" t="n">
        <f aca="false">IF(C1254&gt;=6,0,1)</f>
        <v>1</v>
      </c>
      <c r="G1254" s="0" t="n">
        <f aca="false">VLOOKUP(E1254,Sheet1!$A$2:$B$25,2,0)</f>
        <v>0</v>
      </c>
    </row>
    <row r="1255" customFormat="false" ht="15" hidden="false" customHeight="false" outlineLevel="0" collapsed="false">
      <c r="A1255" s="13" t="n">
        <v>44588.125</v>
      </c>
      <c r="B1255" s="12" t="n">
        <v>336.356</v>
      </c>
      <c r="C1255" s="0" t="n">
        <f aca="false">WEEKDAY(A1255,2)</f>
        <v>4</v>
      </c>
      <c r="D1255" s="0" t="n">
        <f aca="false">DAY(A1255)</f>
        <v>27</v>
      </c>
      <c r="E1255" s="0" t="n">
        <f aca="false">HOUR(A1255)</f>
        <v>3</v>
      </c>
      <c r="F1255" s="0" t="n">
        <f aca="false">IF(C1255&gt;=6,0,1)</f>
        <v>1</v>
      </c>
      <c r="G1255" s="0" t="n">
        <f aca="false">VLOOKUP(E1255,Sheet1!$A$2:$B$25,2,0)</f>
        <v>0</v>
      </c>
    </row>
    <row r="1256" customFormat="false" ht="15" hidden="false" customHeight="false" outlineLevel="0" collapsed="false">
      <c r="A1256" s="13" t="n">
        <v>44588.1458333333</v>
      </c>
      <c r="B1256" s="12" t="n">
        <v>335.06</v>
      </c>
      <c r="C1256" s="0" t="n">
        <f aca="false">WEEKDAY(A1256,2)</f>
        <v>4</v>
      </c>
      <c r="D1256" s="0" t="n">
        <f aca="false">DAY(A1256)</f>
        <v>27</v>
      </c>
      <c r="E1256" s="0" t="n">
        <f aca="false">HOUR(A1256)</f>
        <v>3</v>
      </c>
      <c r="F1256" s="0" t="n">
        <f aca="false">IF(C1256&gt;=6,0,1)</f>
        <v>1</v>
      </c>
      <c r="G1256" s="0" t="n">
        <f aca="false">VLOOKUP(E1256,Sheet1!$A$2:$B$25,2,0)</f>
        <v>0</v>
      </c>
    </row>
    <row r="1257" customFormat="false" ht="15" hidden="false" customHeight="false" outlineLevel="0" collapsed="false">
      <c r="A1257" s="13" t="n">
        <v>44588.1666666667</v>
      </c>
      <c r="B1257" s="12" t="n">
        <v>341.065</v>
      </c>
      <c r="C1257" s="0" t="n">
        <f aca="false">WEEKDAY(A1257,2)</f>
        <v>4</v>
      </c>
      <c r="D1257" s="0" t="n">
        <f aca="false">DAY(A1257)</f>
        <v>27</v>
      </c>
      <c r="E1257" s="0" t="n">
        <f aca="false">HOUR(A1257)</f>
        <v>4</v>
      </c>
      <c r="F1257" s="0" t="n">
        <f aca="false">IF(C1257&gt;=6,0,1)</f>
        <v>1</v>
      </c>
      <c r="G1257" s="0" t="n">
        <f aca="false">VLOOKUP(E1257,Sheet1!$A$2:$B$25,2,0)</f>
        <v>1</v>
      </c>
    </row>
    <row r="1258" customFormat="false" ht="15" hidden="false" customHeight="false" outlineLevel="0" collapsed="false">
      <c r="A1258" s="13" t="n">
        <v>44588.1875</v>
      </c>
      <c r="B1258" s="12" t="n">
        <v>758.156</v>
      </c>
      <c r="C1258" s="0" t="n">
        <f aca="false">WEEKDAY(A1258,2)</f>
        <v>4</v>
      </c>
      <c r="D1258" s="0" t="n">
        <f aca="false">DAY(A1258)</f>
        <v>27</v>
      </c>
      <c r="E1258" s="0" t="n">
        <f aca="false">HOUR(A1258)</f>
        <v>4</v>
      </c>
      <c r="F1258" s="0" t="n">
        <f aca="false">IF(C1258&gt;=6,0,1)</f>
        <v>1</v>
      </c>
      <c r="G1258" s="0" t="n">
        <f aca="false">VLOOKUP(E1258,Sheet1!$A$2:$B$25,2,0)</f>
        <v>1</v>
      </c>
    </row>
    <row r="1259" customFormat="false" ht="15" hidden="false" customHeight="false" outlineLevel="0" collapsed="false">
      <c r="A1259" s="13" t="n">
        <v>44588.2083333333</v>
      </c>
      <c r="B1259" s="12" t="n">
        <v>860.396</v>
      </c>
      <c r="C1259" s="0" t="n">
        <f aca="false">WEEKDAY(A1259,2)</f>
        <v>4</v>
      </c>
      <c r="D1259" s="0" t="n">
        <f aca="false">DAY(A1259)</f>
        <v>27</v>
      </c>
      <c r="E1259" s="0" t="n">
        <f aca="false">HOUR(A1259)</f>
        <v>5</v>
      </c>
      <c r="F1259" s="0" t="n">
        <f aca="false">IF(C1259&gt;=6,0,1)</f>
        <v>1</v>
      </c>
      <c r="G1259" s="0" t="n">
        <f aca="false">VLOOKUP(E1259,Sheet1!$A$2:$B$25,2,0)</f>
        <v>1</v>
      </c>
    </row>
    <row r="1260" customFormat="false" ht="15" hidden="false" customHeight="false" outlineLevel="0" collapsed="false">
      <c r="A1260" s="13" t="n">
        <v>44588.2291666667</v>
      </c>
      <c r="B1260" s="12" t="n">
        <v>758.636</v>
      </c>
      <c r="C1260" s="0" t="n">
        <f aca="false">WEEKDAY(A1260,2)</f>
        <v>4</v>
      </c>
      <c r="D1260" s="0" t="n">
        <f aca="false">DAY(A1260)</f>
        <v>27</v>
      </c>
      <c r="E1260" s="0" t="n">
        <f aca="false">HOUR(A1260)</f>
        <v>5</v>
      </c>
      <c r="F1260" s="0" t="n">
        <f aca="false">IF(C1260&gt;=6,0,1)</f>
        <v>1</v>
      </c>
      <c r="G1260" s="0" t="n">
        <f aca="false">VLOOKUP(E1260,Sheet1!$A$2:$B$25,2,0)</f>
        <v>1</v>
      </c>
    </row>
    <row r="1261" customFormat="false" ht="15" hidden="false" customHeight="false" outlineLevel="0" collapsed="false">
      <c r="A1261" s="13" t="n">
        <v>44588.25</v>
      </c>
      <c r="B1261" s="12" t="n">
        <v>817.076</v>
      </c>
      <c r="C1261" s="0" t="n">
        <f aca="false">WEEKDAY(A1261,2)</f>
        <v>4</v>
      </c>
      <c r="D1261" s="0" t="n">
        <f aca="false">DAY(A1261)</f>
        <v>27</v>
      </c>
      <c r="E1261" s="0" t="n">
        <f aca="false">HOUR(A1261)</f>
        <v>6</v>
      </c>
      <c r="F1261" s="0" t="n">
        <f aca="false">IF(C1261&gt;=6,0,1)</f>
        <v>1</v>
      </c>
      <c r="G1261" s="0" t="n">
        <f aca="false">VLOOKUP(E1261,Sheet1!$A$2:$B$25,2,0)</f>
        <v>1</v>
      </c>
    </row>
    <row r="1262" customFormat="false" ht="15" hidden="false" customHeight="false" outlineLevel="0" collapsed="false">
      <c r="A1262" s="13" t="n">
        <v>44588.2708333333</v>
      </c>
      <c r="B1262" s="12" t="n">
        <v>938.545</v>
      </c>
      <c r="C1262" s="0" t="n">
        <f aca="false">WEEKDAY(A1262,2)</f>
        <v>4</v>
      </c>
      <c r="D1262" s="0" t="n">
        <f aca="false">DAY(A1262)</f>
        <v>27</v>
      </c>
      <c r="E1262" s="0" t="n">
        <f aca="false">HOUR(A1262)</f>
        <v>6</v>
      </c>
      <c r="F1262" s="0" t="n">
        <f aca="false">IF(C1262&gt;=6,0,1)</f>
        <v>1</v>
      </c>
      <c r="G1262" s="0" t="n">
        <f aca="false">VLOOKUP(E1262,Sheet1!$A$2:$B$25,2,0)</f>
        <v>1</v>
      </c>
    </row>
    <row r="1263" customFormat="false" ht="15" hidden="false" customHeight="false" outlineLevel="0" collapsed="false">
      <c r="A1263" s="13" t="n">
        <v>44588.2916666667</v>
      </c>
      <c r="B1263" s="12" t="n">
        <v>963.02</v>
      </c>
      <c r="C1263" s="0" t="n">
        <f aca="false">WEEKDAY(A1263,2)</f>
        <v>4</v>
      </c>
      <c r="D1263" s="0" t="n">
        <f aca="false">DAY(A1263)</f>
        <v>27</v>
      </c>
      <c r="E1263" s="0" t="n">
        <f aca="false">HOUR(A1263)</f>
        <v>7</v>
      </c>
      <c r="F1263" s="0" t="n">
        <f aca="false">IF(C1263&gt;=6,0,1)</f>
        <v>1</v>
      </c>
      <c r="G1263" s="0" t="n">
        <f aca="false">VLOOKUP(E1263,Sheet1!$A$2:$B$25,2,0)</f>
        <v>1</v>
      </c>
    </row>
    <row r="1264" customFormat="false" ht="15" hidden="false" customHeight="false" outlineLevel="0" collapsed="false">
      <c r="A1264" s="13" t="n">
        <v>44588.3125</v>
      </c>
      <c r="B1264" s="12" t="n">
        <v>936.38</v>
      </c>
      <c r="C1264" s="0" t="n">
        <f aca="false">WEEKDAY(A1264,2)</f>
        <v>4</v>
      </c>
      <c r="D1264" s="0" t="n">
        <f aca="false">DAY(A1264)</f>
        <v>27</v>
      </c>
      <c r="E1264" s="0" t="n">
        <f aca="false">HOUR(A1264)</f>
        <v>7</v>
      </c>
      <c r="F1264" s="0" t="n">
        <f aca="false">IF(C1264&gt;=6,0,1)</f>
        <v>1</v>
      </c>
      <c r="G1264" s="0" t="n">
        <f aca="false">VLOOKUP(E1264,Sheet1!$A$2:$B$25,2,0)</f>
        <v>1</v>
      </c>
    </row>
    <row r="1265" customFormat="false" ht="15" hidden="false" customHeight="false" outlineLevel="0" collapsed="false">
      <c r="A1265" s="13" t="n">
        <v>44588.3333333333</v>
      </c>
      <c r="B1265" s="12" t="n">
        <v>915.841</v>
      </c>
      <c r="C1265" s="0" t="n">
        <f aca="false">WEEKDAY(A1265,2)</f>
        <v>4</v>
      </c>
      <c r="D1265" s="0" t="n">
        <f aca="false">DAY(A1265)</f>
        <v>27</v>
      </c>
      <c r="E1265" s="0" t="n">
        <f aca="false">HOUR(A1265)</f>
        <v>8</v>
      </c>
      <c r="F1265" s="0" t="n">
        <f aca="false">IF(C1265&gt;=6,0,1)</f>
        <v>1</v>
      </c>
      <c r="G1265" s="0" t="n">
        <f aca="false">VLOOKUP(E1265,Sheet1!$A$2:$B$25,2,0)</f>
        <v>1</v>
      </c>
    </row>
    <row r="1266" customFormat="false" ht="15" hidden="false" customHeight="false" outlineLevel="0" collapsed="false">
      <c r="A1266" s="13" t="n">
        <v>44588.3541666667</v>
      </c>
      <c r="B1266" s="12" t="n">
        <v>886.22</v>
      </c>
      <c r="C1266" s="0" t="n">
        <f aca="false">WEEKDAY(A1266,2)</f>
        <v>4</v>
      </c>
      <c r="D1266" s="0" t="n">
        <f aca="false">DAY(A1266)</f>
        <v>27</v>
      </c>
      <c r="E1266" s="0" t="n">
        <f aca="false">HOUR(A1266)</f>
        <v>8</v>
      </c>
      <c r="F1266" s="0" t="n">
        <f aca="false">IF(C1266&gt;=6,0,1)</f>
        <v>1</v>
      </c>
      <c r="G1266" s="0" t="n">
        <f aca="false">VLOOKUP(E1266,Sheet1!$A$2:$B$25,2,0)</f>
        <v>1</v>
      </c>
    </row>
    <row r="1267" customFormat="false" ht="15" hidden="false" customHeight="false" outlineLevel="0" collapsed="false">
      <c r="A1267" s="13" t="n">
        <v>44588.375</v>
      </c>
      <c r="B1267" s="12" t="n">
        <v>1010.66</v>
      </c>
      <c r="C1267" s="0" t="n">
        <f aca="false">WEEKDAY(A1267,2)</f>
        <v>4</v>
      </c>
      <c r="D1267" s="0" t="n">
        <f aca="false">DAY(A1267)</f>
        <v>27</v>
      </c>
      <c r="E1267" s="0" t="n">
        <f aca="false">HOUR(A1267)</f>
        <v>9</v>
      </c>
      <c r="F1267" s="0" t="n">
        <f aca="false">IF(C1267&gt;=6,0,1)</f>
        <v>1</v>
      </c>
      <c r="G1267" s="0" t="n">
        <f aca="false">VLOOKUP(E1267,Sheet1!$A$2:$B$25,2,0)</f>
        <v>1</v>
      </c>
    </row>
    <row r="1268" customFormat="false" ht="15" hidden="false" customHeight="false" outlineLevel="0" collapsed="false">
      <c r="A1268" s="13" t="n">
        <v>44588.3958333333</v>
      </c>
      <c r="B1268" s="12" t="n">
        <v>1030.1</v>
      </c>
      <c r="C1268" s="0" t="n">
        <f aca="false">WEEKDAY(A1268,2)</f>
        <v>4</v>
      </c>
      <c r="D1268" s="0" t="n">
        <f aca="false">DAY(A1268)</f>
        <v>27</v>
      </c>
      <c r="E1268" s="0" t="n">
        <f aca="false">HOUR(A1268)</f>
        <v>9</v>
      </c>
      <c r="F1268" s="0" t="n">
        <f aca="false">IF(C1268&gt;=6,0,1)</f>
        <v>1</v>
      </c>
      <c r="G1268" s="0" t="n">
        <f aca="false">VLOOKUP(E1268,Sheet1!$A$2:$B$25,2,0)</f>
        <v>1</v>
      </c>
    </row>
    <row r="1269" customFormat="false" ht="15" hidden="false" customHeight="false" outlineLevel="0" collapsed="false">
      <c r="A1269" s="13" t="n">
        <v>44588.4166666667</v>
      </c>
      <c r="B1269" s="12" t="n">
        <v>1031.425</v>
      </c>
      <c r="C1269" s="0" t="n">
        <f aca="false">WEEKDAY(A1269,2)</f>
        <v>4</v>
      </c>
      <c r="D1269" s="0" t="n">
        <f aca="false">DAY(A1269)</f>
        <v>27</v>
      </c>
      <c r="E1269" s="0" t="n">
        <f aca="false">HOUR(A1269)</f>
        <v>10</v>
      </c>
      <c r="F1269" s="0" t="n">
        <f aca="false">IF(C1269&gt;=6,0,1)</f>
        <v>1</v>
      </c>
      <c r="G1269" s="0" t="n">
        <f aca="false">VLOOKUP(E1269,Sheet1!$A$2:$B$25,2,0)</f>
        <v>1</v>
      </c>
    </row>
    <row r="1270" customFormat="false" ht="15" hidden="false" customHeight="false" outlineLevel="0" collapsed="false">
      <c r="A1270" s="13" t="n">
        <v>44588.4375</v>
      </c>
      <c r="B1270" s="12" t="n">
        <v>1002.38</v>
      </c>
      <c r="C1270" s="0" t="n">
        <f aca="false">WEEKDAY(A1270,2)</f>
        <v>4</v>
      </c>
      <c r="D1270" s="0" t="n">
        <f aca="false">DAY(A1270)</f>
        <v>27</v>
      </c>
      <c r="E1270" s="0" t="n">
        <f aca="false">HOUR(A1270)</f>
        <v>10</v>
      </c>
      <c r="F1270" s="0" t="n">
        <f aca="false">IF(C1270&gt;=6,0,1)</f>
        <v>1</v>
      </c>
      <c r="G1270" s="0" t="n">
        <f aca="false">VLOOKUP(E1270,Sheet1!$A$2:$B$25,2,0)</f>
        <v>1</v>
      </c>
    </row>
    <row r="1271" customFormat="false" ht="15" hidden="false" customHeight="false" outlineLevel="0" collapsed="false">
      <c r="A1271" s="13" t="n">
        <v>44588.4583333333</v>
      </c>
      <c r="B1271" s="12" t="n">
        <v>966.836</v>
      </c>
      <c r="C1271" s="0" t="n">
        <f aca="false">WEEKDAY(A1271,2)</f>
        <v>4</v>
      </c>
      <c r="D1271" s="0" t="n">
        <f aca="false">DAY(A1271)</f>
        <v>27</v>
      </c>
      <c r="E1271" s="0" t="n">
        <f aca="false">HOUR(A1271)</f>
        <v>11</v>
      </c>
      <c r="F1271" s="0" t="n">
        <f aca="false">IF(C1271&gt;=6,0,1)</f>
        <v>1</v>
      </c>
      <c r="G1271" s="0" t="n">
        <f aca="false">VLOOKUP(E1271,Sheet1!$A$2:$B$25,2,0)</f>
        <v>1</v>
      </c>
    </row>
    <row r="1272" customFormat="false" ht="15" hidden="false" customHeight="false" outlineLevel="0" collapsed="false">
      <c r="A1272" s="13" t="n">
        <v>44588.4791666667</v>
      </c>
      <c r="B1272" s="12" t="n">
        <v>977.396</v>
      </c>
      <c r="C1272" s="0" t="n">
        <f aca="false">WEEKDAY(A1272,2)</f>
        <v>4</v>
      </c>
      <c r="D1272" s="0" t="n">
        <f aca="false">DAY(A1272)</f>
        <v>27</v>
      </c>
      <c r="E1272" s="0" t="n">
        <f aca="false">HOUR(A1272)</f>
        <v>11</v>
      </c>
      <c r="F1272" s="0" t="n">
        <f aca="false">IF(C1272&gt;=6,0,1)</f>
        <v>1</v>
      </c>
      <c r="G1272" s="0" t="n">
        <f aca="false">VLOOKUP(E1272,Sheet1!$A$2:$B$25,2,0)</f>
        <v>1</v>
      </c>
    </row>
    <row r="1273" customFormat="false" ht="15" hidden="false" customHeight="false" outlineLevel="0" collapsed="false">
      <c r="A1273" s="13" t="n">
        <v>44588.5</v>
      </c>
      <c r="B1273" s="12" t="n">
        <v>951.865</v>
      </c>
      <c r="C1273" s="0" t="n">
        <f aca="false">WEEKDAY(A1273,2)</f>
        <v>4</v>
      </c>
      <c r="D1273" s="0" t="n">
        <f aca="false">DAY(A1273)</f>
        <v>27</v>
      </c>
      <c r="E1273" s="0" t="n">
        <f aca="false">HOUR(A1273)</f>
        <v>12</v>
      </c>
      <c r="F1273" s="0" t="n">
        <f aca="false">IF(C1273&gt;=6,0,1)</f>
        <v>1</v>
      </c>
      <c r="G1273" s="0" t="n">
        <f aca="false">VLOOKUP(E1273,Sheet1!$A$2:$B$25,2,0)</f>
        <v>1</v>
      </c>
    </row>
    <row r="1274" customFormat="false" ht="15" hidden="false" customHeight="false" outlineLevel="0" collapsed="false">
      <c r="A1274" s="13" t="n">
        <v>44588.5208333333</v>
      </c>
      <c r="B1274" s="12" t="n">
        <v>874.556</v>
      </c>
      <c r="C1274" s="0" t="n">
        <f aca="false">WEEKDAY(A1274,2)</f>
        <v>4</v>
      </c>
      <c r="D1274" s="0" t="n">
        <f aca="false">DAY(A1274)</f>
        <v>27</v>
      </c>
      <c r="E1274" s="0" t="n">
        <f aca="false">HOUR(A1274)</f>
        <v>12</v>
      </c>
      <c r="F1274" s="0" t="n">
        <f aca="false">IF(C1274&gt;=6,0,1)</f>
        <v>1</v>
      </c>
      <c r="G1274" s="0" t="n">
        <f aca="false">VLOOKUP(E1274,Sheet1!$A$2:$B$25,2,0)</f>
        <v>1</v>
      </c>
    </row>
    <row r="1275" customFormat="false" ht="15" hidden="false" customHeight="false" outlineLevel="0" collapsed="false">
      <c r="A1275" s="13" t="n">
        <v>44588.5416666667</v>
      </c>
      <c r="B1275" s="12" t="n">
        <v>861.721</v>
      </c>
      <c r="C1275" s="0" t="n">
        <f aca="false">WEEKDAY(A1275,2)</f>
        <v>4</v>
      </c>
      <c r="D1275" s="0" t="n">
        <f aca="false">DAY(A1275)</f>
        <v>27</v>
      </c>
      <c r="E1275" s="0" t="n">
        <f aca="false">HOUR(A1275)</f>
        <v>13</v>
      </c>
      <c r="F1275" s="0" t="n">
        <f aca="false">IF(C1275&gt;=6,0,1)</f>
        <v>1</v>
      </c>
      <c r="G1275" s="0" t="n">
        <f aca="false">VLOOKUP(E1275,Sheet1!$A$2:$B$25,2,0)</f>
        <v>1</v>
      </c>
    </row>
    <row r="1276" customFormat="false" ht="15" hidden="false" customHeight="false" outlineLevel="0" collapsed="false">
      <c r="A1276" s="13" t="n">
        <v>44588.5625</v>
      </c>
      <c r="B1276" s="12" t="n">
        <v>850.345</v>
      </c>
      <c r="C1276" s="0" t="n">
        <f aca="false">WEEKDAY(A1276,2)</f>
        <v>4</v>
      </c>
      <c r="D1276" s="0" t="n">
        <f aca="false">DAY(A1276)</f>
        <v>27</v>
      </c>
      <c r="E1276" s="0" t="n">
        <f aca="false">HOUR(A1276)</f>
        <v>13</v>
      </c>
      <c r="F1276" s="0" t="n">
        <f aca="false">IF(C1276&gt;=6,0,1)</f>
        <v>1</v>
      </c>
      <c r="G1276" s="0" t="n">
        <f aca="false">VLOOKUP(E1276,Sheet1!$A$2:$B$25,2,0)</f>
        <v>1</v>
      </c>
    </row>
    <row r="1277" customFormat="false" ht="15" hidden="false" customHeight="false" outlineLevel="0" collapsed="false">
      <c r="A1277" s="13" t="n">
        <v>44588.5833333333</v>
      </c>
      <c r="B1277" s="12" t="n">
        <v>749.881</v>
      </c>
      <c r="C1277" s="0" t="n">
        <f aca="false">WEEKDAY(A1277,2)</f>
        <v>4</v>
      </c>
      <c r="D1277" s="0" t="n">
        <f aca="false">DAY(A1277)</f>
        <v>27</v>
      </c>
      <c r="E1277" s="0" t="n">
        <f aca="false">HOUR(A1277)</f>
        <v>14</v>
      </c>
      <c r="F1277" s="0" t="n">
        <f aca="false">IF(C1277&gt;=6,0,1)</f>
        <v>1</v>
      </c>
      <c r="G1277" s="0" t="n">
        <f aca="false">VLOOKUP(E1277,Sheet1!$A$2:$B$25,2,0)</f>
        <v>1</v>
      </c>
    </row>
    <row r="1278" customFormat="false" ht="15" hidden="false" customHeight="false" outlineLevel="0" collapsed="false">
      <c r="A1278" s="13" t="n">
        <v>44588.6041666667</v>
      </c>
      <c r="B1278" s="12" t="n">
        <v>349.801</v>
      </c>
      <c r="C1278" s="0" t="n">
        <f aca="false">WEEKDAY(A1278,2)</f>
        <v>4</v>
      </c>
      <c r="D1278" s="0" t="n">
        <f aca="false">DAY(A1278)</f>
        <v>27</v>
      </c>
      <c r="E1278" s="0" t="n">
        <f aca="false">HOUR(A1278)</f>
        <v>14</v>
      </c>
      <c r="F1278" s="0" t="n">
        <f aca="false">IF(C1278&gt;=6,0,1)</f>
        <v>1</v>
      </c>
      <c r="G1278" s="0" t="n">
        <f aca="false">VLOOKUP(E1278,Sheet1!$A$2:$B$25,2,0)</f>
        <v>1</v>
      </c>
    </row>
    <row r="1279" customFormat="false" ht="15" hidden="false" customHeight="false" outlineLevel="0" collapsed="false">
      <c r="A1279" s="13" t="n">
        <v>44588.625</v>
      </c>
      <c r="B1279" s="12" t="n">
        <v>341.305</v>
      </c>
      <c r="C1279" s="0" t="n">
        <f aca="false">WEEKDAY(A1279,2)</f>
        <v>4</v>
      </c>
      <c r="D1279" s="0" t="n">
        <f aca="false">DAY(A1279)</f>
        <v>27</v>
      </c>
      <c r="E1279" s="0" t="n">
        <f aca="false">HOUR(A1279)</f>
        <v>15</v>
      </c>
      <c r="F1279" s="0" t="n">
        <f aca="false">IF(C1279&gt;=6,0,1)</f>
        <v>1</v>
      </c>
      <c r="G1279" s="0" t="n">
        <f aca="false">VLOOKUP(E1279,Sheet1!$A$2:$B$25,2,0)</f>
        <v>1</v>
      </c>
    </row>
    <row r="1280" customFormat="false" ht="15" hidden="false" customHeight="false" outlineLevel="0" collapsed="false">
      <c r="A1280" s="13" t="n">
        <v>44588.6458333333</v>
      </c>
      <c r="B1280" s="12" t="n">
        <v>342.601</v>
      </c>
      <c r="C1280" s="0" t="n">
        <f aca="false">WEEKDAY(A1280,2)</f>
        <v>4</v>
      </c>
      <c r="D1280" s="0" t="n">
        <f aca="false">DAY(A1280)</f>
        <v>27</v>
      </c>
      <c r="E1280" s="0" t="n">
        <f aca="false">HOUR(A1280)</f>
        <v>15</v>
      </c>
      <c r="F1280" s="0" t="n">
        <f aca="false">IF(C1280&gt;=6,0,1)</f>
        <v>1</v>
      </c>
      <c r="G1280" s="0" t="n">
        <f aca="false">VLOOKUP(E1280,Sheet1!$A$2:$B$25,2,0)</f>
        <v>1</v>
      </c>
    </row>
    <row r="1281" customFormat="false" ht="15" hidden="false" customHeight="false" outlineLevel="0" collapsed="false">
      <c r="A1281" s="13" t="n">
        <v>44588.6666666667</v>
      </c>
      <c r="B1281" s="12" t="n">
        <v>330.361</v>
      </c>
      <c r="C1281" s="0" t="n">
        <f aca="false">WEEKDAY(A1281,2)</f>
        <v>4</v>
      </c>
      <c r="D1281" s="0" t="n">
        <f aca="false">DAY(A1281)</f>
        <v>27</v>
      </c>
      <c r="E1281" s="0" t="n">
        <f aca="false">HOUR(A1281)</f>
        <v>16</v>
      </c>
      <c r="F1281" s="0" t="n">
        <f aca="false">IF(C1281&gt;=6,0,1)</f>
        <v>1</v>
      </c>
      <c r="G1281" s="0" t="n">
        <f aca="false">VLOOKUP(E1281,Sheet1!$A$2:$B$25,2,0)</f>
        <v>0</v>
      </c>
    </row>
    <row r="1282" customFormat="false" ht="15" hidden="false" customHeight="false" outlineLevel="0" collapsed="false">
      <c r="A1282" s="13" t="n">
        <v>44588.6875</v>
      </c>
      <c r="B1282" s="12" t="n">
        <v>333.361</v>
      </c>
      <c r="C1282" s="0" t="n">
        <f aca="false">WEEKDAY(A1282,2)</f>
        <v>4</v>
      </c>
      <c r="D1282" s="0" t="n">
        <f aca="false">DAY(A1282)</f>
        <v>27</v>
      </c>
      <c r="E1282" s="0" t="n">
        <f aca="false">HOUR(A1282)</f>
        <v>16</v>
      </c>
      <c r="F1282" s="0" t="n">
        <f aca="false">IF(C1282&gt;=6,0,1)</f>
        <v>1</v>
      </c>
      <c r="G1282" s="0" t="n">
        <f aca="false">VLOOKUP(E1282,Sheet1!$A$2:$B$25,2,0)</f>
        <v>0</v>
      </c>
    </row>
    <row r="1283" customFormat="false" ht="15" hidden="false" customHeight="false" outlineLevel="0" collapsed="false">
      <c r="A1283" s="13" t="n">
        <v>44588.7083333333</v>
      </c>
      <c r="B1283" s="12" t="n">
        <v>338.641</v>
      </c>
      <c r="C1283" s="0" t="n">
        <f aca="false">WEEKDAY(A1283,2)</f>
        <v>4</v>
      </c>
      <c r="D1283" s="0" t="n">
        <f aca="false">DAY(A1283)</f>
        <v>27</v>
      </c>
      <c r="E1283" s="0" t="n">
        <f aca="false">HOUR(A1283)</f>
        <v>17</v>
      </c>
      <c r="F1283" s="0" t="n">
        <f aca="false">IF(C1283&gt;=6,0,1)</f>
        <v>1</v>
      </c>
      <c r="G1283" s="0" t="n">
        <f aca="false">VLOOKUP(E1283,Sheet1!$A$2:$B$25,2,0)</f>
        <v>0</v>
      </c>
    </row>
    <row r="1284" customFormat="false" ht="15" hidden="false" customHeight="false" outlineLevel="0" collapsed="false">
      <c r="A1284" s="13" t="n">
        <v>44588.7291666667</v>
      </c>
      <c r="B1284" s="12" t="n">
        <v>337.58</v>
      </c>
      <c r="C1284" s="0" t="n">
        <f aca="false">WEEKDAY(A1284,2)</f>
        <v>4</v>
      </c>
      <c r="D1284" s="0" t="n">
        <f aca="false">DAY(A1284)</f>
        <v>27</v>
      </c>
      <c r="E1284" s="0" t="n">
        <f aca="false">HOUR(A1284)</f>
        <v>17</v>
      </c>
      <c r="F1284" s="0" t="n">
        <f aca="false">IF(C1284&gt;=6,0,1)</f>
        <v>1</v>
      </c>
      <c r="G1284" s="0" t="n">
        <f aca="false">VLOOKUP(E1284,Sheet1!$A$2:$B$25,2,0)</f>
        <v>0</v>
      </c>
    </row>
    <row r="1285" customFormat="false" ht="15" hidden="false" customHeight="false" outlineLevel="0" collapsed="false">
      <c r="A1285" s="13" t="n">
        <v>44588.75</v>
      </c>
      <c r="B1285" s="12" t="n">
        <v>344.905</v>
      </c>
      <c r="C1285" s="0" t="n">
        <f aca="false">WEEKDAY(A1285,2)</f>
        <v>4</v>
      </c>
      <c r="D1285" s="0" t="n">
        <f aca="false">DAY(A1285)</f>
        <v>27</v>
      </c>
      <c r="E1285" s="0" t="n">
        <f aca="false">HOUR(A1285)</f>
        <v>18</v>
      </c>
      <c r="F1285" s="0" t="n">
        <f aca="false">IF(C1285&gt;=6,0,1)</f>
        <v>1</v>
      </c>
      <c r="G1285" s="0" t="n">
        <f aca="false">VLOOKUP(E1285,Sheet1!$A$2:$B$25,2,0)</f>
        <v>0</v>
      </c>
    </row>
    <row r="1286" customFormat="false" ht="15" hidden="false" customHeight="false" outlineLevel="0" collapsed="false">
      <c r="A1286" s="13" t="n">
        <v>44588.7708333333</v>
      </c>
      <c r="B1286" s="12" t="n">
        <v>342.121</v>
      </c>
      <c r="C1286" s="0" t="n">
        <f aca="false">WEEKDAY(A1286,2)</f>
        <v>4</v>
      </c>
      <c r="D1286" s="0" t="n">
        <f aca="false">DAY(A1286)</f>
        <v>27</v>
      </c>
      <c r="E1286" s="0" t="n">
        <f aca="false">HOUR(A1286)</f>
        <v>18</v>
      </c>
      <c r="F1286" s="0" t="n">
        <f aca="false">IF(C1286&gt;=6,0,1)</f>
        <v>1</v>
      </c>
      <c r="G1286" s="0" t="n">
        <f aca="false">VLOOKUP(E1286,Sheet1!$A$2:$B$25,2,0)</f>
        <v>0</v>
      </c>
    </row>
    <row r="1287" customFormat="false" ht="15" hidden="false" customHeight="false" outlineLevel="0" collapsed="false">
      <c r="A1287" s="13" t="n">
        <v>44588.7916666667</v>
      </c>
      <c r="B1287" s="12" t="n">
        <v>347.06</v>
      </c>
      <c r="C1287" s="0" t="n">
        <f aca="false">WEEKDAY(A1287,2)</f>
        <v>4</v>
      </c>
      <c r="D1287" s="0" t="n">
        <f aca="false">DAY(A1287)</f>
        <v>27</v>
      </c>
      <c r="E1287" s="0" t="n">
        <f aca="false">HOUR(A1287)</f>
        <v>19</v>
      </c>
      <c r="F1287" s="0" t="n">
        <f aca="false">IF(C1287&gt;=6,0,1)</f>
        <v>1</v>
      </c>
      <c r="G1287" s="0" t="n">
        <f aca="false">VLOOKUP(E1287,Sheet1!$A$2:$B$25,2,0)</f>
        <v>0</v>
      </c>
    </row>
    <row r="1288" customFormat="false" ht="15" hidden="false" customHeight="false" outlineLevel="0" collapsed="false">
      <c r="A1288" s="13" t="n">
        <v>44588.8125</v>
      </c>
      <c r="B1288" s="12" t="n">
        <v>347.065</v>
      </c>
      <c r="C1288" s="0" t="n">
        <f aca="false">WEEKDAY(A1288,2)</f>
        <v>4</v>
      </c>
      <c r="D1288" s="0" t="n">
        <f aca="false">DAY(A1288)</f>
        <v>27</v>
      </c>
      <c r="E1288" s="0" t="n">
        <f aca="false">HOUR(A1288)</f>
        <v>19</v>
      </c>
      <c r="F1288" s="0" t="n">
        <f aca="false">IF(C1288&gt;=6,0,1)</f>
        <v>1</v>
      </c>
      <c r="G1288" s="0" t="n">
        <f aca="false">VLOOKUP(E1288,Sheet1!$A$2:$B$25,2,0)</f>
        <v>0</v>
      </c>
    </row>
    <row r="1289" customFormat="false" ht="15" hidden="false" customHeight="false" outlineLevel="0" collapsed="false">
      <c r="A1289" s="13" t="n">
        <v>44588.8333333333</v>
      </c>
      <c r="B1289" s="12" t="n">
        <v>343.465</v>
      </c>
      <c r="C1289" s="0" t="n">
        <f aca="false">WEEKDAY(A1289,2)</f>
        <v>4</v>
      </c>
      <c r="D1289" s="0" t="n">
        <f aca="false">DAY(A1289)</f>
        <v>27</v>
      </c>
      <c r="E1289" s="0" t="n">
        <f aca="false">HOUR(A1289)</f>
        <v>20</v>
      </c>
      <c r="F1289" s="0" t="n">
        <f aca="false">IF(C1289&gt;=6,0,1)</f>
        <v>1</v>
      </c>
      <c r="G1289" s="0" t="n">
        <f aca="false">VLOOKUP(E1289,Sheet1!$A$2:$B$25,2,0)</f>
        <v>0</v>
      </c>
    </row>
    <row r="1290" customFormat="false" ht="15" hidden="false" customHeight="false" outlineLevel="0" collapsed="false">
      <c r="A1290" s="13" t="n">
        <v>44588.8541666667</v>
      </c>
      <c r="B1290" s="12" t="n">
        <v>325.58</v>
      </c>
      <c r="C1290" s="0" t="n">
        <f aca="false">WEEKDAY(A1290,2)</f>
        <v>4</v>
      </c>
      <c r="D1290" s="0" t="n">
        <f aca="false">DAY(A1290)</f>
        <v>27</v>
      </c>
      <c r="E1290" s="0" t="n">
        <f aca="false">HOUR(A1290)</f>
        <v>20</v>
      </c>
      <c r="F1290" s="0" t="n">
        <f aca="false">IF(C1290&gt;=6,0,1)</f>
        <v>1</v>
      </c>
      <c r="G1290" s="0" t="n">
        <f aca="false">VLOOKUP(E1290,Sheet1!$A$2:$B$25,2,0)</f>
        <v>0</v>
      </c>
    </row>
    <row r="1291" customFormat="false" ht="15" hidden="false" customHeight="false" outlineLevel="0" collapsed="false">
      <c r="A1291" s="13" t="n">
        <v>44588.875</v>
      </c>
      <c r="B1291" s="12" t="n">
        <v>327.025</v>
      </c>
      <c r="C1291" s="0" t="n">
        <f aca="false">WEEKDAY(A1291,2)</f>
        <v>4</v>
      </c>
      <c r="D1291" s="0" t="n">
        <f aca="false">DAY(A1291)</f>
        <v>27</v>
      </c>
      <c r="E1291" s="0" t="n">
        <f aca="false">HOUR(A1291)</f>
        <v>21</v>
      </c>
      <c r="F1291" s="0" t="n">
        <f aca="false">IF(C1291&gt;=6,0,1)</f>
        <v>1</v>
      </c>
      <c r="G1291" s="0" t="n">
        <f aca="false">VLOOKUP(E1291,Sheet1!$A$2:$B$25,2,0)</f>
        <v>0</v>
      </c>
    </row>
    <row r="1292" customFormat="false" ht="15" hidden="false" customHeight="false" outlineLevel="0" collapsed="false">
      <c r="A1292" s="13" t="n">
        <v>44588.8958333333</v>
      </c>
      <c r="B1292" s="12" t="n">
        <v>326.66</v>
      </c>
      <c r="C1292" s="0" t="n">
        <f aca="false">WEEKDAY(A1292,2)</f>
        <v>4</v>
      </c>
      <c r="D1292" s="0" t="n">
        <f aca="false">DAY(A1292)</f>
        <v>27</v>
      </c>
      <c r="E1292" s="0" t="n">
        <f aca="false">HOUR(A1292)</f>
        <v>21</v>
      </c>
      <c r="F1292" s="0" t="n">
        <f aca="false">IF(C1292&gt;=6,0,1)</f>
        <v>1</v>
      </c>
      <c r="G1292" s="0" t="n">
        <f aca="false">VLOOKUP(E1292,Sheet1!$A$2:$B$25,2,0)</f>
        <v>0</v>
      </c>
    </row>
    <row r="1293" customFormat="false" ht="15" hidden="false" customHeight="false" outlineLevel="0" collapsed="false">
      <c r="A1293" s="13" t="n">
        <v>44588.9166666667</v>
      </c>
      <c r="B1293" s="12" t="n">
        <v>318.001</v>
      </c>
      <c r="C1293" s="0" t="n">
        <f aca="false">WEEKDAY(A1293,2)</f>
        <v>4</v>
      </c>
      <c r="D1293" s="0" t="n">
        <f aca="false">DAY(A1293)</f>
        <v>27</v>
      </c>
      <c r="E1293" s="0" t="n">
        <f aca="false">HOUR(A1293)</f>
        <v>22</v>
      </c>
      <c r="F1293" s="0" t="n">
        <f aca="false">IF(C1293&gt;=6,0,1)</f>
        <v>1</v>
      </c>
      <c r="G1293" s="0" t="n">
        <f aca="false">VLOOKUP(E1293,Sheet1!$A$2:$B$25,2,0)</f>
        <v>0</v>
      </c>
    </row>
    <row r="1294" customFormat="false" ht="15" hidden="false" customHeight="false" outlineLevel="0" collapsed="false">
      <c r="A1294" s="13" t="n">
        <v>44588.9375</v>
      </c>
      <c r="B1294" s="12" t="n">
        <v>312.476</v>
      </c>
      <c r="C1294" s="0" t="n">
        <f aca="false">WEEKDAY(A1294,2)</f>
        <v>4</v>
      </c>
      <c r="D1294" s="0" t="n">
        <f aca="false">DAY(A1294)</f>
        <v>27</v>
      </c>
      <c r="E1294" s="0" t="n">
        <f aca="false">HOUR(A1294)</f>
        <v>22</v>
      </c>
      <c r="F1294" s="0" t="n">
        <f aca="false">IF(C1294&gt;=6,0,1)</f>
        <v>1</v>
      </c>
      <c r="G1294" s="0" t="n">
        <f aca="false">VLOOKUP(E1294,Sheet1!$A$2:$B$25,2,0)</f>
        <v>0</v>
      </c>
    </row>
    <row r="1295" customFormat="false" ht="15" hidden="false" customHeight="false" outlineLevel="0" collapsed="false">
      <c r="A1295" s="13" t="n">
        <v>44588.9583333333</v>
      </c>
      <c r="B1295" s="12" t="n">
        <v>314.18</v>
      </c>
      <c r="C1295" s="0" t="n">
        <f aca="false">WEEKDAY(A1295,2)</f>
        <v>4</v>
      </c>
      <c r="D1295" s="0" t="n">
        <f aca="false">DAY(A1295)</f>
        <v>27</v>
      </c>
      <c r="E1295" s="0" t="n">
        <f aca="false">HOUR(A1295)</f>
        <v>23</v>
      </c>
      <c r="F1295" s="0" t="n">
        <f aca="false">IF(C1295&gt;=6,0,1)</f>
        <v>1</v>
      </c>
      <c r="G1295" s="0" t="n">
        <f aca="false">VLOOKUP(E1295,Sheet1!$A$2:$B$25,2,0)</f>
        <v>0</v>
      </c>
    </row>
    <row r="1296" customFormat="false" ht="15" hidden="false" customHeight="false" outlineLevel="0" collapsed="false">
      <c r="A1296" s="13" t="n">
        <v>44588.9791666667</v>
      </c>
      <c r="B1296" s="12" t="n">
        <v>317.521</v>
      </c>
      <c r="C1296" s="0" t="n">
        <f aca="false">WEEKDAY(A1296,2)</f>
        <v>4</v>
      </c>
      <c r="D1296" s="0" t="n">
        <f aca="false">DAY(A1296)</f>
        <v>27</v>
      </c>
      <c r="E1296" s="0" t="n">
        <f aca="false">HOUR(A1296)</f>
        <v>23</v>
      </c>
      <c r="F1296" s="0" t="n">
        <f aca="false">IF(C1296&gt;=6,0,1)</f>
        <v>1</v>
      </c>
      <c r="G1296" s="0" t="n">
        <f aca="false">VLOOKUP(E1296,Sheet1!$A$2:$B$25,2,0)</f>
        <v>0</v>
      </c>
    </row>
    <row r="1297" customFormat="false" ht="15" hidden="false" customHeight="false" outlineLevel="0" collapsed="false">
      <c r="A1297" s="13" t="n">
        <v>44589</v>
      </c>
      <c r="B1297" s="12" t="n">
        <v>313.676</v>
      </c>
      <c r="C1297" s="0" t="n">
        <f aca="false">WEEKDAY(A1297,2)</f>
        <v>5</v>
      </c>
      <c r="D1297" s="0" t="n">
        <f aca="false">DAY(A1297)</f>
        <v>28</v>
      </c>
      <c r="E1297" s="0" t="n">
        <f aca="false">HOUR(A1297)</f>
        <v>0</v>
      </c>
      <c r="F1297" s="0" t="n">
        <f aca="false">IF(C1297&gt;=6,0,1)</f>
        <v>1</v>
      </c>
      <c r="G1297" s="0" t="n">
        <f aca="false">VLOOKUP(E1297,Sheet1!$A$2:$B$25,2,0)</f>
        <v>0</v>
      </c>
    </row>
    <row r="1298" customFormat="false" ht="15" hidden="false" customHeight="false" outlineLevel="0" collapsed="false">
      <c r="A1298" s="13" t="n">
        <v>44589.0208333333</v>
      </c>
      <c r="B1298" s="12" t="n">
        <v>312.74</v>
      </c>
      <c r="C1298" s="0" t="n">
        <f aca="false">WEEKDAY(A1298,2)</f>
        <v>5</v>
      </c>
      <c r="D1298" s="0" t="n">
        <f aca="false">DAY(A1298)</f>
        <v>28</v>
      </c>
      <c r="E1298" s="0" t="n">
        <f aca="false">HOUR(A1298)</f>
        <v>0</v>
      </c>
      <c r="F1298" s="0" t="n">
        <f aca="false">IF(C1298&gt;=6,0,1)</f>
        <v>1</v>
      </c>
      <c r="G1298" s="0" t="n">
        <f aca="false">VLOOKUP(E1298,Sheet1!$A$2:$B$25,2,0)</f>
        <v>0</v>
      </c>
    </row>
    <row r="1299" customFormat="false" ht="15" hidden="false" customHeight="false" outlineLevel="0" collapsed="false">
      <c r="A1299" s="13" t="n">
        <v>44589.0416666667</v>
      </c>
      <c r="B1299" s="12" t="n">
        <v>311.881</v>
      </c>
      <c r="C1299" s="0" t="n">
        <f aca="false">WEEKDAY(A1299,2)</f>
        <v>5</v>
      </c>
      <c r="D1299" s="0" t="n">
        <f aca="false">DAY(A1299)</f>
        <v>28</v>
      </c>
      <c r="E1299" s="0" t="n">
        <f aca="false">HOUR(A1299)</f>
        <v>1</v>
      </c>
      <c r="F1299" s="0" t="n">
        <f aca="false">IF(C1299&gt;=6,0,1)</f>
        <v>1</v>
      </c>
      <c r="G1299" s="0" t="n">
        <f aca="false">VLOOKUP(E1299,Sheet1!$A$2:$B$25,2,0)</f>
        <v>0</v>
      </c>
    </row>
    <row r="1300" customFormat="false" ht="15" hidden="false" customHeight="false" outlineLevel="0" collapsed="false">
      <c r="A1300" s="13" t="n">
        <v>44589.0625</v>
      </c>
      <c r="B1300" s="12" t="n">
        <v>323.996</v>
      </c>
      <c r="C1300" s="0" t="n">
        <f aca="false">WEEKDAY(A1300,2)</f>
        <v>5</v>
      </c>
      <c r="D1300" s="0" t="n">
        <f aca="false">DAY(A1300)</f>
        <v>28</v>
      </c>
      <c r="E1300" s="0" t="n">
        <f aca="false">HOUR(A1300)</f>
        <v>1</v>
      </c>
      <c r="F1300" s="0" t="n">
        <f aca="false">IF(C1300&gt;=6,0,1)</f>
        <v>1</v>
      </c>
      <c r="G1300" s="0" t="n">
        <f aca="false">VLOOKUP(E1300,Sheet1!$A$2:$B$25,2,0)</f>
        <v>0</v>
      </c>
    </row>
    <row r="1301" customFormat="false" ht="15" hidden="false" customHeight="false" outlineLevel="0" collapsed="false">
      <c r="A1301" s="13" t="n">
        <v>44589.0833333333</v>
      </c>
      <c r="B1301" s="12" t="n">
        <v>320.905</v>
      </c>
      <c r="C1301" s="0" t="n">
        <f aca="false">WEEKDAY(A1301,2)</f>
        <v>5</v>
      </c>
      <c r="D1301" s="0" t="n">
        <f aca="false">DAY(A1301)</f>
        <v>28</v>
      </c>
      <c r="E1301" s="0" t="n">
        <f aca="false">HOUR(A1301)</f>
        <v>2</v>
      </c>
      <c r="F1301" s="0" t="n">
        <f aca="false">IF(C1301&gt;=6,0,1)</f>
        <v>1</v>
      </c>
      <c r="G1301" s="0" t="n">
        <f aca="false">VLOOKUP(E1301,Sheet1!$A$2:$B$25,2,0)</f>
        <v>0</v>
      </c>
    </row>
    <row r="1302" customFormat="false" ht="15" hidden="false" customHeight="false" outlineLevel="0" collapsed="false">
      <c r="A1302" s="13" t="n">
        <v>44589.1041666667</v>
      </c>
      <c r="B1302" s="12" t="n">
        <v>327.14</v>
      </c>
      <c r="C1302" s="0" t="n">
        <f aca="false">WEEKDAY(A1302,2)</f>
        <v>5</v>
      </c>
      <c r="D1302" s="0" t="n">
        <f aca="false">DAY(A1302)</f>
        <v>28</v>
      </c>
      <c r="E1302" s="0" t="n">
        <f aca="false">HOUR(A1302)</f>
        <v>2</v>
      </c>
      <c r="F1302" s="0" t="n">
        <f aca="false">IF(C1302&gt;=6,0,1)</f>
        <v>1</v>
      </c>
      <c r="G1302" s="0" t="n">
        <f aca="false">VLOOKUP(E1302,Sheet1!$A$2:$B$25,2,0)</f>
        <v>0</v>
      </c>
    </row>
    <row r="1303" customFormat="false" ht="15" hidden="false" customHeight="false" outlineLevel="0" collapsed="false">
      <c r="A1303" s="13" t="n">
        <v>44589.125</v>
      </c>
      <c r="B1303" s="12" t="n">
        <v>317.881</v>
      </c>
      <c r="C1303" s="0" t="n">
        <f aca="false">WEEKDAY(A1303,2)</f>
        <v>5</v>
      </c>
      <c r="D1303" s="0" t="n">
        <f aca="false">DAY(A1303)</f>
        <v>28</v>
      </c>
      <c r="E1303" s="0" t="n">
        <f aca="false">HOUR(A1303)</f>
        <v>3</v>
      </c>
      <c r="F1303" s="0" t="n">
        <f aca="false">IF(C1303&gt;=6,0,1)</f>
        <v>1</v>
      </c>
      <c r="G1303" s="0" t="n">
        <f aca="false">VLOOKUP(E1303,Sheet1!$A$2:$B$25,2,0)</f>
        <v>0</v>
      </c>
    </row>
    <row r="1304" customFormat="false" ht="15" hidden="false" customHeight="false" outlineLevel="0" collapsed="false">
      <c r="A1304" s="13" t="n">
        <v>44589.1458333333</v>
      </c>
      <c r="B1304" s="12" t="n">
        <v>308.636</v>
      </c>
      <c r="C1304" s="0" t="n">
        <f aca="false">WEEKDAY(A1304,2)</f>
        <v>5</v>
      </c>
      <c r="D1304" s="0" t="n">
        <f aca="false">DAY(A1304)</f>
        <v>28</v>
      </c>
      <c r="E1304" s="0" t="n">
        <f aca="false">HOUR(A1304)</f>
        <v>3</v>
      </c>
      <c r="F1304" s="0" t="n">
        <f aca="false">IF(C1304&gt;=6,0,1)</f>
        <v>1</v>
      </c>
      <c r="G1304" s="0" t="n">
        <f aca="false">VLOOKUP(E1304,Sheet1!$A$2:$B$25,2,0)</f>
        <v>0</v>
      </c>
    </row>
    <row r="1305" customFormat="false" ht="15" hidden="false" customHeight="false" outlineLevel="0" collapsed="false">
      <c r="A1305" s="13" t="n">
        <v>44589.1666666667</v>
      </c>
      <c r="B1305" s="12" t="n">
        <v>316.796</v>
      </c>
      <c r="C1305" s="0" t="n">
        <f aca="false">WEEKDAY(A1305,2)</f>
        <v>5</v>
      </c>
      <c r="D1305" s="0" t="n">
        <f aca="false">DAY(A1305)</f>
        <v>28</v>
      </c>
      <c r="E1305" s="0" t="n">
        <f aca="false">HOUR(A1305)</f>
        <v>4</v>
      </c>
      <c r="F1305" s="0" t="n">
        <f aca="false">IF(C1305&gt;=6,0,1)</f>
        <v>1</v>
      </c>
      <c r="G1305" s="0" t="n">
        <f aca="false">VLOOKUP(E1305,Sheet1!$A$2:$B$25,2,0)</f>
        <v>1</v>
      </c>
    </row>
    <row r="1306" customFormat="false" ht="15" hidden="false" customHeight="false" outlineLevel="0" collapsed="false">
      <c r="A1306" s="13" t="n">
        <v>44589.1875</v>
      </c>
      <c r="B1306" s="12" t="n">
        <v>854.756</v>
      </c>
      <c r="C1306" s="0" t="n">
        <f aca="false">WEEKDAY(A1306,2)</f>
        <v>5</v>
      </c>
      <c r="D1306" s="0" t="n">
        <f aca="false">DAY(A1306)</f>
        <v>28</v>
      </c>
      <c r="E1306" s="0" t="n">
        <f aca="false">HOUR(A1306)</f>
        <v>4</v>
      </c>
      <c r="F1306" s="0" t="n">
        <f aca="false">IF(C1306&gt;=6,0,1)</f>
        <v>1</v>
      </c>
      <c r="G1306" s="0" t="n">
        <f aca="false">VLOOKUP(E1306,Sheet1!$A$2:$B$25,2,0)</f>
        <v>1</v>
      </c>
    </row>
    <row r="1307" customFormat="false" ht="15" hidden="false" customHeight="false" outlineLevel="0" collapsed="false">
      <c r="A1307" s="13" t="n">
        <v>44589.2083333333</v>
      </c>
      <c r="B1307" s="12" t="n">
        <v>767.905</v>
      </c>
      <c r="C1307" s="0" t="n">
        <f aca="false">WEEKDAY(A1307,2)</f>
        <v>5</v>
      </c>
      <c r="D1307" s="0" t="n">
        <f aca="false">DAY(A1307)</f>
        <v>28</v>
      </c>
      <c r="E1307" s="0" t="n">
        <f aca="false">HOUR(A1307)</f>
        <v>5</v>
      </c>
      <c r="F1307" s="0" t="n">
        <f aca="false">IF(C1307&gt;=6,0,1)</f>
        <v>1</v>
      </c>
      <c r="G1307" s="0" t="n">
        <f aca="false">VLOOKUP(E1307,Sheet1!$A$2:$B$25,2,0)</f>
        <v>1</v>
      </c>
    </row>
    <row r="1308" customFormat="false" ht="15" hidden="false" customHeight="false" outlineLevel="0" collapsed="false">
      <c r="A1308" s="13" t="n">
        <v>44589.2291666667</v>
      </c>
      <c r="B1308" s="12" t="n">
        <v>738.86</v>
      </c>
      <c r="C1308" s="0" t="n">
        <f aca="false">WEEKDAY(A1308,2)</f>
        <v>5</v>
      </c>
      <c r="D1308" s="0" t="n">
        <f aca="false">DAY(A1308)</f>
        <v>28</v>
      </c>
      <c r="E1308" s="0" t="n">
        <f aca="false">HOUR(A1308)</f>
        <v>5</v>
      </c>
      <c r="F1308" s="0" t="n">
        <f aca="false">IF(C1308&gt;=6,0,1)</f>
        <v>1</v>
      </c>
      <c r="G1308" s="0" t="n">
        <f aca="false">VLOOKUP(E1308,Sheet1!$A$2:$B$25,2,0)</f>
        <v>1</v>
      </c>
    </row>
    <row r="1309" customFormat="false" ht="15" hidden="false" customHeight="false" outlineLevel="0" collapsed="false">
      <c r="A1309" s="13" t="n">
        <v>44589.25</v>
      </c>
      <c r="B1309" s="12" t="n">
        <v>821.3</v>
      </c>
      <c r="C1309" s="0" t="n">
        <f aca="false">WEEKDAY(A1309,2)</f>
        <v>5</v>
      </c>
      <c r="D1309" s="0" t="n">
        <f aca="false">DAY(A1309)</f>
        <v>28</v>
      </c>
      <c r="E1309" s="0" t="n">
        <f aca="false">HOUR(A1309)</f>
        <v>6</v>
      </c>
      <c r="F1309" s="0" t="n">
        <f aca="false">IF(C1309&gt;=6,0,1)</f>
        <v>1</v>
      </c>
      <c r="G1309" s="0" t="n">
        <f aca="false">VLOOKUP(E1309,Sheet1!$A$2:$B$25,2,0)</f>
        <v>1</v>
      </c>
    </row>
    <row r="1310" customFormat="false" ht="15" hidden="false" customHeight="false" outlineLevel="0" collapsed="false">
      <c r="A1310" s="13" t="n">
        <v>44589.2708333333</v>
      </c>
      <c r="B1310" s="12" t="n">
        <v>1054.1</v>
      </c>
      <c r="C1310" s="0" t="n">
        <f aca="false">WEEKDAY(A1310,2)</f>
        <v>5</v>
      </c>
      <c r="D1310" s="0" t="n">
        <f aca="false">DAY(A1310)</f>
        <v>28</v>
      </c>
      <c r="E1310" s="0" t="n">
        <f aca="false">HOUR(A1310)</f>
        <v>6</v>
      </c>
      <c r="F1310" s="0" t="n">
        <f aca="false">IF(C1310&gt;=6,0,1)</f>
        <v>1</v>
      </c>
      <c r="G1310" s="0" t="n">
        <f aca="false">VLOOKUP(E1310,Sheet1!$A$2:$B$25,2,0)</f>
        <v>1</v>
      </c>
    </row>
    <row r="1311" customFormat="false" ht="15" hidden="false" customHeight="false" outlineLevel="0" collapsed="false">
      <c r="A1311" s="13" t="n">
        <v>44589.2916666667</v>
      </c>
      <c r="B1311" s="12" t="n">
        <v>1008.38</v>
      </c>
      <c r="C1311" s="0" t="n">
        <f aca="false">WEEKDAY(A1311,2)</f>
        <v>5</v>
      </c>
      <c r="D1311" s="0" t="n">
        <f aca="false">DAY(A1311)</f>
        <v>28</v>
      </c>
      <c r="E1311" s="0" t="n">
        <f aca="false">HOUR(A1311)</f>
        <v>7</v>
      </c>
      <c r="F1311" s="0" t="n">
        <f aca="false">IF(C1311&gt;=6,0,1)</f>
        <v>1</v>
      </c>
      <c r="G1311" s="0" t="n">
        <f aca="false">VLOOKUP(E1311,Sheet1!$A$2:$B$25,2,0)</f>
        <v>1</v>
      </c>
    </row>
    <row r="1312" customFormat="false" ht="15" hidden="false" customHeight="false" outlineLevel="0" collapsed="false">
      <c r="A1312" s="13" t="n">
        <v>44589.3125</v>
      </c>
      <c r="B1312" s="12" t="n">
        <v>1003.556</v>
      </c>
      <c r="C1312" s="0" t="n">
        <f aca="false">WEEKDAY(A1312,2)</f>
        <v>5</v>
      </c>
      <c r="D1312" s="0" t="n">
        <f aca="false">DAY(A1312)</f>
        <v>28</v>
      </c>
      <c r="E1312" s="0" t="n">
        <f aca="false">HOUR(A1312)</f>
        <v>7</v>
      </c>
      <c r="F1312" s="0" t="n">
        <f aca="false">IF(C1312&gt;=6,0,1)</f>
        <v>1</v>
      </c>
      <c r="G1312" s="0" t="n">
        <f aca="false">VLOOKUP(E1312,Sheet1!$A$2:$B$25,2,0)</f>
        <v>1</v>
      </c>
    </row>
    <row r="1313" customFormat="false" ht="15" hidden="false" customHeight="false" outlineLevel="0" collapsed="false">
      <c r="A1313" s="13" t="n">
        <v>44589.3333333333</v>
      </c>
      <c r="B1313" s="12" t="n">
        <v>961.7</v>
      </c>
      <c r="C1313" s="0" t="n">
        <f aca="false">WEEKDAY(A1313,2)</f>
        <v>5</v>
      </c>
      <c r="D1313" s="0" t="n">
        <f aca="false">DAY(A1313)</f>
        <v>28</v>
      </c>
      <c r="E1313" s="0" t="n">
        <f aca="false">HOUR(A1313)</f>
        <v>8</v>
      </c>
      <c r="F1313" s="0" t="n">
        <f aca="false">IF(C1313&gt;=6,0,1)</f>
        <v>1</v>
      </c>
      <c r="G1313" s="0" t="n">
        <f aca="false">VLOOKUP(E1313,Sheet1!$A$2:$B$25,2,0)</f>
        <v>1</v>
      </c>
    </row>
    <row r="1314" customFormat="false" ht="15" hidden="false" customHeight="false" outlineLevel="0" collapsed="false">
      <c r="A1314" s="13" t="n">
        <v>44589.3541666667</v>
      </c>
      <c r="B1314" s="12" t="n">
        <v>885.836</v>
      </c>
      <c r="C1314" s="0" t="n">
        <f aca="false">WEEKDAY(A1314,2)</f>
        <v>5</v>
      </c>
      <c r="D1314" s="0" t="n">
        <f aca="false">DAY(A1314)</f>
        <v>28</v>
      </c>
      <c r="E1314" s="0" t="n">
        <f aca="false">HOUR(A1314)</f>
        <v>8</v>
      </c>
      <c r="F1314" s="0" t="n">
        <f aca="false">IF(C1314&gt;=6,0,1)</f>
        <v>1</v>
      </c>
      <c r="G1314" s="0" t="n">
        <f aca="false">VLOOKUP(E1314,Sheet1!$A$2:$B$25,2,0)</f>
        <v>1</v>
      </c>
    </row>
    <row r="1315" customFormat="false" ht="15" hidden="false" customHeight="false" outlineLevel="0" collapsed="false">
      <c r="A1315" s="13" t="n">
        <v>44589.375</v>
      </c>
      <c r="B1315" s="12" t="n">
        <v>878.06</v>
      </c>
      <c r="C1315" s="0" t="n">
        <f aca="false">WEEKDAY(A1315,2)</f>
        <v>5</v>
      </c>
      <c r="D1315" s="0" t="n">
        <f aca="false">DAY(A1315)</f>
        <v>28</v>
      </c>
      <c r="E1315" s="0" t="n">
        <f aca="false">HOUR(A1315)</f>
        <v>9</v>
      </c>
      <c r="F1315" s="0" t="n">
        <f aca="false">IF(C1315&gt;=6,0,1)</f>
        <v>1</v>
      </c>
      <c r="G1315" s="0" t="n">
        <f aca="false">VLOOKUP(E1315,Sheet1!$A$2:$B$25,2,0)</f>
        <v>1</v>
      </c>
    </row>
    <row r="1316" customFormat="false" ht="15" hidden="false" customHeight="false" outlineLevel="0" collapsed="false">
      <c r="A1316" s="13" t="n">
        <v>44589.3958333333</v>
      </c>
      <c r="B1316" s="12" t="n">
        <v>857.18</v>
      </c>
      <c r="C1316" s="0" t="n">
        <f aca="false">WEEKDAY(A1316,2)</f>
        <v>5</v>
      </c>
      <c r="D1316" s="0" t="n">
        <f aca="false">DAY(A1316)</f>
        <v>28</v>
      </c>
      <c r="E1316" s="0" t="n">
        <f aca="false">HOUR(A1316)</f>
        <v>9</v>
      </c>
      <c r="F1316" s="0" t="n">
        <f aca="false">IF(C1316&gt;=6,0,1)</f>
        <v>1</v>
      </c>
      <c r="G1316" s="0" t="n">
        <f aca="false">VLOOKUP(E1316,Sheet1!$A$2:$B$25,2,0)</f>
        <v>1</v>
      </c>
    </row>
    <row r="1317" customFormat="false" ht="15" hidden="false" customHeight="false" outlineLevel="0" collapsed="false">
      <c r="A1317" s="13" t="n">
        <v>44589.4166666667</v>
      </c>
      <c r="B1317" s="12" t="n">
        <v>877.681</v>
      </c>
      <c r="C1317" s="0" t="n">
        <f aca="false">WEEKDAY(A1317,2)</f>
        <v>5</v>
      </c>
      <c r="D1317" s="0" t="n">
        <f aca="false">DAY(A1317)</f>
        <v>28</v>
      </c>
      <c r="E1317" s="0" t="n">
        <f aca="false">HOUR(A1317)</f>
        <v>10</v>
      </c>
      <c r="F1317" s="0" t="n">
        <f aca="false">IF(C1317&gt;=6,0,1)</f>
        <v>1</v>
      </c>
      <c r="G1317" s="0" t="n">
        <f aca="false">VLOOKUP(E1317,Sheet1!$A$2:$B$25,2,0)</f>
        <v>1</v>
      </c>
    </row>
    <row r="1318" customFormat="false" ht="15" hidden="false" customHeight="false" outlineLevel="0" collapsed="false">
      <c r="A1318" s="13" t="n">
        <v>44589.4375</v>
      </c>
      <c r="B1318" s="12" t="n">
        <v>826.076</v>
      </c>
      <c r="C1318" s="0" t="n">
        <f aca="false">WEEKDAY(A1318,2)</f>
        <v>5</v>
      </c>
      <c r="D1318" s="0" t="n">
        <f aca="false">DAY(A1318)</f>
        <v>28</v>
      </c>
      <c r="E1318" s="0" t="n">
        <f aca="false">HOUR(A1318)</f>
        <v>10</v>
      </c>
      <c r="F1318" s="0" t="n">
        <f aca="false">IF(C1318&gt;=6,0,1)</f>
        <v>1</v>
      </c>
      <c r="G1318" s="0" t="n">
        <f aca="false">VLOOKUP(E1318,Sheet1!$A$2:$B$25,2,0)</f>
        <v>1</v>
      </c>
    </row>
    <row r="1319" customFormat="false" ht="15" hidden="false" customHeight="false" outlineLevel="0" collapsed="false">
      <c r="A1319" s="13" t="n">
        <v>44589.4583333333</v>
      </c>
      <c r="B1319" s="12" t="n">
        <v>800.161</v>
      </c>
      <c r="C1319" s="0" t="n">
        <f aca="false">WEEKDAY(A1319,2)</f>
        <v>5</v>
      </c>
      <c r="D1319" s="0" t="n">
        <f aca="false">DAY(A1319)</f>
        <v>28</v>
      </c>
      <c r="E1319" s="0" t="n">
        <f aca="false">HOUR(A1319)</f>
        <v>11</v>
      </c>
      <c r="F1319" s="0" t="n">
        <f aca="false">IF(C1319&gt;=6,0,1)</f>
        <v>1</v>
      </c>
      <c r="G1319" s="0" t="n">
        <f aca="false">VLOOKUP(E1319,Sheet1!$A$2:$B$25,2,0)</f>
        <v>1</v>
      </c>
    </row>
    <row r="1320" customFormat="false" ht="15" hidden="false" customHeight="false" outlineLevel="0" collapsed="false">
      <c r="A1320" s="13" t="n">
        <v>44589.4791666667</v>
      </c>
      <c r="B1320" s="12" t="n">
        <v>710.42</v>
      </c>
      <c r="C1320" s="0" t="n">
        <f aca="false">WEEKDAY(A1320,2)</f>
        <v>5</v>
      </c>
      <c r="D1320" s="0" t="n">
        <f aca="false">DAY(A1320)</f>
        <v>28</v>
      </c>
      <c r="E1320" s="0" t="n">
        <f aca="false">HOUR(A1320)</f>
        <v>11</v>
      </c>
      <c r="F1320" s="0" t="n">
        <f aca="false">IF(C1320&gt;=6,0,1)</f>
        <v>1</v>
      </c>
      <c r="G1320" s="0" t="n">
        <f aca="false">VLOOKUP(E1320,Sheet1!$A$2:$B$25,2,0)</f>
        <v>1</v>
      </c>
    </row>
    <row r="1321" customFormat="false" ht="15" hidden="false" customHeight="false" outlineLevel="0" collapsed="false">
      <c r="A1321" s="13" t="n">
        <v>44589.5</v>
      </c>
      <c r="B1321" s="12" t="n">
        <v>649.22</v>
      </c>
      <c r="C1321" s="0" t="n">
        <f aca="false">WEEKDAY(A1321,2)</f>
        <v>5</v>
      </c>
      <c r="D1321" s="0" t="n">
        <f aca="false">DAY(A1321)</f>
        <v>28</v>
      </c>
      <c r="E1321" s="0" t="n">
        <f aca="false">HOUR(A1321)</f>
        <v>12</v>
      </c>
      <c r="F1321" s="0" t="n">
        <f aca="false">IF(C1321&gt;=6,0,1)</f>
        <v>1</v>
      </c>
      <c r="G1321" s="0" t="n">
        <f aca="false">VLOOKUP(E1321,Sheet1!$A$2:$B$25,2,0)</f>
        <v>1</v>
      </c>
    </row>
    <row r="1322" customFormat="false" ht="15" hidden="false" customHeight="false" outlineLevel="0" collapsed="false">
      <c r="A1322" s="13" t="n">
        <v>44589.5208333333</v>
      </c>
      <c r="B1322" s="12" t="n">
        <v>483.505</v>
      </c>
      <c r="C1322" s="0" t="n">
        <f aca="false">WEEKDAY(A1322,2)</f>
        <v>5</v>
      </c>
      <c r="D1322" s="0" t="n">
        <f aca="false">DAY(A1322)</f>
        <v>28</v>
      </c>
      <c r="E1322" s="0" t="n">
        <f aca="false">HOUR(A1322)</f>
        <v>12</v>
      </c>
      <c r="F1322" s="0" t="n">
        <f aca="false">IF(C1322&gt;=6,0,1)</f>
        <v>1</v>
      </c>
      <c r="G1322" s="0" t="n">
        <f aca="false">VLOOKUP(E1322,Sheet1!$A$2:$B$25,2,0)</f>
        <v>1</v>
      </c>
    </row>
    <row r="1323" customFormat="false" ht="15" hidden="false" customHeight="false" outlineLevel="0" collapsed="false">
      <c r="A1323" s="13" t="n">
        <v>44589.5416666667</v>
      </c>
      <c r="B1323" s="12" t="n">
        <v>438.74</v>
      </c>
      <c r="C1323" s="0" t="n">
        <f aca="false">WEEKDAY(A1323,2)</f>
        <v>5</v>
      </c>
      <c r="D1323" s="0" t="n">
        <f aca="false">DAY(A1323)</f>
        <v>28</v>
      </c>
      <c r="E1323" s="0" t="n">
        <f aca="false">HOUR(A1323)</f>
        <v>13</v>
      </c>
      <c r="F1323" s="0" t="n">
        <f aca="false">IF(C1323&gt;=6,0,1)</f>
        <v>1</v>
      </c>
      <c r="G1323" s="0" t="n">
        <f aca="false">VLOOKUP(E1323,Sheet1!$A$2:$B$25,2,0)</f>
        <v>1</v>
      </c>
    </row>
    <row r="1324" customFormat="false" ht="15" hidden="false" customHeight="false" outlineLevel="0" collapsed="false">
      <c r="A1324" s="13" t="n">
        <v>44589.5625</v>
      </c>
      <c r="B1324" s="12" t="n">
        <v>412.196</v>
      </c>
      <c r="C1324" s="0" t="n">
        <f aca="false">WEEKDAY(A1324,2)</f>
        <v>5</v>
      </c>
      <c r="D1324" s="0" t="n">
        <f aca="false">DAY(A1324)</f>
        <v>28</v>
      </c>
      <c r="E1324" s="0" t="n">
        <f aca="false">HOUR(A1324)</f>
        <v>13</v>
      </c>
      <c r="F1324" s="0" t="n">
        <f aca="false">IF(C1324&gt;=6,0,1)</f>
        <v>1</v>
      </c>
      <c r="G1324" s="0" t="n">
        <f aca="false">VLOOKUP(E1324,Sheet1!$A$2:$B$25,2,0)</f>
        <v>1</v>
      </c>
    </row>
    <row r="1325" customFormat="false" ht="15" hidden="false" customHeight="false" outlineLevel="0" collapsed="false">
      <c r="A1325" s="13" t="n">
        <v>44589.5833333333</v>
      </c>
      <c r="B1325" s="12" t="n">
        <v>381.836</v>
      </c>
      <c r="C1325" s="0" t="n">
        <f aca="false">WEEKDAY(A1325,2)</f>
        <v>5</v>
      </c>
      <c r="D1325" s="0" t="n">
        <f aca="false">DAY(A1325)</f>
        <v>28</v>
      </c>
      <c r="E1325" s="0" t="n">
        <f aca="false">HOUR(A1325)</f>
        <v>14</v>
      </c>
      <c r="F1325" s="0" t="n">
        <f aca="false">IF(C1325&gt;=6,0,1)</f>
        <v>1</v>
      </c>
      <c r="G1325" s="0" t="n">
        <f aca="false">VLOOKUP(E1325,Sheet1!$A$2:$B$25,2,0)</f>
        <v>1</v>
      </c>
    </row>
    <row r="1326" customFormat="false" ht="15" hidden="false" customHeight="false" outlineLevel="0" collapsed="false">
      <c r="A1326" s="13" t="n">
        <v>44589.6041666667</v>
      </c>
      <c r="B1326" s="12" t="n">
        <v>364.465</v>
      </c>
      <c r="C1326" s="0" t="n">
        <f aca="false">WEEKDAY(A1326,2)</f>
        <v>5</v>
      </c>
      <c r="D1326" s="0" t="n">
        <f aca="false">DAY(A1326)</f>
        <v>28</v>
      </c>
      <c r="E1326" s="0" t="n">
        <f aca="false">HOUR(A1326)</f>
        <v>14</v>
      </c>
      <c r="F1326" s="0" t="n">
        <f aca="false">IF(C1326&gt;=6,0,1)</f>
        <v>1</v>
      </c>
      <c r="G1326" s="0" t="n">
        <f aca="false">VLOOKUP(E1326,Sheet1!$A$2:$B$25,2,0)</f>
        <v>1</v>
      </c>
    </row>
    <row r="1327" customFormat="false" ht="15" hidden="false" customHeight="false" outlineLevel="0" collapsed="false">
      <c r="A1327" s="13" t="n">
        <v>44589.625</v>
      </c>
      <c r="B1327" s="12" t="n">
        <v>359.636</v>
      </c>
      <c r="C1327" s="0" t="n">
        <f aca="false">WEEKDAY(A1327,2)</f>
        <v>5</v>
      </c>
      <c r="D1327" s="0" t="n">
        <f aca="false">DAY(A1327)</f>
        <v>28</v>
      </c>
      <c r="E1327" s="0" t="n">
        <f aca="false">HOUR(A1327)</f>
        <v>15</v>
      </c>
      <c r="F1327" s="0" t="n">
        <f aca="false">IF(C1327&gt;=6,0,1)</f>
        <v>1</v>
      </c>
      <c r="G1327" s="0" t="n">
        <f aca="false">VLOOKUP(E1327,Sheet1!$A$2:$B$25,2,0)</f>
        <v>1</v>
      </c>
    </row>
    <row r="1328" customFormat="false" ht="15" hidden="false" customHeight="false" outlineLevel="0" collapsed="false">
      <c r="A1328" s="13" t="n">
        <v>44589.6458333333</v>
      </c>
      <c r="B1328" s="12" t="n">
        <v>357.001</v>
      </c>
      <c r="C1328" s="0" t="n">
        <f aca="false">WEEKDAY(A1328,2)</f>
        <v>5</v>
      </c>
      <c r="D1328" s="0" t="n">
        <f aca="false">DAY(A1328)</f>
        <v>28</v>
      </c>
      <c r="E1328" s="0" t="n">
        <f aca="false">HOUR(A1328)</f>
        <v>15</v>
      </c>
      <c r="F1328" s="0" t="n">
        <f aca="false">IF(C1328&gt;=6,0,1)</f>
        <v>1</v>
      </c>
      <c r="G1328" s="0" t="n">
        <f aca="false">VLOOKUP(E1328,Sheet1!$A$2:$B$25,2,0)</f>
        <v>1</v>
      </c>
    </row>
    <row r="1329" customFormat="false" ht="15" hidden="false" customHeight="false" outlineLevel="0" collapsed="false">
      <c r="A1329" s="13" t="n">
        <v>44589.6666666667</v>
      </c>
      <c r="B1329" s="12" t="n">
        <v>345.596</v>
      </c>
      <c r="C1329" s="0" t="n">
        <f aca="false">WEEKDAY(A1329,2)</f>
        <v>5</v>
      </c>
      <c r="D1329" s="0" t="n">
        <f aca="false">DAY(A1329)</f>
        <v>28</v>
      </c>
      <c r="E1329" s="0" t="n">
        <f aca="false">HOUR(A1329)</f>
        <v>16</v>
      </c>
      <c r="F1329" s="0" t="n">
        <f aca="false">IF(C1329&gt;=6,0,1)</f>
        <v>1</v>
      </c>
      <c r="G1329" s="0" t="n">
        <f aca="false">VLOOKUP(E1329,Sheet1!$A$2:$B$25,2,0)</f>
        <v>0</v>
      </c>
    </row>
    <row r="1330" customFormat="false" ht="15" hidden="false" customHeight="false" outlineLevel="0" collapsed="false">
      <c r="A1330" s="13" t="n">
        <v>44589.6875</v>
      </c>
      <c r="B1330" s="12" t="n">
        <v>343.921</v>
      </c>
      <c r="C1330" s="0" t="n">
        <f aca="false">WEEKDAY(A1330,2)</f>
        <v>5</v>
      </c>
      <c r="D1330" s="0" t="n">
        <f aca="false">DAY(A1330)</f>
        <v>28</v>
      </c>
      <c r="E1330" s="0" t="n">
        <f aca="false">HOUR(A1330)</f>
        <v>16</v>
      </c>
      <c r="F1330" s="0" t="n">
        <f aca="false">IF(C1330&gt;=6,0,1)</f>
        <v>1</v>
      </c>
      <c r="G1330" s="0" t="n">
        <f aca="false">VLOOKUP(E1330,Sheet1!$A$2:$B$25,2,0)</f>
        <v>0</v>
      </c>
    </row>
    <row r="1331" customFormat="false" ht="15" hidden="false" customHeight="false" outlineLevel="0" collapsed="false">
      <c r="A1331" s="13" t="n">
        <v>44589.7083333333</v>
      </c>
      <c r="B1331" s="12" t="n">
        <v>359.78</v>
      </c>
      <c r="C1331" s="0" t="n">
        <f aca="false">WEEKDAY(A1331,2)</f>
        <v>5</v>
      </c>
      <c r="D1331" s="0" t="n">
        <f aca="false">DAY(A1331)</f>
        <v>28</v>
      </c>
      <c r="E1331" s="0" t="n">
        <f aca="false">HOUR(A1331)</f>
        <v>17</v>
      </c>
      <c r="F1331" s="0" t="n">
        <f aca="false">IF(C1331&gt;=6,0,1)</f>
        <v>1</v>
      </c>
      <c r="G1331" s="0" t="n">
        <f aca="false">VLOOKUP(E1331,Sheet1!$A$2:$B$25,2,0)</f>
        <v>0</v>
      </c>
    </row>
    <row r="1332" customFormat="false" ht="15" hidden="false" customHeight="false" outlineLevel="0" collapsed="false">
      <c r="A1332" s="13" t="n">
        <v>44589.7291666667</v>
      </c>
      <c r="B1332" s="12" t="n">
        <v>338.06</v>
      </c>
      <c r="C1332" s="0" t="n">
        <f aca="false">WEEKDAY(A1332,2)</f>
        <v>5</v>
      </c>
      <c r="D1332" s="0" t="n">
        <f aca="false">DAY(A1332)</f>
        <v>28</v>
      </c>
      <c r="E1332" s="0" t="n">
        <f aca="false">HOUR(A1332)</f>
        <v>17</v>
      </c>
      <c r="F1332" s="0" t="n">
        <f aca="false">IF(C1332&gt;=6,0,1)</f>
        <v>1</v>
      </c>
      <c r="G1332" s="0" t="n">
        <f aca="false">VLOOKUP(E1332,Sheet1!$A$2:$B$25,2,0)</f>
        <v>0</v>
      </c>
    </row>
    <row r="1333" customFormat="false" ht="15" hidden="false" customHeight="false" outlineLevel="0" collapsed="false">
      <c r="A1333" s="13" t="n">
        <v>44589.75</v>
      </c>
      <c r="B1333" s="12" t="n">
        <v>335.3</v>
      </c>
      <c r="C1333" s="0" t="n">
        <f aca="false">WEEKDAY(A1333,2)</f>
        <v>5</v>
      </c>
      <c r="D1333" s="0" t="n">
        <f aca="false">DAY(A1333)</f>
        <v>28</v>
      </c>
      <c r="E1333" s="0" t="n">
        <f aca="false">HOUR(A1333)</f>
        <v>18</v>
      </c>
      <c r="F1333" s="0" t="n">
        <f aca="false">IF(C1333&gt;=6,0,1)</f>
        <v>1</v>
      </c>
      <c r="G1333" s="0" t="n">
        <f aca="false">VLOOKUP(E1333,Sheet1!$A$2:$B$25,2,0)</f>
        <v>0</v>
      </c>
    </row>
    <row r="1334" customFormat="false" ht="15" hidden="false" customHeight="false" outlineLevel="0" collapsed="false">
      <c r="A1334" s="13" t="n">
        <v>44589.7708333333</v>
      </c>
      <c r="B1334" s="12" t="n">
        <v>329.665</v>
      </c>
      <c r="C1334" s="0" t="n">
        <f aca="false">WEEKDAY(A1334,2)</f>
        <v>5</v>
      </c>
      <c r="D1334" s="0" t="n">
        <f aca="false">DAY(A1334)</f>
        <v>28</v>
      </c>
      <c r="E1334" s="0" t="n">
        <f aca="false">HOUR(A1334)</f>
        <v>18</v>
      </c>
      <c r="F1334" s="0" t="n">
        <f aca="false">IF(C1334&gt;=6,0,1)</f>
        <v>1</v>
      </c>
      <c r="G1334" s="0" t="n">
        <f aca="false">VLOOKUP(E1334,Sheet1!$A$2:$B$25,2,0)</f>
        <v>0</v>
      </c>
    </row>
    <row r="1335" customFormat="false" ht="15" hidden="false" customHeight="false" outlineLevel="0" collapsed="false">
      <c r="A1335" s="13" t="n">
        <v>44589.7916666667</v>
      </c>
      <c r="B1335" s="12" t="n">
        <v>336.98</v>
      </c>
      <c r="C1335" s="0" t="n">
        <f aca="false">WEEKDAY(A1335,2)</f>
        <v>5</v>
      </c>
      <c r="D1335" s="0" t="n">
        <f aca="false">DAY(A1335)</f>
        <v>28</v>
      </c>
      <c r="E1335" s="0" t="n">
        <f aca="false">HOUR(A1335)</f>
        <v>19</v>
      </c>
      <c r="F1335" s="0" t="n">
        <f aca="false">IF(C1335&gt;=6,0,1)</f>
        <v>1</v>
      </c>
      <c r="G1335" s="0" t="n">
        <f aca="false">VLOOKUP(E1335,Sheet1!$A$2:$B$25,2,0)</f>
        <v>0</v>
      </c>
    </row>
    <row r="1336" customFormat="false" ht="15" hidden="false" customHeight="false" outlineLevel="0" collapsed="false">
      <c r="A1336" s="13" t="n">
        <v>44589.8125</v>
      </c>
      <c r="B1336" s="12" t="n">
        <v>325.796</v>
      </c>
      <c r="C1336" s="0" t="n">
        <f aca="false">WEEKDAY(A1336,2)</f>
        <v>5</v>
      </c>
      <c r="D1336" s="0" t="n">
        <f aca="false">DAY(A1336)</f>
        <v>28</v>
      </c>
      <c r="E1336" s="0" t="n">
        <f aca="false">HOUR(A1336)</f>
        <v>19</v>
      </c>
      <c r="F1336" s="0" t="n">
        <f aca="false">IF(C1336&gt;=6,0,1)</f>
        <v>1</v>
      </c>
      <c r="G1336" s="0" t="n">
        <f aca="false">VLOOKUP(E1336,Sheet1!$A$2:$B$25,2,0)</f>
        <v>0</v>
      </c>
    </row>
    <row r="1337" customFormat="false" ht="15" hidden="false" customHeight="false" outlineLevel="0" collapsed="false">
      <c r="A1337" s="13" t="n">
        <v>44589.8333333333</v>
      </c>
      <c r="B1337" s="12" t="n">
        <v>323.065</v>
      </c>
      <c r="C1337" s="0" t="n">
        <f aca="false">WEEKDAY(A1337,2)</f>
        <v>5</v>
      </c>
      <c r="D1337" s="0" t="n">
        <f aca="false">DAY(A1337)</f>
        <v>28</v>
      </c>
      <c r="E1337" s="0" t="n">
        <f aca="false">HOUR(A1337)</f>
        <v>20</v>
      </c>
      <c r="F1337" s="0" t="n">
        <f aca="false">IF(C1337&gt;=6,0,1)</f>
        <v>1</v>
      </c>
      <c r="G1337" s="0" t="n">
        <f aca="false">VLOOKUP(E1337,Sheet1!$A$2:$B$25,2,0)</f>
        <v>0</v>
      </c>
    </row>
    <row r="1338" customFormat="false" ht="15" hidden="false" customHeight="false" outlineLevel="0" collapsed="false">
      <c r="A1338" s="13" t="n">
        <v>44589.8541666667</v>
      </c>
      <c r="B1338" s="12" t="n">
        <v>321.836</v>
      </c>
      <c r="C1338" s="0" t="n">
        <f aca="false">WEEKDAY(A1338,2)</f>
        <v>5</v>
      </c>
      <c r="D1338" s="0" t="n">
        <f aca="false">DAY(A1338)</f>
        <v>28</v>
      </c>
      <c r="E1338" s="0" t="n">
        <f aca="false">HOUR(A1338)</f>
        <v>20</v>
      </c>
      <c r="F1338" s="0" t="n">
        <f aca="false">IF(C1338&gt;=6,0,1)</f>
        <v>1</v>
      </c>
      <c r="G1338" s="0" t="n">
        <f aca="false">VLOOKUP(E1338,Sheet1!$A$2:$B$25,2,0)</f>
        <v>0</v>
      </c>
    </row>
    <row r="1339" customFormat="false" ht="15" hidden="false" customHeight="false" outlineLevel="0" collapsed="false">
      <c r="A1339" s="13" t="n">
        <v>44589.875</v>
      </c>
      <c r="B1339" s="12" t="n">
        <v>333.74</v>
      </c>
      <c r="C1339" s="0" t="n">
        <f aca="false">WEEKDAY(A1339,2)</f>
        <v>5</v>
      </c>
      <c r="D1339" s="0" t="n">
        <f aca="false">DAY(A1339)</f>
        <v>28</v>
      </c>
      <c r="E1339" s="0" t="n">
        <f aca="false">HOUR(A1339)</f>
        <v>21</v>
      </c>
      <c r="F1339" s="0" t="n">
        <f aca="false">IF(C1339&gt;=6,0,1)</f>
        <v>1</v>
      </c>
      <c r="G1339" s="0" t="n">
        <f aca="false">VLOOKUP(E1339,Sheet1!$A$2:$B$25,2,0)</f>
        <v>0</v>
      </c>
    </row>
    <row r="1340" customFormat="false" ht="15" hidden="false" customHeight="false" outlineLevel="0" collapsed="false">
      <c r="A1340" s="13" t="n">
        <v>44589.8958333333</v>
      </c>
      <c r="B1340" s="12" t="n">
        <v>329.761</v>
      </c>
      <c r="C1340" s="0" t="n">
        <f aca="false">WEEKDAY(A1340,2)</f>
        <v>5</v>
      </c>
      <c r="D1340" s="0" t="n">
        <f aca="false">DAY(A1340)</f>
        <v>28</v>
      </c>
      <c r="E1340" s="0" t="n">
        <f aca="false">HOUR(A1340)</f>
        <v>21</v>
      </c>
      <c r="F1340" s="0" t="n">
        <f aca="false">IF(C1340&gt;=6,0,1)</f>
        <v>1</v>
      </c>
      <c r="G1340" s="0" t="n">
        <f aca="false">VLOOKUP(E1340,Sheet1!$A$2:$B$25,2,0)</f>
        <v>0</v>
      </c>
    </row>
    <row r="1341" customFormat="false" ht="15" hidden="false" customHeight="false" outlineLevel="0" collapsed="false">
      <c r="A1341" s="13" t="n">
        <v>44589.9166666667</v>
      </c>
      <c r="B1341" s="12" t="n">
        <v>323.3</v>
      </c>
      <c r="C1341" s="0" t="n">
        <f aca="false">WEEKDAY(A1341,2)</f>
        <v>5</v>
      </c>
      <c r="D1341" s="0" t="n">
        <f aca="false">DAY(A1341)</f>
        <v>28</v>
      </c>
      <c r="E1341" s="0" t="n">
        <f aca="false">HOUR(A1341)</f>
        <v>22</v>
      </c>
      <c r="F1341" s="0" t="n">
        <f aca="false">IF(C1341&gt;=6,0,1)</f>
        <v>1</v>
      </c>
      <c r="G1341" s="0" t="n">
        <f aca="false">VLOOKUP(E1341,Sheet1!$A$2:$B$25,2,0)</f>
        <v>0</v>
      </c>
    </row>
    <row r="1342" customFormat="false" ht="15" hidden="false" customHeight="false" outlineLevel="0" collapsed="false">
      <c r="A1342" s="13" t="n">
        <v>44589.9375</v>
      </c>
      <c r="B1342" s="12" t="n">
        <v>316.46</v>
      </c>
      <c r="C1342" s="0" t="n">
        <f aca="false">WEEKDAY(A1342,2)</f>
        <v>5</v>
      </c>
      <c r="D1342" s="0" t="n">
        <f aca="false">DAY(A1342)</f>
        <v>28</v>
      </c>
      <c r="E1342" s="0" t="n">
        <f aca="false">HOUR(A1342)</f>
        <v>22</v>
      </c>
      <c r="F1342" s="0" t="n">
        <f aca="false">IF(C1342&gt;=6,0,1)</f>
        <v>1</v>
      </c>
      <c r="G1342" s="0" t="n">
        <f aca="false">VLOOKUP(E1342,Sheet1!$A$2:$B$25,2,0)</f>
        <v>0</v>
      </c>
    </row>
    <row r="1343" customFormat="false" ht="15" hidden="false" customHeight="false" outlineLevel="0" collapsed="false">
      <c r="A1343" s="13" t="n">
        <v>44589.9583333333</v>
      </c>
      <c r="B1343" s="12" t="n">
        <v>317.66</v>
      </c>
      <c r="C1343" s="0" t="n">
        <f aca="false">WEEKDAY(A1343,2)</f>
        <v>5</v>
      </c>
      <c r="D1343" s="0" t="n">
        <f aca="false">DAY(A1343)</f>
        <v>28</v>
      </c>
      <c r="E1343" s="0" t="n">
        <f aca="false">HOUR(A1343)</f>
        <v>23</v>
      </c>
      <c r="F1343" s="0" t="n">
        <f aca="false">IF(C1343&gt;=6,0,1)</f>
        <v>1</v>
      </c>
      <c r="G1343" s="0" t="n">
        <f aca="false">VLOOKUP(E1343,Sheet1!$A$2:$B$25,2,0)</f>
        <v>0</v>
      </c>
    </row>
    <row r="1344" customFormat="false" ht="15" hidden="false" customHeight="false" outlineLevel="0" collapsed="false">
      <c r="A1344" s="13" t="n">
        <v>44589.9791666667</v>
      </c>
      <c r="B1344" s="12" t="n">
        <v>315.836</v>
      </c>
      <c r="C1344" s="0" t="n">
        <f aca="false">WEEKDAY(A1344,2)</f>
        <v>5</v>
      </c>
      <c r="D1344" s="0" t="n">
        <f aca="false">DAY(A1344)</f>
        <v>28</v>
      </c>
      <c r="E1344" s="0" t="n">
        <f aca="false">HOUR(A1344)</f>
        <v>23</v>
      </c>
      <c r="F1344" s="0" t="n">
        <f aca="false">IF(C1344&gt;=6,0,1)</f>
        <v>1</v>
      </c>
      <c r="G1344" s="0" t="n">
        <f aca="false">VLOOKUP(E1344,Sheet1!$A$2:$B$25,2,0)</f>
        <v>0</v>
      </c>
    </row>
    <row r="1345" customFormat="false" ht="15" hidden="false" customHeight="false" outlineLevel="0" collapsed="false">
      <c r="A1345" s="13" t="n">
        <v>44590</v>
      </c>
      <c r="B1345" s="12" t="n">
        <v>316.7</v>
      </c>
      <c r="C1345" s="0" t="n">
        <f aca="false">WEEKDAY(A1345,2)</f>
        <v>6</v>
      </c>
      <c r="D1345" s="0" t="n">
        <f aca="false">DAY(A1345)</f>
        <v>29</v>
      </c>
      <c r="E1345" s="0" t="n">
        <f aca="false">HOUR(A1345)</f>
        <v>0</v>
      </c>
      <c r="F1345" s="0" t="n">
        <f aca="false">IF(C1345&gt;=6,0,1)</f>
        <v>0</v>
      </c>
      <c r="G1345" s="0" t="n">
        <f aca="false">VLOOKUP(E1345,Sheet1!$A$2:$B$25,2,0)</f>
        <v>0</v>
      </c>
    </row>
    <row r="1346" customFormat="false" ht="15" hidden="false" customHeight="false" outlineLevel="0" collapsed="false">
      <c r="A1346" s="13" t="n">
        <v>44590.0208333333</v>
      </c>
      <c r="B1346" s="12" t="n">
        <v>320.905</v>
      </c>
      <c r="C1346" s="0" t="n">
        <f aca="false">WEEKDAY(A1346,2)</f>
        <v>6</v>
      </c>
      <c r="D1346" s="0" t="n">
        <f aca="false">DAY(A1346)</f>
        <v>29</v>
      </c>
      <c r="E1346" s="0" t="n">
        <f aca="false">HOUR(A1346)</f>
        <v>0</v>
      </c>
      <c r="F1346" s="0" t="n">
        <f aca="false">IF(C1346&gt;=6,0,1)</f>
        <v>0</v>
      </c>
      <c r="G1346" s="0" t="n">
        <f aca="false">VLOOKUP(E1346,Sheet1!$A$2:$B$25,2,0)</f>
        <v>0</v>
      </c>
    </row>
    <row r="1347" customFormat="false" ht="15" hidden="false" customHeight="false" outlineLevel="0" collapsed="false">
      <c r="A1347" s="13" t="n">
        <v>44590.0416666667</v>
      </c>
      <c r="B1347" s="12" t="n">
        <v>318.26</v>
      </c>
      <c r="C1347" s="0" t="n">
        <f aca="false">WEEKDAY(A1347,2)</f>
        <v>6</v>
      </c>
      <c r="D1347" s="0" t="n">
        <f aca="false">DAY(A1347)</f>
        <v>29</v>
      </c>
      <c r="E1347" s="0" t="n">
        <f aca="false">HOUR(A1347)</f>
        <v>1</v>
      </c>
      <c r="F1347" s="0" t="n">
        <f aca="false">IF(C1347&gt;=6,0,1)</f>
        <v>0</v>
      </c>
      <c r="G1347" s="0" t="n">
        <f aca="false">VLOOKUP(E1347,Sheet1!$A$2:$B$25,2,0)</f>
        <v>0</v>
      </c>
    </row>
    <row r="1348" customFormat="false" ht="15" hidden="false" customHeight="false" outlineLevel="0" collapsed="false">
      <c r="A1348" s="13" t="n">
        <v>44590.0625</v>
      </c>
      <c r="B1348" s="12" t="n">
        <v>315.86</v>
      </c>
      <c r="C1348" s="0" t="n">
        <f aca="false">WEEKDAY(A1348,2)</f>
        <v>6</v>
      </c>
      <c r="D1348" s="0" t="n">
        <f aca="false">DAY(A1348)</f>
        <v>29</v>
      </c>
      <c r="E1348" s="0" t="n">
        <f aca="false">HOUR(A1348)</f>
        <v>1</v>
      </c>
      <c r="F1348" s="0" t="n">
        <f aca="false">IF(C1348&gt;=6,0,1)</f>
        <v>0</v>
      </c>
      <c r="G1348" s="0" t="n">
        <f aca="false">VLOOKUP(E1348,Sheet1!$A$2:$B$25,2,0)</f>
        <v>0</v>
      </c>
    </row>
    <row r="1349" customFormat="false" ht="15" hidden="false" customHeight="false" outlineLevel="0" collapsed="false">
      <c r="A1349" s="13" t="n">
        <v>44590.0833333333</v>
      </c>
      <c r="B1349" s="12" t="n">
        <v>318.02</v>
      </c>
      <c r="C1349" s="0" t="n">
        <f aca="false">WEEKDAY(A1349,2)</f>
        <v>6</v>
      </c>
      <c r="D1349" s="0" t="n">
        <f aca="false">DAY(A1349)</f>
        <v>29</v>
      </c>
      <c r="E1349" s="0" t="n">
        <f aca="false">HOUR(A1349)</f>
        <v>2</v>
      </c>
      <c r="F1349" s="0" t="n">
        <f aca="false">IF(C1349&gt;=6,0,1)</f>
        <v>0</v>
      </c>
      <c r="G1349" s="0" t="n">
        <f aca="false">VLOOKUP(E1349,Sheet1!$A$2:$B$25,2,0)</f>
        <v>0</v>
      </c>
    </row>
    <row r="1350" customFormat="false" ht="15" hidden="false" customHeight="false" outlineLevel="0" collapsed="false">
      <c r="A1350" s="13" t="n">
        <v>44590.1041666667</v>
      </c>
      <c r="B1350" s="12" t="n">
        <v>319.46</v>
      </c>
      <c r="C1350" s="0" t="n">
        <f aca="false">WEEKDAY(A1350,2)</f>
        <v>6</v>
      </c>
      <c r="D1350" s="0" t="n">
        <f aca="false">DAY(A1350)</f>
        <v>29</v>
      </c>
      <c r="E1350" s="0" t="n">
        <f aca="false">HOUR(A1350)</f>
        <v>2</v>
      </c>
      <c r="F1350" s="0" t="n">
        <f aca="false">IF(C1350&gt;=6,0,1)</f>
        <v>0</v>
      </c>
      <c r="G1350" s="0" t="n">
        <f aca="false">VLOOKUP(E1350,Sheet1!$A$2:$B$25,2,0)</f>
        <v>0</v>
      </c>
    </row>
    <row r="1351" customFormat="false" ht="15" hidden="false" customHeight="false" outlineLevel="0" collapsed="false">
      <c r="A1351" s="13" t="n">
        <v>44590.125</v>
      </c>
      <c r="B1351" s="12" t="n">
        <v>317.42</v>
      </c>
      <c r="C1351" s="0" t="n">
        <f aca="false">WEEKDAY(A1351,2)</f>
        <v>6</v>
      </c>
      <c r="D1351" s="0" t="n">
        <f aca="false">DAY(A1351)</f>
        <v>29</v>
      </c>
      <c r="E1351" s="0" t="n">
        <f aca="false">HOUR(A1351)</f>
        <v>3</v>
      </c>
      <c r="F1351" s="0" t="n">
        <f aca="false">IF(C1351&gt;=6,0,1)</f>
        <v>0</v>
      </c>
      <c r="G1351" s="0" t="n">
        <f aca="false">VLOOKUP(E1351,Sheet1!$A$2:$B$25,2,0)</f>
        <v>0</v>
      </c>
    </row>
    <row r="1352" customFormat="false" ht="15" hidden="false" customHeight="false" outlineLevel="0" collapsed="false">
      <c r="A1352" s="13" t="n">
        <v>44590.1458333333</v>
      </c>
      <c r="B1352" s="12" t="n">
        <v>312.596</v>
      </c>
      <c r="C1352" s="0" t="n">
        <f aca="false">WEEKDAY(A1352,2)</f>
        <v>6</v>
      </c>
      <c r="D1352" s="0" t="n">
        <f aca="false">DAY(A1352)</f>
        <v>29</v>
      </c>
      <c r="E1352" s="0" t="n">
        <f aca="false">HOUR(A1352)</f>
        <v>3</v>
      </c>
      <c r="F1352" s="0" t="n">
        <f aca="false">IF(C1352&gt;=6,0,1)</f>
        <v>0</v>
      </c>
      <c r="G1352" s="0" t="n">
        <f aca="false">VLOOKUP(E1352,Sheet1!$A$2:$B$25,2,0)</f>
        <v>0</v>
      </c>
    </row>
    <row r="1353" customFormat="false" ht="15" hidden="false" customHeight="false" outlineLevel="0" collapsed="false">
      <c r="A1353" s="13" t="n">
        <v>44590.1666666667</v>
      </c>
      <c r="B1353" s="12" t="n">
        <v>312.14</v>
      </c>
      <c r="C1353" s="0" t="n">
        <f aca="false">WEEKDAY(A1353,2)</f>
        <v>6</v>
      </c>
      <c r="D1353" s="0" t="n">
        <f aca="false">DAY(A1353)</f>
        <v>29</v>
      </c>
      <c r="E1353" s="0" t="n">
        <f aca="false">HOUR(A1353)</f>
        <v>4</v>
      </c>
      <c r="F1353" s="0" t="n">
        <f aca="false">IF(C1353&gt;=6,0,1)</f>
        <v>0</v>
      </c>
      <c r="G1353" s="0" t="n">
        <f aca="false">VLOOKUP(E1353,Sheet1!$A$2:$B$25,2,0)</f>
        <v>1</v>
      </c>
    </row>
    <row r="1354" customFormat="false" ht="15" hidden="false" customHeight="false" outlineLevel="0" collapsed="false">
      <c r="A1354" s="13" t="n">
        <v>44590.1875</v>
      </c>
      <c r="B1354" s="12" t="n">
        <v>319.58</v>
      </c>
      <c r="C1354" s="0" t="n">
        <f aca="false">WEEKDAY(A1354,2)</f>
        <v>6</v>
      </c>
      <c r="D1354" s="0" t="n">
        <f aca="false">DAY(A1354)</f>
        <v>29</v>
      </c>
      <c r="E1354" s="0" t="n">
        <f aca="false">HOUR(A1354)</f>
        <v>4</v>
      </c>
      <c r="F1354" s="0" t="n">
        <f aca="false">IF(C1354&gt;=6,0,1)</f>
        <v>0</v>
      </c>
      <c r="G1354" s="0" t="n">
        <f aca="false">VLOOKUP(E1354,Sheet1!$A$2:$B$25,2,0)</f>
        <v>1</v>
      </c>
    </row>
    <row r="1355" customFormat="false" ht="15" hidden="false" customHeight="false" outlineLevel="0" collapsed="false">
      <c r="A1355" s="13" t="n">
        <v>44590.2083333333</v>
      </c>
      <c r="B1355" s="12" t="n">
        <v>322.796</v>
      </c>
      <c r="C1355" s="0" t="n">
        <f aca="false">WEEKDAY(A1355,2)</f>
        <v>6</v>
      </c>
      <c r="D1355" s="0" t="n">
        <f aca="false">DAY(A1355)</f>
        <v>29</v>
      </c>
      <c r="E1355" s="0" t="n">
        <f aca="false">HOUR(A1355)</f>
        <v>5</v>
      </c>
      <c r="F1355" s="0" t="n">
        <f aca="false">IF(C1355&gt;=6,0,1)</f>
        <v>0</v>
      </c>
      <c r="G1355" s="0" t="n">
        <f aca="false">VLOOKUP(E1355,Sheet1!$A$2:$B$25,2,0)</f>
        <v>1</v>
      </c>
    </row>
    <row r="1356" customFormat="false" ht="15" hidden="false" customHeight="false" outlineLevel="0" collapsed="false">
      <c r="A1356" s="13" t="n">
        <v>44590.2291666667</v>
      </c>
      <c r="B1356" s="12" t="n">
        <v>319.94</v>
      </c>
      <c r="C1356" s="0" t="n">
        <f aca="false">WEEKDAY(A1356,2)</f>
        <v>6</v>
      </c>
      <c r="D1356" s="0" t="n">
        <f aca="false">DAY(A1356)</f>
        <v>29</v>
      </c>
      <c r="E1356" s="0" t="n">
        <f aca="false">HOUR(A1356)</f>
        <v>5</v>
      </c>
      <c r="F1356" s="0" t="n">
        <f aca="false">IF(C1356&gt;=6,0,1)</f>
        <v>0</v>
      </c>
      <c r="G1356" s="0" t="n">
        <f aca="false">VLOOKUP(E1356,Sheet1!$A$2:$B$25,2,0)</f>
        <v>1</v>
      </c>
    </row>
    <row r="1357" customFormat="false" ht="15" hidden="false" customHeight="false" outlineLevel="0" collapsed="false">
      <c r="A1357" s="13" t="n">
        <v>44590.25</v>
      </c>
      <c r="B1357" s="12" t="n">
        <v>322.945</v>
      </c>
      <c r="C1357" s="0" t="n">
        <f aca="false">WEEKDAY(A1357,2)</f>
        <v>6</v>
      </c>
      <c r="D1357" s="0" t="n">
        <f aca="false">DAY(A1357)</f>
        <v>29</v>
      </c>
      <c r="E1357" s="0" t="n">
        <f aca="false">HOUR(A1357)</f>
        <v>6</v>
      </c>
      <c r="F1357" s="0" t="n">
        <f aca="false">IF(C1357&gt;=6,0,1)</f>
        <v>0</v>
      </c>
      <c r="G1357" s="0" t="n">
        <f aca="false">VLOOKUP(E1357,Sheet1!$A$2:$B$25,2,0)</f>
        <v>1</v>
      </c>
    </row>
    <row r="1358" customFormat="false" ht="15" hidden="false" customHeight="false" outlineLevel="0" collapsed="false">
      <c r="A1358" s="13" t="n">
        <v>44590.2708333333</v>
      </c>
      <c r="B1358" s="12" t="n">
        <v>344.036</v>
      </c>
      <c r="C1358" s="0" t="n">
        <f aca="false">WEEKDAY(A1358,2)</f>
        <v>6</v>
      </c>
      <c r="D1358" s="0" t="n">
        <f aca="false">DAY(A1358)</f>
        <v>29</v>
      </c>
      <c r="E1358" s="0" t="n">
        <f aca="false">HOUR(A1358)</f>
        <v>6</v>
      </c>
      <c r="F1358" s="0" t="n">
        <f aca="false">IF(C1358&gt;=6,0,1)</f>
        <v>0</v>
      </c>
      <c r="G1358" s="0" t="n">
        <f aca="false">VLOOKUP(E1358,Sheet1!$A$2:$B$25,2,0)</f>
        <v>1</v>
      </c>
    </row>
    <row r="1359" customFormat="false" ht="15" hidden="false" customHeight="false" outlineLevel="0" collapsed="false">
      <c r="A1359" s="13" t="n">
        <v>44590.2916666667</v>
      </c>
      <c r="B1359" s="12" t="n">
        <v>342.74</v>
      </c>
      <c r="C1359" s="0" t="n">
        <f aca="false">WEEKDAY(A1359,2)</f>
        <v>6</v>
      </c>
      <c r="D1359" s="0" t="n">
        <f aca="false">DAY(A1359)</f>
        <v>29</v>
      </c>
      <c r="E1359" s="0" t="n">
        <f aca="false">HOUR(A1359)</f>
        <v>7</v>
      </c>
      <c r="F1359" s="0" t="n">
        <f aca="false">IF(C1359&gt;=6,0,1)</f>
        <v>0</v>
      </c>
      <c r="G1359" s="0" t="n">
        <f aca="false">VLOOKUP(E1359,Sheet1!$A$2:$B$25,2,0)</f>
        <v>1</v>
      </c>
    </row>
    <row r="1360" customFormat="false" ht="15" hidden="false" customHeight="false" outlineLevel="0" collapsed="false">
      <c r="A1360" s="13" t="n">
        <v>44590.3125</v>
      </c>
      <c r="B1360" s="12" t="n">
        <v>346.796</v>
      </c>
      <c r="C1360" s="0" t="n">
        <f aca="false">WEEKDAY(A1360,2)</f>
        <v>6</v>
      </c>
      <c r="D1360" s="0" t="n">
        <f aca="false">DAY(A1360)</f>
        <v>29</v>
      </c>
      <c r="E1360" s="0" t="n">
        <f aca="false">HOUR(A1360)</f>
        <v>7</v>
      </c>
      <c r="F1360" s="0" t="n">
        <f aca="false">IF(C1360&gt;=6,0,1)</f>
        <v>0</v>
      </c>
      <c r="G1360" s="0" t="n">
        <f aca="false">VLOOKUP(E1360,Sheet1!$A$2:$B$25,2,0)</f>
        <v>1</v>
      </c>
    </row>
    <row r="1361" customFormat="false" ht="15" hidden="false" customHeight="false" outlineLevel="0" collapsed="false">
      <c r="A1361" s="13" t="n">
        <v>44590.3333333333</v>
      </c>
      <c r="B1361" s="12" t="n">
        <v>333.025</v>
      </c>
      <c r="C1361" s="0" t="n">
        <f aca="false">WEEKDAY(A1361,2)</f>
        <v>6</v>
      </c>
      <c r="D1361" s="0" t="n">
        <f aca="false">DAY(A1361)</f>
        <v>29</v>
      </c>
      <c r="E1361" s="0" t="n">
        <f aca="false">HOUR(A1361)</f>
        <v>8</v>
      </c>
      <c r="F1361" s="0" t="n">
        <f aca="false">IF(C1361&gt;=6,0,1)</f>
        <v>0</v>
      </c>
      <c r="G1361" s="0" t="n">
        <f aca="false">VLOOKUP(E1361,Sheet1!$A$2:$B$25,2,0)</f>
        <v>1</v>
      </c>
    </row>
    <row r="1362" customFormat="false" ht="15" hidden="false" customHeight="false" outlineLevel="0" collapsed="false">
      <c r="A1362" s="13" t="n">
        <v>44590.3541666667</v>
      </c>
      <c r="B1362" s="12" t="n">
        <v>333.62</v>
      </c>
      <c r="C1362" s="0" t="n">
        <f aca="false">WEEKDAY(A1362,2)</f>
        <v>6</v>
      </c>
      <c r="D1362" s="0" t="n">
        <f aca="false">DAY(A1362)</f>
        <v>29</v>
      </c>
      <c r="E1362" s="0" t="n">
        <f aca="false">HOUR(A1362)</f>
        <v>8</v>
      </c>
      <c r="F1362" s="0" t="n">
        <f aca="false">IF(C1362&gt;=6,0,1)</f>
        <v>0</v>
      </c>
      <c r="G1362" s="0" t="n">
        <f aca="false">VLOOKUP(E1362,Sheet1!$A$2:$B$25,2,0)</f>
        <v>1</v>
      </c>
    </row>
    <row r="1363" customFormat="false" ht="15" hidden="false" customHeight="false" outlineLevel="0" collapsed="false">
      <c r="A1363" s="13" t="n">
        <v>44590.375</v>
      </c>
      <c r="B1363" s="12" t="n">
        <v>328.561</v>
      </c>
      <c r="C1363" s="0" t="n">
        <f aca="false">WEEKDAY(A1363,2)</f>
        <v>6</v>
      </c>
      <c r="D1363" s="0" t="n">
        <f aca="false">DAY(A1363)</f>
        <v>29</v>
      </c>
      <c r="E1363" s="0" t="n">
        <f aca="false">HOUR(A1363)</f>
        <v>9</v>
      </c>
      <c r="F1363" s="0" t="n">
        <f aca="false">IF(C1363&gt;=6,0,1)</f>
        <v>0</v>
      </c>
      <c r="G1363" s="0" t="n">
        <f aca="false">VLOOKUP(E1363,Sheet1!$A$2:$B$25,2,0)</f>
        <v>1</v>
      </c>
    </row>
    <row r="1364" customFormat="false" ht="15" hidden="false" customHeight="false" outlineLevel="0" collapsed="false">
      <c r="A1364" s="13" t="n">
        <v>44590.3958333333</v>
      </c>
      <c r="B1364" s="12" t="n">
        <v>336.86</v>
      </c>
      <c r="C1364" s="0" t="n">
        <f aca="false">WEEKDAY(A1364,2)</f>
        <v>6</v>
      </c>
      <c r="D1364" s="0" t="n">
        <f aca="false">DAY(A1364)</f>
        <v>29</v>
      </c>
      <c r="E1364" s="0" t="n">
        <f aca="false">HOUR(A1364)</f>
        <v>9</v>
      </c>
      <c r="F1364" s="0" t="n">
        <f aca="false">IF(C1364&gt;=6,0,1)</f>
        <v>0</v>
      </c>
      <c r="G1364" s="0" t="n">
        <f aca="false">VLOOKUP(E1364,Sheet1!$A$2:$B$25,2,0)</f>
        <v>1</v>
      </c>
    </row>
    <row r="1365" customFormat="false" ht="15" hidden="false" customHeight="false" outlineLevel="0" collapsed="false">
      <c r="A1365" s="13" t="n">
        <v>44590.4166666667</v>
      </c>
      <c r="B1365" s="12" t="n">
        <v>341.156</v>
      </c>
      <c r="C1365" s="0" t="n">
        <f aca="false">WEEKDAY(A1365,2)</f>
        <v>6</v>
      </c>
      <c r="D1365" s="0" t="n">
        <f aca="false">DAY(A1365)</f>
        <v>29</v>
      </c>
      <c r="E1365" s="0" t="n">
        <f aca="false">HOUR(A1365)</f>
        <v>10</v>
      </c>
      <c r="F1365" s="0" t="n">
        <f aca="false">IF(C1365&gt;=6,0,1)</f>
        <v>0</v>
      </c>
      <c r="G1365" s="0" t="n">
        <f aca="false">VLOOKUP(E1365,Sheet1!$A$2:$B$25,2,0)</f>
        <v>1</v>
      </c>
    </row>
    <row r="1366" customFormat="false" ht="15" hidden="false" customHeight="false" outlineLevel="0" collapsed="false">
      <c r="A1366" s="13" t="n">
        <v>44590.4375</v>
      </c>
      <c r="B1366" s="12" t="n">
        <v>334.46</v>
      </c>
      <c r="C1366" s="0" t="n">
        <f aca="false">WEEKDAY(A1366,2)</f>
        <v>6</v>
      </c>
      <c r="D1366" s="0" t="n">
        <f aca="false">DAY(A1366)</f>
        <v>29</v>
      </c>
      <c r="E1366" s="0" t="n">
        <f aca="false">HOUR(A1366)</f>
        <v>10</v>
      </c>
      <c r="F1366" s="0" t="n">
        <f aca="false">IF(C1366&gt;=6,0,1)</f>
        <v>0</v>
      </c>
      <c r="G1366" s="0" t="n">
        <f aca="false">VLOOKUP(E1366,Sheet1!$A$2:$B$25,2,0)</f>
        <v>1</v>
      </c>
    </row>
    <row r="1367" customFormat="false" ht="15" hidden="false" customHeight="false" outlineLevel="0" collapsed="false">
      <c r="A1367" s="13" t="n">
        <v>44590.4583333333</v>
      </c>
      <c r="B1367" s="12" t="n">
        <v>334.105</v>
      </c>
      <c r="C1367" s="0" t="n">
        <f aca="false">WEEKDAY(A1367,2)</f>
        <v>6</v>
      </c>
      <c r="D1367" s="0" t="n">
        <f aca="false">DAY(A1367)</f>
        <v>29</v>
      </c>
      <c r="E1367" s="0" t="n">
        <f aca="false">HOUR(A1367)</f>
        <v>11</v>
      </c>
      <c r="F1367" s="0" t="n">
        <f aca="false">IF(C1367&gt;=6,0,1)</f>
        <v>0</v>
      </c>
      <c r="G1367" s="0" t="n">
        <f aca="false">VLOOKUP(E1367,Sheet1!$A$2:$B$25,2,0)</f>
        <v>1</v>
      </c>
    </row>
    <row r="1368" customFormat="false" ht="15" hidden="false" customHeight="false" outlineLevel="0" collapsed="false">
      <c r="A1368" s="13" t="n">
        <v>44590.4791666667</v>
      </c>
      <c r="B1368" s="12" t="n">
        <v>337.7</v>
      </c>
      <c r="C1368" s="0" t="n">
        <f aca="false">WEEKDAY(A1368,2)</f>
        <v>6</v>
      </c>
      <c r="D1368" s="0" t="n">
        <f aca="false">DAY(A1368)</f>
        <v>29</v>
      </c>
      <c r="E1368" s="0" t="n">
        <f aca="false">HOUR(A1368)</f>
        <v>11</v>
      </c>
      <c r="F1368" s="0" t="n">
        <f aca="false">IF(C1368&gt;=6,0,1)</f>
        <v>0</v>
      </c>
      <c r="G1368" s="0" t="n">
        <f aca="false">VLOOKUP(E1368,Sheet1!$A$2:$B$25,2,0)</f>
        <v>1</v>
      </c>
    </row>
    <row r="1369" customFormat="false" ht="15" hidden="false" customHeight="false" outlineLevel="0" collapsed="false">
      <c r="A1369" s="13" t="n">
        <v>44590.5</v>
      </c>
      <c r="B1369" s="12" t="n">
        <v>328.676</v>
      </c>
      <c r="C1369" s="0" t="n">
        <f aca="false">WEEKDAY(A1369,2)</f>
        <v>6</v>
      </c>
      <c r="D1369" s="0" t="n">
        <f aca="false">DAY(A1369)</f>
        <v>29</v>
      </c>
      <c r="E1369" s="0" t="n">
        <f aca="false">HOUR(A1369)</f>
        <v>12</v>
      </c>
      <c r="F1369" s="0" t="n">
        <f aca="false">IF(C1369&gt;=6,0,1)</f>
        <v>0</v>
      </c>
      <c r="G1369" s="0" t="n">
        <f aca="false">VLOOKUP(E1369,Sheet1!$A$2:$B$25,2,0)</f>
        <v>1</v>
      </c>
    </row>
    <row r="1370" customFormat="false" ht="15" hidden="false" customHeight="false" outlineLevel="0" collapsed="false">
      <c r="A1370" s="13" t="n">
        <v>44590.5208333333</v>
      </c>
      <c r="B1370" s="12" t="n">
        <v>328.916</v>
      </c>
      <c r="C1370" s="0" t="n">
        <f aca="false">WEEKDAY(A1370,2)</f>
        <v>6</v>
      </c>
      <c r="D1370" s="0" t="n">
        <f aca="false">DAY(A1370)</f>
        <v>29</v>
      </c>
      <c r="E1370" s="0" t="n">
        <f aca="false">HOUR(A1370)</f>
        <v>12</v>
      </c>
      <c r="F1370" s="0" t="n">
        <f aca="false">IF(C1370&gt;=6,0,1)</f>
        <v>0</v>
      </c>
      <c r="G1370" s="0" t="n">
        <f aca="false">VLOOKUP(E1370,Sheet1!$A$2:$B$25,2,0)</f>
        <v>1</v>
      </c>
    </row>
    <row r="1371" customFormat="false" ht="15" hidden="false" customHeight="false" outlineLevel="0" collapsed="false">
      <c r="A1371" s="13" t="n">
        <v>44590.5416666667</v>
      </c>
      <c r="B1371" s="12" t="n">
        <v>311.905</v>
      </c>
      <c r="C1371" s="0" t="n">
        <f aca="false">WEEKDAY(A1371,2)</f>
        <v>6</v>
      </c>
      <c r="D1371" s="0" t="n">
        <f aca="false">DAY(A1371)</f>
        <v>29</v>
      </c>
      <c r="E1371" s="0" t="n">
        <f aca="false">HOUR(A1371)</f>
        <v>13</v>
      </c>
      <c r="F1371" s="0" t="n">
        <f aca="false">IF(C1371&gt;=6,0,1)</f>
        <v>0</v>
      </c>
      <c r="G1371" s="0" t="n">
        <f aca="false">VLOOKUP(E1371,Sheet1!$A$2:$B$25,2,0)</f>
        <v>1</v>
      </c>
    </row>
    <row r="1372" customFormat="false" ht="15" hidden="false" customHeight="false" outlineLevel="0" collapsed="false">
      <c r="A1372" s="13" t="n">
        <v>44590.5625</v>
      </c>
      <c r="B1372" s="12" t="n">
        <v>318.476</v>
      </c>
      <c r="C1372" s="0" t="n">
        <f aca="false">WEEKDAY(A1372,2)</f>
        <v>6</v>
      </c>
      <c r="D1372" s="0" t="n">
        <f aca="false">DAY(A1372)</f>
        <v>29</v>
      </c>
      <c r="E1372" s="0" t="n">
        <f aca="false">HOUR(A1372)</f>
        <v>13</v>
      </c>
      <c r="F1372" s="0" t="n">
        <f aca="false">IF(C1372&gt;=6,0,1)</f>
        <v>0</v>
      </c>
      <c r="G1372" s="0" t="n">
        <f aca="false">VLOOKUP(E1372,Sheet1!$A$2:$B$25,2,0)</f>
        <v>1</v>
      </c>
    </row>
    <row r="1373" customFormat="false" ht="15" hidden="false" customHeight="false" outlineLevel="0" collapsed="false">
      <c r="A1373" s="13" t="n">
        <v>44590.5833333333</v>
      </c>
      <c r="B1373" s="12" t="n">
        <v>334.316</v>
      </c>
      <c r="C1373" s="0" t="n">
        <f aca="false">WEEKDAY(A1373,2)</f>
        <v>6</v>
      </c>
      <c r="D1373" s="0" t="n">
        <f aca="false">DAY(A1373)</f>
        <v>29</v>
      </c>
      <c r="E1373" s="0" t="n">
        <f aca="false">HOUR(A1373)</f>
        <v>14</v>
      </c>
      <c r="F1373" s="0" t="n">
        <f aca="false">IF(C1373&gt;=6,0,1)</f>
        <v>0</v>
      </c>
      <c r="G1373" s="0" t="n">
        <f aca="false">VLOOKUP(E1373,Sheet1!$A$2:$B$25,2,0)</f>
        <v>1</v>
      </c>
    </row>
    <row r="1374" customFormat="false" ht="15" hidden="false" customHeight="false" outlineLevel="0" collapsed="false">
      <c r="A1374" s="13" t="n">
        <v>44590.6041666667</v>
      </c>
      <c r="B1374" s="12" t="n">
        <v>320.996</v>
      </c>
      <c r="C1374" s="0" t="n">
        <f aca="false">WEEKDAY(A1374,2)</f>
        <v>6</v>
      </c>
      <c r="D1374" s="0" t="n">
        <f aca="false">DAY(A1374)</f>
        <v>29</v>
      </c>
      <c r="E1374" s="0" t="n">
        <f aca="false">HOUR(A1374)</f>
        <v>14</v>
      </c>
      <c r="F1374" s="0" t="n">
        <f aca="false">IF(C1374&gt;=6,0,1)</f>
        <v>0</v>
      </c>
      <c r="G1374" s="0" t="n">
        <f aca="false">VLOOKUP(E1374,Sheet1!$A$2:$B$25,2,0)</f>
        <v>1</v>
      </c>
    </row>
    <row r="1375" customFormat="false" ht="15" hidden="false" customHeight="false" outlineLevel="0" collapsed="false">
      <c r="A1375" s="13" t="n">
        <v>44590.625</v>
      </c>
      <c r="B1375" s="12" t="n">
        <v>314.401</v>
      </c>
      <c r="C1375" s="0" t="n">
        <f aca="false">WEEKDAY(A1375,2)</f>
        <v>6</v>
      </c>
      <c r="D1375" s="0" t="n">
        <f aca="false">DAY(A1375)</f>
        <v>29</v>
      </c>
      <c r="E1375" s="0" t="n">
        <f aca="false">HOUR(A1375)</f>
        <v>15</v>
      </c>
      <c r="F1375" s="0" t="n">
        <f aca="false">IF(C1375&gt;=6,0,1)</f>
        <v>0</v>
      </c>
      <c r="G1375" s="0" t="n">
        <f aca="false">VLOOKUP(E1375,Sheet1!$A$2:$B$25,2,0)</f>
        <v>1</v>
      </c>
    </row>
    <row r="1376" customFormat="false" ht="15" hidden="false" customHeight="false" outlineLevel="0" collapsed="false">
      <c r="A1376" s="13" t="n">
        <v>44590.6458333333</v>
      </c>
      <c r="B1376" s="12" t="n">
        <v>316.58</v>
      </c>
      <c r="C1376" s="0" t="n">
        <f aca="false">WEEKDAY(A1376,2)</f>
        <v>6</v>
      </c>
      <c r="D1376" s="0" t="n">
        <f aca="false">DAY(A1376)</f>
        <v>29</v>
      </c>
      <c r="E1376" s="0" t="n">
        <f aca="false">HOUR(A1376)</f>
        <v>15</v>
      </c>
      <c r="F1376" s="0" t="n">
        <f aca="false">IF(C1376&gt;=6,0,1)</f>
        <v>0</v>
      </c>
      <c r="G1376" s="0" t="n">
        <f aca="false">VLOOKUP(E1376,Sheet1!$A$2:$B$25,2,0)</f>
        <v>1</v>
      </c>
    </row>
    <row r="1377" customFormat="false" ht="15" hidden="false" customHeight="false" outlineLevel="0" collapsed="false">
      <c r="A1377" s="13" t="n">
        <v>44590.6666666667</v>
      </c>
      <c r="B1377" s="12" t="n">
        <v>317.78</v>
      </c>
      <c r="C1377" s="0" t="n">
        <f aca="false">WEEKDAY(A1377,2)</f>
        <v>6</v>
      </c>
      <c r="D1377" s="0" t="n">
        <f aca="false">DAY(A1377)</f>
        <v>29</v>
      </c>
      <c r="E1377" s="0" t="n">
        <f aca="false">HOUR(A1377)</f>
        <v>16</v>
      </c>
      <c r="F1377" s="0" t="n">
        <f aca="false">IF(C1377&gt;=6,0,1)</f>
        <v>0</v>
      </c>
      <c r="G1377" s="0" t="n">
        <f aca="false">VLOOKUP(E1377,Sheet1!$A$2:$B$25,2,0)</f>
        <v>0</v>
      </c>
    </row>
    <row r="1378" customFormat="false" ht="15" hidden="false" customHeight="false" outlineLevel="0" collapsed="false">
      <c r="A1378" s="13" t="n">
        <v>44590.6875</v>
      </c>
      <c r="B1378" s="12" t="n">
        <v>315.865</v>
      </c>
      <c r="C1378" s="0" t="n">
        <f aca="false">WEEKDAY(A1378,2)</f>
        <v>6</v>
      </c>
      <c r="D1378" s="0" t="n">
        <f aca="false">DAY(A1378)</f>
        <v>29</v>
      </c>
      <c r="E1378" s="0" t="n">
        <f aca="false">HOUR(A1378)</f>
        <v>16</v>
      </c>
      <c r="F1378" s="0" t="n">
        <f aca="false">IF(C1378&gt;=6,0,1)</f>
        <v>0</v>
      </c>
      <c r="G1378" s="0" t="n">
        <f aca="false">VLOOKUP(E1378,Sheet1!$A$2:$B$25,2,0)</f>
        <v>0</v>
      </c>
    </row>
    <row r="1379" customFormat="false" ht="15" hidden="false" customHeight="false" outlineLevel="0" collapsed="false">
      <c r="A1379" s="13" t="n">
        <v>44590.7083333333</v>
      </c>
      <c r="B1379" s="12" t="n">
        <v>319.076</v>
      </c>
      <c r="C1379" s="0" t="n">
        <f aca="false">WEEKDAY(A1379,2)</f>
        <v>6</v>
      </c>
      <c r="D1379" s="0" t="n">
        <f aca="false">DAY(A1379)</f>
        <v>29</v>
      </c>
      <c r="E1379" s="0" t="n">
        <f aca="false">HOUR(A1379)</f>
        <v>17</v>
      </c>
      <c r="F1379" s="0" t="n">
        <f aca="false">IF(C1379&gt;=6,0,1)</f>
        <v>0</v>
      </c>
      <c r="G1379" s="0" t="n">
        <f aca="false">VLOOKUP(E1379,Sheet1!$A$2:$B$25,2,0)</f>
        <v>0</v>
      </c>
    </row>
    <row r="1380" customFormat="false" ht="15" hidden="false" customHeight="false" outlineLevel="0" collapsed="false">
      <c r="A1380" s="13" t="n">
        <v>44590.7291666667</v>
      </c>
      <c r="B1380" s="12" t="n">
        <v>321.38</v>
      </c>
      <c r="C1380" s="0" t="n">
        <f aca="false">WEEKDAY(A1380,2)</f>
        <v>6</v>
      </c>
      <c r="D1380" s="0" t="n">
        <f aca="false">DAY(A1380)</f>
        <v>29</v>
      </c>
      <c r="E1380" s="0" t="n">
        <f aca="false">HOUR(A1380)</f>
        <v>17</v>
      </c>
      <c r="F1380" s="0" t="n">
        <f aca="false">IF(C1380&gt;=6,0,1)</f>
        <v>0</v>
      </c>
      <c r="G1380" s="0" t="n">
        <f aca="false">VLOOKUP(E1380,Sheet1!$A$2:$B$25,2,0)</f>
        <v>0</v>
      </c>
    </row>
    <row r="1381" customFormat="false" ht="15" hidden="false" customHeight="false" outlineLevel="0" collapsed="false">
      <c r="A1381" s="13" t="n">
        <v>44590.75</v>
      </c>
      <c r="B1381" s="12" t="n">
        <v>333.716</v>
      </c>
      <c r="C1381" s="0" t="n">
        <f aca="false">WEEKDAY(A1381,2)</f>
        <v>6</v>
      </c>
      <c r="D1381" s="0" t="n">
        <f aca="false">DAY(A1381)</f>
        <v>29</v>
      </c>
      <c r="E1381" s="0" t="n">
        <f aca="false">HOUR(A1381)</f>
        <v>18</v>
      </c>
      <c r="F1381" s="0" t="n">
        <f aca="false">IF(C1381&gt;=6,0,1)</f>
        <v>0</v>
      </c>
      <c r="G1381" s="0" t="n">
        <f aca="false">VLOOKUP(E1381,Sheet1!$A$2:$B$25,2,0)</f>
        <v>0</v>
      </c>
    </row>
    <row r="1382" customFormat="false" ht="15" hidden="false" customHeight="false" outlineLevel="0" collapsed="false">
      <c r="A1382" s="13" t="n">
        <v>44590.7708333333</v>
      </c>
      <c r="B1382" s="12" t="n">
        <v>318.26</v>
      </c>
      <c r="C1382" s="0" t="n">
        <f aca="false">WEEKDAY(A1382,2)</f>
        <v>6</v>
      </c>
      <c r="D1382" s="0" t="n">
        <f aca="false">DAY(A1382)</f>
        <v>29</v>
      </c>
      <c r="E1382" s="0" t="n">
        <f aca="false">HOUR(A1382)</f>
        <v>18</v>
      </c>
      <c r="F1382" s="0" t="n">
        <f aca="false">IF(C1382&gt;=6,0,1)</f>
        <v>0</v>
      </c>
      <c r="G1382" s="0" t="n">
        <f aca="false">VLOOKUP(E1382,Sheet1!$A$2:$B$25,2,0)</f>
        <v>0</v>
      </c>
    </row>
    <row r="1383" customFormat="false" ht="15" hidden="false" customHeight="false" outlineLevel="0" collapsed="false">
      <c r="A1383" s="13" t="n">
        <v>44590.7916666667</v>
      </c>
      <c r="B1383" s="12" t="n">
        <v>306.476</v>
      </c>
      <c r="C1383" s="0" t="n">
        <f aca="false">WEEKDAY(A1383,2)</f>
        <v>6</v>
      </c>
      <c r="D1383" s="0" t="n">
        <f aca="false">DAY(A1383)</f>
        <v>29</v>
      </c>
      <c r="E1383" s="0" t="n">
        <f aca="false">HOUR(A1383)</f>
        <v>19</v>
      </c>
      <c r="F1383" s="0" t="n">
        <f aca="false">IF(C1383&gt;=6,0,1)</f>
        <v>0</v>
      </c>
      <c r="G1383" s="0" t="n">
        <f aca="false">VLOOKUP(E1383,Sheet1!$A$2:$B$25,2,0)</f>
        <v>0</v>
      </c>
    </row>
    <row r="1384" customFormat="false" ht="15" hidden="false" customHeight="false" outlineLevel="0" collapsed="false">
      <c r="A1384" s="13" t="n">
        <v>44590.8125</v>
      </c>
      <c r="B1384" s="12" t="n">
        <v>305.18</v>
      </c>
      <c r="C1384" s="0" t="n">
        <f aca="false">WEEKDAY(A1384,2)</f>
        <v>6</v>
      </c>
      <c r="D1384" s="0" t="n">
        <f aca="false">DAY(A1384)</f>
        <v>29</v>
      </c>
      <c r="E1384" s="0" t="n">
        <f aca="false">HOUR(A1384)</f>
        <v>19</v>
      </c>
      <c r="F1384" s="0" t="n">
        <f aca="false">IF(C1384&gt;=6,0,1)</f>
        <v>0</v>
      </c>
      <c r="G1384" s="0" t="n">
        <f aca="false">VLOOKUP(E1384,Sheet1!$A$2:$B$25,2,0)</f>
        <v>0</v>
      </c>
    </row>
    <row r="1385" customFormat="false" ht="15" hidden="false" customHeight="false" outlineLevel="0" collapsed="false">
      <c r="A1385" s="13" t="n">
        <v>44590.8333333333</v>
      </c>
      <c r="B1385" s="12" t="n">
        <v>305.42</v>
      </c>
      <c r="C1385" s="0" t="n">
        <f aca="false">WEEKDAY(A1385,2)</f>
        <v>6</v>
      </c>
      <c r="D1385" s="0" t="n">
        <f aca="false">DAY(A1385)</f>
        <v>29</v>
      </c>
      <c r="E1385" s="0" t="n">
        <f aca="false">HOUR(A1385)</f>
        <v>20</v>
      </c>
      <c r="F1385" s="0" t="n">
        <f aca="false">IF(C1385&gt;=6,0,1)</f>
        <v>0</v>
      </c>
      <c r="G1385" s="0" t="n">
        <f aca="false">VLOOKUP(E1385,Sheet1!$A$2:$B$25,2,0)</f>
        <v>0</v>
      </c>
    </row>
    <row r="1386" customFormat="false" ht="15" hidden="false" customHeight="false" outlineLevel="0" collapsed="false">
      <c r="A1386" s="13" t="n">
        <v>44590.8541666667</v>
      </c>
      <c r="B1386" s="12" t="n">
        <v>298.676</v>
      </c>
      <c r="C1386" s="0" t="n">
        <f aca="false">WEEKDAY(A1386,2)</f>
        <v>6</v>
      </c>
      <c r="D1386" s="0" t="n">
        <f aca="false">DAY(A1386)</f>
        <v>29</v>
      </c>
      <c r="E1386" s="0" t="n">
        <f aca="false">HOUR(A1386)</f>
        <v>20</v>
      </c>
      <c r="F1386" s="0" t="n">
        <f aca="false">IF(C1386&gt;=6,0,1)</f>
        <v>0</v>
      </c>
      <c r="G1386" s="0" t="n">
        <f aca="false">VLOOKUP(E1386,Sheet1!$A$2:$B$25,2,0)</f>
        <v>0</v>
      </c>
    </row>
    <row r="1387" customFormat="false" ht="15" hidden="false" customHeight="false" outlineLevel="0" collapsed="false">
      <c r="A1387" s="13" t="n">
        <v>44590.875</v>
      </c>
      <c r="B1387" s="12" t="n">
        <v>300.625</v>
      </c>
      <c r="C1387" s="0" t="n">
        <f aca="false">WEEKDAY(A1387,2)</f>
        <v>6</v>
      </c>
      <c r="D1387" s="0" t="n">
        <f aca="false">DAY(A1387)</f>
        <v>29</v>
      </c>
      <c r="E1387" s="0" t="n">
        <f aca="false">HOUR(A1387)</f>
        <v>21</v>
      </c>
      <c r="F1387" s="0" t="n">
        <f aca="false">IF(C1387&gt;=6,0,1)</f>
        <v>0</v>
      </c>
      <c r="G1387" s="0" t="n">
        <f aca="false">VLOOKUP(E1387,Sheet1!$A$2:$B$25,2,0)</f>
        <v>0</v>
      </c>
    </row>
    <row r="1388" customFormat="false" ht="15" hidden="false" customHeight="false" outlineLevel="0" collapsed="false">
      <c r="A1388" s="13" t="n">
        <v>44590.8958333333</v>
      </c>
      <c r="B1388" s="12" t="n">
        <v>298.94</v>
      </c>
      <c r="C1388" s="0" t="n">
        <f aca="false">WEEKDAY(A1388,2)</f>
        <v>6</v>
      </c>
      <c r="D1388" s="0" t="n">
        <f aca="false">DAY(A1388)</f>
        <v>29</v>
      </c>
      <c r="E1388" s="0" t="n">
        <f aca="false">HOUR(A1388)</f>
        <v>21</v>
      </c>
      <c r="F1388" s="0" t="n">
        <f aca="false">IF(C1388&gt;=6,0,1)</f>
        <v>0</v>
      </c>
      <c r="G1388" s="0" t="n">
        <f aca="false">VLOOKUP(E1388,Sheet1!$A$2:$B$25,2,0)</f>
        <v>0</v>
      </c>
    </row>
    <row r="1389" customFormat="false" ht="15" hidden="false" customHeight="false" outlineLevel="0" collapsed="false">
      <c r="A1389" s="13" t="n">
        <v>44590.9166666667</v>
      </c>
      <c r="B1389" s="12" t="n">
        <v>301.796</v>
      </c>
      <c r="C1389" s="0" t="n">
        <f aca="false">WEEKDAY(A1389,2)</f>
        <v>6</v>
      </c>
      <c r="D1389" s="0" t="n">
        <f aca="false">DAY(A1389)</f>
        <v>29</v>
      </c>
      <c r="E1389" s="0" t="n">
        <f aca="false">HOUR(A1389)</f>
        <v>22</v>
      </c>
      <c r="F1389" s="0" t="n">
        <f aca="false">IF(C1389&gt;=6,0,1)</f>
        <v>0</v>
      </c>
      <c r="G1389" s="0" t="n">
        <f aca="false">VLOOKUP(E1389,Sheet1!$A$2:$B$25,2,0)</f>
        <v>0</v>
      </c>
    </row>
    <row r="1390" customFormat="false" ht="15" hidden="false" customHeight="false" outlineLevel="0" collapsed="false">
      <c r="A1390" s="13" t="n">
        <v>44590.9375</v>
      </c>
      <c r="B1390" s="12" t="n">
        <v>308.065</v>
      </c>
      <c r="C1390" s="0" t="n">
        <f aca="false">WEEKDAY(A1390,2)</f>
        <v>6</v>
      </c>
      <c r="D1390" s="0" t="n">
        <f aca="false">DAY(A1390)</f>
        <v>29</v>
      </c>
      <c r="E1390" s="0" t="n">
        <f aca="false">HOUR(A1390)</f>
        <v>22</v>
      </c>
      <c r="F1390" s="0" t="n">
        <f aca="false">IF(C1390&gt;=6,0,1)</f>
        <v>0</v>
      </c>
      <c r="G1390" s="0" t="n">
        <f aca="false">VLOOKUP(E1390,Sheet1!$A$2:$B$25,2,0)</f>
        <v>0</v>
      </c>
    </row>
    <row r="1391" customFormat="false" ht="15" hidden="false" customHeight="false" outlineLevel="0" collapsed="false">
      <c r="A1391" s="13" t="n">
        <v>44590.9583333333</v>
      </c>
      <c r="B1391" s="12" t="n">
        <v>308.18</v>
      </c>
      <c r="C1391" s="0" t="n">
        <f aca="false">WEEKDAY(A1391,2)</f>
        <v>6</v>
      </c>
      <c r="D1391" s="0" t="n">
        <f aca="false">DAY(A1391)</f>
        <v>29</v>
      </c>
      <c r="E1391" s="0" t="n">
        <f aca="false">HOUR(A1391)</f>
        <v>23</v>
      </c>
      <c r="F1391" s="0" t="n">
        <f aca="false">IF(C1391&gt;=6,0,1)</f>
        <v>0</v>
      </c>
      <c r="G1391" s="0" t="n">
        <f aca="false">VLOOKUP(E1391,Sheet1!$A$2:$B$25,2,0)</f>
        <v>0</v>
      </c>
    </row>
    <row r="1392" customFormat="false" ht="15" hidden="false" customHeight="false" outlineLevel="0" collapsed="false">
      <c r="A1392" s="13" t="n">
        <v>44590.9791666667</v>
      </c>
      <c r="B1392" s="12" t="n">
        <v>305.036</v>
      </c>
      <c r="C1392" s="0" t="n">
        <f aca="false">WEEKDAY(A1392,2)</f>
        <v>6</v>
      </c>
      <c r="D1392" s="0" t="n">
        <f aca="false">DAY(A1392)</f>
        <v>29</v>
      </c>
      <c r="E1392" s="0" t="n">
        <f aca="false">HOUR(A1392)</f>
        <v>23</v>
      </c>
      <c r="F1392" s="0" t="n">
        <f aca="false">IF(C1392&gt;=6,0,1)</f>
        <v>0</v>
      </c>
      <c r="G1392" s="0" t="n">
        <f aca="false">VLOOKUP(E1392,Sheet1!$A$2:$B$25,2,0)</f>
        <v>0</v>
      </c>
    </row>
    <row r="1393" customFormat="false" ht="15" hidden="false" customHeight="false" outlineLevel="0" collapsed="false">
      <c r="A1393" s="13" t="n">
        <v>44591</v>
      </c>
      <c r="B1393" s="12" t="n">
        <v>311.041</v>
      </c>
      <c r="C1393" s="0" t="n">
        <f aca="false">WEEKDAY(A1393,2)</f>
        <v>7</v>
      </c>
      <c r="D1393" s="0" t="n">
        <f aca="false">DAY(A1393)</f>
        <v>30</v>
      </c>
      <c r="E1393" s="0" t="n">
        <f aca="false">HOUR(A1393)</f>
        <v>0</v>
      </c>
      <c r="F1393" s="0" t="n">
        <f aca="false">IF(C1393&gt;=6,0,1)</f>
        <v>0</v>
      </c>
      <c r="G1393" s="0" t="n">
        <f aca="false">VLOOKUP(E1393,Sheet1!$A$2:$B$25,2,0)</f>
        <v>0</v>
      </c>
    </row>
    <row r="1394" customFormat="false" ht="15" hidden="false" customHeight="false" outlineLevel="0" collapsed="false">
      <c r="A1394" s="13" t="n">
        <v>44591.0208333333</v>
      </c>
      <c r="B1394" s="12" t="n">
        <v>309.86</v>
      </c>
      <c r="C1394" s="0" t="n">
        <f aca="false">WEEKDAY(A1394,2)</f>
        <v>7</v>
      </c>
      <c r="D1394" s="0" t="n">
        <f aca="false">DAY(A1394)</f>
        <v>30</v>
      </c>
      <c r="E1394" s="0" t="n">
        <f aca="false">HOUR(A1394)</f>
        <v>0</v>
      </c>
      <c r="F1394" s="0" t="n">
        <f aca="false">IF(C1394&gt;=6,0,1)</f>
        <v>0</v>
      </c>
      <c r="G1394" s="0" t="n">
        <f aca="false">VLOOKUP(E1394,Sheet1!$A$2:$B$25,2,0)</f>
        <v>0</v>
      </c>
    </row>
    <row r="1395" customFormat="false" ht="15" hidden="false" customHeight="false" outlineLevel="0" collapsed="false">
      <c r="A1395" s="13" t="n">
        <v>44591.0416666667</v>
      </c>
      <c r="B1395" s="12" t="n">
        <v>0</v>
      </c>
      <c r="C1395" s="0" t="n">
        <f aca="false">WEEKDAY(A1395,2)</f>
        <v>7</v>
      </c>
      <c r="D1395" s="0" t="n">
        <f aca="false">DAY(A1395)</f>
        <v>30</v>
      </c>
      <c r="E1395" s="0" t="n">
        <f aca="false">HOUR(A1395)</f>
        <v>1</v>
      </c>
      <c r="F1395" s="0" t="n">
        <f aca="false">IF(C1395&gt;=6,0,1)</f>
        <v>0</v>
      </c>
      <c r="G1395" s="0" t="n">
        <f aca="false">VLOOKUP(E1395,Sheet1!$A$2:$B$25,2,0)</f>
        <v>0</v>
      </c>
    </row>
    <row r="1396" customFormat="false" ht="15" hidden="false" customHeight="false" outlineLevel="0" collapsed="false">
      <c r="A1396" s="13" t="n">
        <v>44591.0625</v>
      </c>
      <c r="B1396" s="12" t="n">
        <v>0</v>
      </c>
      <c r="C1396" s="0" t="n">
        <f aca="false">WEEKDAY(A1396,2)</f>
        <v>7</v>
      </c>
      <c r="D1396" s="0" t="n">
        <f aca="false">DAY(A1396)</f>
        <v>30</v>
      </c>
      <c r="E1396" s="0" t="n">
        <f aca="false">HOUR(A1396)</f>
        <v>1</v>
      </c>
      <c r="F1396" s="0" t="n">
        <f aca="false">IF(C1396&gt;=6,0,1)</f>
        <v>0</v>
      </c>
      <c r="G1396" s="0" t="n">
        <f aca="false">VLOOKUP(E1396,Sheet1!$A$2:$B$25,2,0)</f>
        <v>0</v>
      </c>
    </row>
    <row r="1397" customFormat="false" ht="15" hidden="false" customHeight="false" outlineLevel="0" collapsed="false">
      <c r="A1397" s="13" t="n">
        <v>44591.0833333333</v>
      </c>
      <c r="B1397" s="12" t="n">
        <v>0</v>
      </c>
      <c r="C1397" s="0" t="n">
        <f aca="false">WEEKDAY(A1397,2)</f>
        <v>7</v>
      </c>
      <c r="D1397" s="0" t="n">
        <f aca="false">DAY(A1397)</f>
        <v>30</v>
      </c>
      <c r="E1397" s="0" t="n">
        <f aca="false">HOUR(A1397)</f>
        <v>2</v>
      </c>
      <c r="F1397" s="0" t="n">
        <f aca="false">IF(C1397&gt;=6,0,1)</f>
        <v>0</v>
      </c>
      <c r="G1397" s="0" t="n">
        <f aca="false">VLOOKUP(E1397,Sheet1!$A$2:$B$25,2,0)</f>
        <v>0</v>
      </c>
    </row>
    <row r="1398" customFormat="false" ht="15" hidden="false" customHeight="false" outlineLevel="0" collapsed="false">
      <c r="A1398" s="13" t="n">
        <v>44591.1041666667</v>
      </c>
      <c r="B1398" s="12" t="n">
        <v>0</v>
      </c>
      <c r="C1398" s="0" t="n">
        <f aca="false">WEEKDAY(A1398,2)</f>
        <v>7</v>
      </c>
      <c r="D1398" s="0" t="n">
        <f aca="false">DAY(A1398)</f>
        <v>30</v>
      </c>
      <c r="E1398" s="0" t="n">
        <f aca="false">HOUR(A1398)</f>
        <v>2</v>
      </c>
      <c r="F1398" s="0" t="n">
        <f aca="false">IF(C1398&gt;=6,0,1)</f>
        <v>0</v>
      </c>
      <c r="G1398" s="0" t="n">
        <f aca="false">VLOOKUP(E1398,Sheet1!$A$2:$B$25,2,0)</f>
        <v>0</v>
      </c>
    </row>
    <row r="1399" customFormat="false" ht="15" hidden="false" customHeight="false" outlineLevel="0" collapsed="false">
      <c r="A1399" s="13" t="n">
        <v>44591.125</v>
      </c>
      <c r="B1399" s="12" t="n">
        <v>0</v>
      </c>
      <c r="C1399" s="0" t="n">
        <f aca="false">WEEKDAY(A1399,2)</f>
        <v>7</v>
      </c>
      <c r="D1399" s="0" t="n">
        <f aca="false">DAY(A1399)</f>
        <v>30</v>
      </c>
      <c r="E1399" s="0" t="n">
        <f aca="false">HOUR(A1399)</f>
        <v>3</v>
      </c>
      <c r="F1399" s="0" t="n">
        <f aca="false">IF(C1399&gt;=6,0,1)</f>
        <v>0</v>
      </c>
      <c r="G1399" s="0" t="n">
        <f aca="false">VLOOKUP(E1399,Sheet1!$A$2:$B$25,2,0)</f>
        <v>0</v>
      </c>
    </row>
    <row r="1400" customFormat="false" ht="15" hidden="false" customHeight="false" outlineLevel="0" collapsed="false">
      <c r="A1400" s="13" t="n">
        <v>44591.1458333333</v>
      </c>
      <c r="B1400" s="12" t="n">
        <v>0</v>
      </c>
      <c r="C1400" s="0" t="n">
        <f aca="false">WEEKDAY(A1400,2)</f>
        <v>7</v>
      </c>
      <c r="D1400" s="0" t="n">
        <f aca="false">DAY(A1400)</f>
        <v>30</v>
      </c>
      <c r="E1400" s="0" t="n">
        <f aca="false">HOUR(A1400)</f>
        <v>3</v>
      </c>
      <c r="F1400" s="0" t="n">
        <f aca="false">IF(C1400&gt;=6,0,1)</f>
        <v>0</v>
      </c>
      <c r="G1400" s="0" t="n">
        <f aca="false">VLOOKUP(E1400,Sheet1!$A$2:$B$25,2,0)</f>
        <v>0</v>
      </c>
    </row>
    <row r="1401" customFormat="false" ht="15" hidden="false" customHeight="false" outlineLevel="0" collapsed="false">
      <c r="A1401" s="13" t="n">
        <v>44591.1666666667</v>
      </c>
      <c r="B1401" s="12" t="n">
        <v>0</v>
      </c>
      <c r="C1401" s="0" t="n">
        <f aca="false">WEEKDAY(A1401,2)</f>
        <v>7</v>
      </c>
      <c r="D1401" s="0" t="n">
        <f aca="false">DAY(A1401)</f>
        <v>30</v>
      </c>
      <c r="E1401" s="0" t="n">
        <f aca="false">HOUR(A1401)</f>
        <v>4</v>
      </c>
      <c r="F1401" s="0" t="n">
        <f aca="false">IF(C1401&gt;=6,0,1)</f>
        <v>0</v>
      </c>
      <c r="G1401" s="0" t="n">
        <f aca="false">VLOOKUP(E1401,Sheet1!$A$2:$B$25,2,0)</f>
        <v>1</v>
      </c>
    </row>
    <row r="1402" customFormat="false" ht="15" hidden="false" customHeight="false" outlineLevel="0" collapsed="false">
      <c r="A1402" s="13" t="n">
        <v>44591.1875</v>
      </c>
      <c r="B1402" s="12" t="n">
        <v>0</v>
      </c>
      <c r="C1402" s="0" t="n">
        <f aca="false">WEEKDAY(A1402,2)</f>
        <v>7</v>
      </c>
      <c r="D1402" s="0" t="n">
        <f aca="false">DAY(A1402)</f>
        <v>30</v>
      </c>
      <c r="E1402" s="0" t="n">
        <f aca="false">HOUR(A1402)</f>
        <v>4</v>
      </c>
      <c r="F1402" s="0" t="n">
        <f aca="false">IF(C1402&gt;=6,0,1)</f>
        <v>0</v>
      </c>
      <c r="G1402" s="0" t="n">
        <f aca="false">VLOOKUP(E1402,Sheet1!$A$2:$B$25,2,0)</f>
        <v>1</v>
      </c>
    </row>
    <row r="1403" customFormat="false" ht="15" hidden="false" customHeight="false" outlineLevel="0" collapsed="false">
      <c r="A1403" s="13" t="n">
        <v>44591.2083333333</v>
      </c>
      <c r="B1403" s="12" t="n">
        <v>0</v>
      </c>
      <c r="C1403" s="0" t="n">
        <f aca="false">WEEKDAY(A1403,2)</f>
        <v>7</v>
      </c>
      <c r="D1403" s="0" t="n">
        <f aca="false">DAY(A1403)</f>
        <v>30</v>
      </c>
      <c r="E1403" s="0" t="n">
        <f aca="false">HOUR(A1403)</f>
        <v>5</v>
      </c>
      <c r="F1403" s="0" t="n">
        <f aca="false">IF(C1403&gt;=6,0,1)</f>
        <v>0</v>
      </c>
      <c r="G1403" s="0" t="n">
        <f aca="false">VLOOKUP(E1403,Sheet1!$A$2:$B$25,2,0)</f>
        <v>1</v>
      </c>
    </row>
    <row r="1404" customFormat="false" ht="15" hidden="false" customHeight="false" outlineLevel="0" collapsed="false">
      <c r="A1404" s="13" t="n">
        <v>44591.2291666667</v>
      </c>
      <c r="B1404" s="12" t="n">
        <v>0</v>
      </c>
      <c r="C1404" s="0" t="n">
        <f aca="false">WEEKDAY(A1404,2)</f>
        <v>7</v>
      </c>
      <c r="D1404" s="0" t="n">
        <f aca="false">DAY(A1404)</f>
        <v>30</v>
      </c>
      <c r="E1404" s="0" t="n">
        <f aca="false">HOUR(A1404)</f>
        <v>5</v>
      </c>
      <c r="F1404" s="0" t="n">
        <f aca="false">IF(C1404&gt;=6,0,1)</f>
        <v>0</v>
      </c>
      <c r="G1404" s="0" t="n">
        <f aca="false">VLOOKUP(E1404,Sheet1!$A$2:$B$25,2,0)</f>
        <v>1</v>
      </c>
    </row>
    <row r="1405" customFormat="false" ht="15" hidden="false" customHeight="false" outlineLevel="0" collapsed="false">
      <c r="A1405" s="13" t="n">
        <v>44591.25</v>
      </c>
      <c r="B1405" s="12" t="n">
        <v>0</v>
      </c>
      <c r="C1405" s="0" t="n">
        <f aca="false">WEEKDAY(A1405,2)</f>
        <v>7</v>
      </c>
      <c r="D1405" s="0" t="n">
        <f aca="false">DAY(A1405)</f>
        <v>30</v>
      </c>
      <c r="E1405" s="0" t="n">
        <f aca="false">HOUR(A1405)</f>
        <v>6</v>
      </c>
      <c r="F1405" s="0" t="n">
        <f aca="false">IF(C1405&gt;=6,0,1)</f>
        <v>0</v>
      </c>
      <c r="G1405" s="0" t="n">
        <f aca="false">VLOOKUP(E1405,Sheet1!$A$2:$B$25,2,0)</f>
        <v>1</v>
      </c>
    </row>
    <row r="1406" customFormat="false" ht="15" hidden="false" customHeight="false" outlineLevel="0" collapsed="false">
      <c r="A1406" s="13" t="n">
        <v>44591.2708333333</v>
      </c>
      <c r="B1406" s="12" t="n">
        <v>0</v>
      </c>
      <c r="C1406" s="0" t="n">
        <f aca="false">WEEKDAY(A1406,2)</f>
        <v>7</v>
      </c>
      <c r="D1406" s="0" t="n">
        <f aca="false">DAY(A1406)</f>
        <v>30</v>
      </c>
      <c r="E1406" s="0" t="n">
        <f aca="false">HOUR(A1406)</f>
        <v>6</v>
      </c>
      <c r="F1406" s="0" t="n">
        <f aca="false">IF(C1406&gt;=6,0,1)</f>
        <v>0</v>
      </c>
      <c r="G1406" s="0" t="n">
        <f aca="false">VLOOKUP(E1406,Sheet1!$A$2:$B$25,2,0)</f>
        <v>1</v>
      </c>
    </row>
    <row r="1407" customFormat="false" ht="15" hidden="false" customHeight="false" outlineLevel="0" collapsed="false">
      <c r="A1407" s="13" t="n">
        <v>44591.2916666667</v>
      </c>
      <c r="B1407" s="12" t="n">
        <v>0</v>
      </c>
      <c r="C1407" s="0" t="n">
        <f aca="false">WEEKDAY(A1407,2)</f>
        <v>7</v>
      </c>
      <c r="D1407" s="0" t="n">
        <f aca="false">DAY(A1407)</f>
        <v>30</v>
      </c>
      <c r="E1407" s="0" t="n">
        <f aca="false">HOUR(A1407)</f>
        <v>7</v>
      </c>
      <c r="F1407" s="0" t="n">
        <f aca="false">IF(C1407&gt;=6,0,1)</f>
        <v>0</v>
      </c>
      <c r="G1407" s="0" t="n">
        <f aca="false">VLOOKUP(E1407,Sheet1!$A$2:$B$25,2,0)</f>
        <v>1</v>
      </c>
    </row>
    <row r="1408" customFormat="false" ht="15" hidden="false" customHeight="false" outlineLevel="0" collapsed="false">
      <c r="A1408" s="13" t="n">
        <v>44591.3125</v>
      </c>
      <c r="B1408" s="12" t="n">
        <v>0</v>
      </c>
      <c r="C1408" s="0" t="n">
        <f aca="false">WEEKDAY(A1408,2)</f>
        <v>7</v>
      </c>
      <c r="D1408" s="0" t="n">
        <f aca="false">DAY(A1408)</f>
        <v>30</v>
      </c>
      <c r="E1408" s="0" t="n">
        <f aca="false">HOUR(A1408)</f>
        <v>7</v>
      </c>
      <c r="F1408" s="0" t="n">
        <f aca="false">IF(C1408&gt;=6,0,1)</f>
        <v>0</v>
      </c>
      <c r="G1408" s="0" t="n">
        <f aca="false">VLOOKUP(E1408,Sheet1!$A$2:$B$25,2,0)</f>
        <v>1</v>
      </c>
    </row>
    <row r="1409" customFormat="false" ht="15" hidden="false" customHeight="false" outlineLevel="0" collapsed="false">
      <c r="A1409" s="13" t="n">
        <v>44591.3333333333</v>
      </c>
      <c r="B1409" s="12" t="n">
        <v>0</v>
      </c>
      <c r="C1409" s="0" t="n">
        <f aca="false">WEEKDAY(A1409,2)</f>
        <v>7</v>
      </c>
      <c r="D1409" s="0" t="n">
        <f aca="false">DAY(A1409)</f>
        <v>30</v>
      </c>
      <c r="E1409" s="0" t="n">
        <f aca="false">HOUR(A1409)</f>
        <v>8</v>
      </c>
      <c r="F1409" s="0" t="n">
        <f aca="false">IF(C1409&gt;=6,0,1)</f>
        <v>0</v>
      </c>
      <c r="G1409" s="0" t="n">
        <f aca="false">VLOOKUP(E1409,Sheet1!$A$2:$B$25,2,0)</f>
        <v>1</v>
      </c>
    </row>
    <row r="1410" customFormat="false" ht="15" hidden="false" customHeight="false" outlineLevel="0" collapsed="false">
      <c r="A1410" s="13" t="n">
        <v>44591.3541666667</v>
      </c>
      <c r="B1410" s="12" t="n">
        <v>0</v>
      </c>
      <c r="C1410" s="0" t="n">
        <f aca="false">WEEKDAY(A1410,2)</f>
        <v>7</v>
      </c>
      <c r="D1410" s="0" t="n">
        <f aca="false">DAY(A1410)</f>
        <v>30</v>
      </c>
      <c r="E1410" s="0" t="n">
        <f aca="false">HOUR(A1410)</f>
        <v>8</v>
      </c>
      <c r="F1410" s="0" t="n">
        <f aca="false">IF(C1410&gt;=6,0,1)</f>
        <v>0</v>
      </c>
      <c r="G1410" s="0" t="n">
        <f aca="false">VLOOKUP(E1410,Sheet1!$A$2:$B$25,2,0)</f>
        <v>1</v>
      </c>
    </row>
    <row r="1411" customFormat="false" ht="15" hidden="false" customHeight="false" outlineLevel="0" collapsed="false">
      <c r="A1411" s="13" t="n">
        <v>44591.375</v>
      </c>
      <c r="B1411" s="12" t="n">
        <v>0</v>
      </c>
      <c r="C1411" s="0" t="n">
        <f aca="false">WEEKDAY(A1411,2)</f>
        <v>7</v>
      </c>
      <c r="D1411" s="0" t="n">
        <f aca="false">DAY(A1411)</f>
        <v>30</v>
      </c>
      <c r="E1411" s="0" t="n">
        <f aca="false">HOUR(A1411)</f>
        <v>9</v>
      </c>
      <c r="F1411" s="0" t="n">
        <f aca="false">IF(C1411&gt;=6,0,1)</f>
        <v>0</v>
      </c>
      <c r="G1411" s="0" t="n">
        <f aca="false">VLOOKUP(E1411,Sheet1!$A$2:$B$25,2,0)</f>
        <v>1</v>
      </c>
    </row>
    <row r="1412" customFormat="false" ht="15" hidden="false" customHeight="false" outlineLevel="0" collapsed="false">
      <c r="A1412" s="13" t="n">
        <v>44591.3958333333</v>
      </c>
      <c r="B1412" s="12" t="n">
        <v>0</v>
      </c>
      <c r="C1412" s="0" t="n">
        <f aca="false">WEEKDAY(A1412,2)</f>
        <v>7</v>
      </c>
      <c r="D1412" s="0" t="n">
        <f aca="false">DAY(A1412)</f>
        <v>30</v>
      </c>
      <c r="E1412" s="0" t="n">
        <f aca="false">HOUR(A1412)</f>
        <v>9</v>
      </c>
      <c r="F1412" s="0" t="n">
        <f aca="false">IF(C1412&gt;=6,0,1)</f>
        <v>0</v>
      </c>
      <c r="G1412" s="0" t="n">
        <f aca="false">VLOOKUP(E1412,Sheet1!$A$2:$B$25,2,0)</f>
        <v>1</v>
      </c>
    </row>
    <row r="1413" customFormat="false" ht="15" hidden="false" customHeight="false" outlineLevel="0" collapsed="false">
      <c r="A1413" s="13" t="n">
        <v>44591.4166666667</v>
      </c>
      <c r="B1413" s="12" t="n">
        <v>0</v>
      </c>
      <c r="C1413" s="0" t="n">
        <f aca="false">WEEKDAY(A1413,2)</f>
        <v>7</v>
      </c>
      <c r="D1413" s="0" t="n">
        <f aca="false">DAY(A1413)</f>
        <v>30</v>
      </c>
      <c r="E1413" s="0" t="n">
        <f aca="false">HOUR(A1413)</f>
        <v>10</v>
      </c>
      <c r="F1413" s="0" t="n">
        <f aca="false">IF(C1413&gt;=6,0,1)</f>
        <v>0</v>
      </c>
      <c r="G1413" s="0" t="n">
        <f aca="false">VLOOKUP(E1413,Sheet1!$A$2:$B$25,2,0)</f>
        <v>1</v>
      </c>
    </row>
    <row r="1414" customFormat="false" ht="15" hidden="false" customHeight="false" outlineLevel="0" collapsed="false">
      <c r="A1414" s="13" t="n">
        <v>44591.4375</v>
      </c>
      <c r="B1414" s="12" t="n">
        <v>0</v>
      </c>
      <c r="C1414" s="0" t="n">
        <f aca="false">WEEKDAY(A1414,2)</f>
        <v>7</v>
      </c>
      <c r="D1414" s="0" t="n">
        <f aca="false">DAY(A1414)</f>
        <v>30</v>
      </c>
      <c r="E1414" s="0" t="n">
        <f aca="false">HOUR(A1414)</f>
        <v>10</v>
      </c>
      <c r="F1414" s="0" t="n">
        <f aca="false">IF(C1414&gt;=6,0,1)</f>
        <v>0</v>
      </c>
      <c r="G1414" s="0" t="n">
        <f aca="false">VLOOKUP(E1414,Sheet1!$A$2:$B$25,2,0)</f>
        <v>1</v>
      </c>
    </row>
    <row r="1415" customFormat="false" ht="15" hidden="false" customHeight="false" outlineLevel="0" collapsed="false">
      <c r="A1415" s="13" t="n">
        <v>44591.4583333333</v>
      </c>
      <c r="B1415" s="12" t="n">
        <v>0</v>
      </c>
      <c r="C1415" s="0" t="n">
        <f aca="false">WEEKDAY(A1415,2)</f>
        <v>7</v>
      </c>
      <c r="D1415" s="0" t="n">
        <f aca="false">DAY(A1415)</f>
        <v>30</v>
      </c>
      <c r="E1415" s="0" t="n">
        <f aca="false">HOUR(A1415)</f>
        <v>11</v>
      </c>
      <c r="F1415" s="0" t="n">
        <f aca="false">IF(C1415&gt;=6,0,1)</f>
        <v>0</v>
      </c>
      <c r="G1415" s="0" t="n">
        <f aca="false">VLOOKUP(E1415,Sheet1!$A$2:$B$25,2,0)</f>
        <v>1</v>
      </c>
    </row>
    <row r="1416" customFormat="false" ht="15" hidden="false" customHeight="false" outlineLevel="0" collapsed="false">
      <c r="A1416" s="13" t="n">
        <v>44591.4791666667</v>
      </c>
      <c r="B1416" s="12" t="n">
        <v>0</v>
      </c>
      <c r="C1416" s="0" t="n">
        <f aca="false">WEEKDAY(A1416,2)</f>
        <v>7</v>
      </c>
      <c r="D1416" s="0" t="n">
        <f aca="false">DAY(A1416)</f>
        <v>30</v>
      </c>
      <c r="E1416" s="0" t="n">
        <f aca="false">HOUR(A1416)</f>
        <v>11</v>
      </c>
      <c r="F1416" s="0" t="n">
        <f aca="false">IF(C1416&gt;=6,0,1)</f>
        <v>0</v>
      </c>
      <c r="G1416" s="0" t="n">
        <f aca="false">VLOOKUP(E1416,Sheet1!$A$2:$B$25,2,0)</f>
        <v>1</v>
      </c>
    </row>
    <row r="1417" customFormat="false" ht="15" hidden="false" customHeight="false" outlineLevel="0" collapsed="false">
      <c r="A1417" s="13" t="n">
        <v>44591.5</v>
      </c>
      <c r="B1417" s="12" t="n">
        <v>0</v>
      </c>
      <c r="C1417" s="0" t="n">
        <f aca="false">WEEKDAY(A1417,2)</f>
        <v>7</v>
      </c>
      <c r="D1417" s="0" t="n">
        <f aca="false">DAY(A1417)</f>
        <v>30</v>
      </c>
      <c r="E1417" s="0" t="n">
        <f aca="false">HOUR(A1417)</f>
        <v>12</v>
      </c>
      <c r="F1417" s="0" t="n">
        <f aca="false">IF(C1417&gt;=6,0,1)</f>
        <v>0</v>
      </c>
      <c r="G1417" s="0" t="n">
        <f aca="false">VLOOKUP(E1417,Sheet1!$A$2:$B$25,2,0)</f>
        <v>1</v>
      </c>
    </row>
    <row r="1418" customFormat="false" ht="15" hidden="false" customHeight="false" outlineLevel="0" collapsed="false">
      <c r="A1418" s="13" t="n">
        <v>44591.5208333333</v>
      </c>
      <c r="B1418" s="12" t="n">
        <v>0</v>
      </c>
      <c r="C1418" s="0" t="n">
        <f aca="false">WEEKDAY(A1418,2)</f>
        <v>7</v>
      </c>
      <c r="D1418" s="0" t="n">
        <f aca="false">DAY(A1418)</f>
        <v>30</v>
      </c>
      <c r="E1418" s="0" t="n">
        <f aca="false">HOUR(A1418)</f>
        <v>12</v>
      </c>
      <c r="F1418" s="0" t="n">
        <f aca="false">IF(C1418&gt;=6,0,1)</f>
        <v>0</v>
      </c>
      <c r="G1418" s="0" t="n">
        <f aca="false">VLOOKUP(E1418,Sheet1!$A$2:$B$25,2,0)</f>
        <v>1</v>
      </c>
    </row>
    <row r="1419" customFormat="false" ht="15" hidden="false" customHeight="false" outlineLevel="0" collapsed="false">
      <c r="A1419" s="13" t="n">
        <v>44591.5416666667</v>
      </c>
      <c r="B1419" s="12" t="n">
        <v>0</v>
      </c>
      <c r="C1419" s="0" t="n">
        <f aca="false">WEEKDAY(A1419,2)</f>
        <v>7</v>
      </c>
      <c r="D1419" s="0" t="n">
        <f aca="false">DAY(A1419)</f>
        <v>30</v>
      </c>
      <c r="E1419" s="0" t="n">
        <f aca="false">HOUR(A1419)</f>
        <v>13</v>
      </c>
      <c r="F1419" s="0" t="n">
        <f aca="false">IF(C1419&gt;=6,0,1)</f>
        <v>0</v>
      </c>
      <c r="G1419" s="0" t="n">
        <f aca="false">VLOOKUP(E1419,Sheet1!$A$2:$B$25,2,0)</f>
        <v>1</v>
      </c>
    </row>
    <row r="1420" customFormat="false" ht="15" hidden="false" customHeight="false" outlineLevel="0" collapsed="false">
      <c r="A1420" s="13" t="n">
        <v>44591.5625</v>
      </c>
      <c r="B1420" s="12" t="n">
        <v>0</v>
      </c>
      <c r="C1420" s="0" t="n">
        <f aca="false">WEEKDAY(A1420,2)</f>
        <v>7</v>
      </c>
      <c r="D1420" s="0" t="n">
        <f aca="false">DAY(A1420)</f>
        <v>30</v>
      </c>
      <c r="E1420" s="0" t="n">
        <f aca="false">HOUR(A1420)</f>
        <v>13</v>
      </c>
      <c r="F1420" s="0" t="n">
        <f aca="false">IF(C1420&gt;=6,0,1)</f>
        <v>0</v>
      </c>
      <c r="G1420" s="0" t="n">
        <f aca="false">VLOOKUP(E1420,Sheet1!$A$2:$B$25,2,0)</f>
        <v>1</v>
      </c>
    </row>
    <row r="1421" customFormat="false" ht="15" hidden="false" customHeight="false" outlineLevel="0" collapsed="false">
      <c r="A1421" s="13" t="n">
        <v>44591.5833333333</v>
      </c>
      <c r="B1421" s="12" t="n">
        <v>0</v>
      </c>
      <c r="C1421" s="0" t="n">
        <f aca="false">WEEKDAY(A1421,2)</f>
        <v>7</v>
      </c>
      <c r="D1421" s="0" t="n">
        <f aca="false">DAY(A1421)</f>
        <v>30</v>
      </c>
      <c r="E1421" s="0" t="n">
        <f aca="false">HOUR(A1421)</f>
        <v>14</v>
      </c>
      <c r="F1421" s="0" t="n">
        <f aca="false">IF(C1421&gt;=6,0,1)</f>
        <v>0</v>
      </c>
      <c r="G1421" s="0" t="n">
        <f aca="false">VLOOKUP(E1421,Sheet1!$A$2:$B$25,2,0)</f>
        <v>1</v>
      </c>
    </row>
    <row r="1422" customFormat="false" ht="15" hidden="false" customHeight="false" outlineLevel="0" collapsed="false">
      <c r="A1422" s="13" t="n">
        <v>44591.6041666667</v>
      </c>
      <c r="B1422" s="12" t="n">
        <v>0</v>
      </c>
      <c r="C1422" s="0" t="n">
        <f aca="false">WEEKDAY(A1422,2)</f>
        <v>7</v>
      </c>
      <c r="D1422" s="0" t="n">
        <f aca="false">DAY(A1422)</f>
        <v>30</v>
      </c>
      <c r="E1422" s="0" t="n">
        <f aca="false">HOUR(A1422)</f>
        <v>14</v>
      </c>
      <c r="F1422" s="0" t="n">
        <f aca="false">IF(C1422&gt;=6,0,1)</f>
        <v>0</v>
      </c>
      <c r="G1422" s="0" t="n">
        <f aca="false">VLOOKUP(E1422,Sheet1!$A$2:$B$25,2,0)</f>
        <v>1</v>
      </c>
    </row>
    <row r="1423" customFormat="false" ht="15" hidden="false" customHeight="false" outlineLevel="0" collapsed="false">
      <c r="A1423" s="13" t="n">
        <v>44591.625</v>
      </c>
      <c r="B1423" s="12" t="n">
        <v>0</v>
      </c>
      <c r="C1423" s="0" t="n">
        <f aca="false">WEEKDAY(A1423,2)</f>
        <v>7</v>
      </c>
      <c r="D1423" s="0" t="n">
        <f aca="false">DAY(A1423)</f>
        <v>30</v>
      </c>
      <c r="E1423" s="0" t="n">
        <f aca="false">HOUR(A1423)</f>
        <v>15</v>
      </c>
      <c r="F1423" s="0" t="n">
        <f aca="false">IF(C1423&gt;=6,0,1)</f>
        <v>0</v>
      </c>
      <c r="G1423" s="0" t="n">
        <f aca="false">VLOOKUP(E1423,Sheet1!$A$2:$B$25,2,0)</f>
        <v>1</v>
      </c>
    </row>
    <row r="1424" customFormat="false" ht="15" hidden="false" customHeight="false" outlineLevel="0" collapsed="false">
      <c r="A1424" s="13" t="n">
        <v>44591.6458333333</v>
      </c>
      <c r="B1424" s="12" t="n">
        <v>0</v>
      </c>
      <c r="C1424" s="0" t="n">
        <f aca="false">WEEKDAY(A1424,2)</f>
        <v>7</v>
      </c>
      <c r="D1424" s="0" t="n">
        <f aca="false">DAY(A1424)</f>
        <v>30</v>
      </c>
      <c r="E1424" s="0" t="n">
        <f aca="false">HOUR(A1424)</f>
        <v>15</v>
      </c>
      <c r="F1424" s="0" t="n">
        <f aca="false">IF(C1424&gt;=6,0,1)</f>
        <v>0</v>
      </c>
      <c r="G1424" s="0" t="n">
        <f aca="false">VLOOKUP(E1424,Sheet1!$A$2:$B$25,2,0)</f>
        <v>1</v>
      </c>
    </row>
    <row r="1425" customFormat="false" ht="15" hidden="false" customHeight="false" outlineLevel="0" collapsed="false">
      <c r="A1425" s="13" t="n">
        <v>44591.6666666667</v>
      </c>
      <c r="B1425" s="12" t="n">
        <v>0</v>
      </c>
      <c r="C1425" s="0" t="n">
        <f aca="false">WEEKDAY(A1425,2)</f>
        <v>7</v>
      </c>
      <c r="D1425" s="0" t="n">
        <f aca="false">DAY(A1425)</f>
        <v>30</v>
      </c>
      <c r="E1425" s="0" t="n">
        <f aca="false">HOUR(A1425)</f>
        <v>16</v>
      </c>
      <c r="F1425" s="0" t="n">
        <f aca="false">IF(C1425&gt;=6,0,1)</f>
        <v>0</v>
      </c>
      <c r="G1425" s="0" t="n">
        <f aca="false">VLOOKUP(E1425,Sheet1!$A$2:$B$25,2,0)</f>
        <v>0</v>
      </c>
    </row>
    <row r="1426" customFormat="false" ht="15" hidden="false" customHeight="false" outlineLevel="0" collapsed="false">
      <c r="A1426" s="13" t="n">
        <v>44591.6875</v>
      </c>
      <c r="B1426" s="12" t="n">
        <v>0</v>
      </c>
      <c r="C1426" s="0" t="n">
        <f aca="false">WEEKDAY(A1426,2)</f>
        <v>7</v>
      </c>
      <c r="D1426" s="0" t="n">
        <f aca="false">DAY(A1426)</f>
        <v>30</v>
      </c>
      <c r="E1426" s="0" t="n">
        <f aca="false">HOUR(A1426)</f>
        <v>16</v>
      </c>
      <c r="F1426" s="0" t="n">
        <f aca="false">IF(C1426&gt;=6,0,1)</f>
        <v>0</v>
      </c>
      <c r="G1426" s="0" t="n">
        <f aca="false">VLOOKUP(E1426,Sheet1!$A$2:$B$25,2,0)</f>
        <v>0</v>
      </c>
    </row>
    <row r="1427" customFormat="false" ht="15" hidden="false" customHeight="false" outlineLevel="0" collapsed="false">
      <c r="A1427" s="13" t="n">
        <v>44591.7083333333</v>
      </c>
      <c r="B1427" s="12" t="n">
        <v>0</v>
      </c>
      <c r="C1427" s="0" t="n">
        <f aca="false">WEEKDAY(A1427,2)</f>
        <v>7</v>
      </c>
      <c r="D1427" s="0" t="n">
        <f aca="false">DAY(A1427)</f>
        <v>30</v>
      </c>
      <c r="E1427" s="0" t="n">
        <f aca="false">HOUR(A1427)</f>
        <v>17</v>
      </c>
      <c r="F1427" s="0" t="n">
        <f aca="false">IF(C1427&gt;=6,0,1)</f>
        <v>0</v>
      </c>
      <c r="G1427" s="0" t="n">
        <f aca="false">VLOOKUP(E1427,Sheet1!$A$2:$B$25,2,0)</f>
        <v>0</v>
      </c>
    </row>
    <row r="1428" customFormat="false" ht="15" hidden="false" customHeight="false" outlineLevel="0" collapsed="false">
      <c r="A1428" s="13" t="n">
        <v>44591.7291666667</v>
      </c>
      <c r="B1428" s="12" t="n">
        <v>0</v>
      </c>
      <c r="C1428" s="0" t="n">
        <f aca="false">WEEKDAY(A1428,2)</f>
        <v>7</v>
      </c>
      <c r="D1428" s="0" t="n">
        <f aca="false">DAY(A1428)</f>
        <v>30</v>
      </c>
      <c r="E1428" s="0" t="n">
        <f aca="false">HOUR(A1428)</f>
        <v>17</v>
      </c>
      <c r="F1428" s="0" t="n">
        <f aca="false">IF(C1428&gt;=6,0,1)</f>
        <v>0</v>
      </c>
      <c r="G1428" s="0" t="n">
        <f aca="false">VLOOKUP(E1428,Sheet1!$A$2:$B$25,2,0)</f>
        <v>0</v>
      </c>
    </row>
    <row r="1429" customFormat="false" ht="15" hidden="false" customHeight="false" outlineLevel="0" collapsed="false">
      <c r="A1429" s="13" t="n">
        <v>44591.75</v>
      </c>
      <c r="B1429" s="12" t="n">
        <v>0</v>
      </c>
      <c r="C1429" s="0" t="n">
        <f aca="false">WEEKDAY(A1429,2)</f>
        <v>7</v>
      </c>
      <c r="D1429" s="0" t="n">
        <f aca="false">DAY(A1429)</f>
        <v>30</v>
      </c>
      <c r="E1429" s="0" t="n">
        <f aca="false">HOUR(A1429)</f>
        <v>18</v>
      </c>
      <c r="F1429" s="0" t="n">
        <f aca="false">IF(C1429&gt;=6,0,1)</f>
        <v>0</v>
      </c>
      <c r="G1429" s="0" t="n">
        <f aca="false">VLOOKUP(E1429,Sheet1!$A$2:$B$25,2,0)</f>
        <v>0</v>
      </c>
    </row>
    <row r="1430" customFormat="false" ht="15" hidden="false" customHeight="false" outlineLevel="0" collapsed="false">
      <c r="A1430" s="13" t="n">
        <v>44591.7708333333</v>
      </c>
      <c r="B1430" s="12" t="n">
        <v>0</v>
      </c>
      <c r="C1430" s="0" t="n">
        <f aca="false">WEEKDAY(A1430,2)</f>
        <v>7</v>
      </c>
      <c r="D1430" s="0" t="n">
        <f aca="false">DAY(A1430)</f>
        <v>30</v>
      </c>
      <c r="E1430" s="0" t="n">
        <f aca="false">HOUR(A1430)</f>
        <v>18</v>
      </c>
      <c r="F1430" s="0" t="n">
        <f aca="false">IF(C1430&gt;=6,0,1)</f>
        <v>0</v>
      </c>
      <c r="G1430" s="0" t="n">
        <f aca="false">VLOOKUP(E1430,Sheet1!$A$2:$B$25,2,0)</f>
        <v>0</v>
      </c>
    </row>
    <row r="1431" customFormat="false" ht="15" hidden="false" customHeight="false" outlineLevel="0" collapsed="false">
      <c r="A1431" s="13" t="n">
        <v>44591.7916666667</v>
      </c>
      <c r="B1431" s="12" t="n">
        <v>0</v>
      </c>
      <c r="C1431" s="0" t="n">
        <f aca="false">WEEKDAY(A1431,2)</f>
        <v>7</v>
      </c>
      <c r="D1431" s="0" t="n">
        <f aca="false">DAY(A1431)</f>
        <v>30</v>
      </c>
      <c r="E1431" s="0" t="n">
        <f aca="false">HOUR(A1431)</f>
        <v>19</v>
      </c>
      <c r="F1431" s="0" t="n">
        <f aca="false">IF(C1431&gt;=6,0,1)</f>
        <v>0</v>
      </c>
      <c r="G1431" s="0" t="n">
        <f aca="false">VLOOKUP(E1431,Sheet1!$A$2:$B$25,2,0)</f>
        <v>0</v>
      </c>
    </row>
    <row r="1432" customFormat="false" ht="15" hidden="false" customHeight="false" outlineLevel="0" collapsed="false">
      <c r="A1432" s="13" t="n">
        <v>44591.8125</v>
      </c>
      <c r="B1432" s="12" t="n">
        <v>0</v>
      </c>
      <c r="C1432" s="0" t="n">
        <f aca="false">WEEKDAY(A1432,2)</f>
        <v>7</v>
      </c>
      <c r="D1432" s="0" t="n">
        <f aca="false">DAY(A1432)</f>
        <v>30</v>
      </c>
      <c r="E1432" s="0" t="n">
        <f aca="false">HOUR(A1432)</f>
        <v>19</v>
      </c>
      <c r="F1432" s="0" t="n">
        <f aca="false">IF(C1432&gt;=6,0,1)</f>
        <v>0</v>
      </c>
      <c r="G1432" s="0" t="n">
        <f aca="false">VLOOKUP(E1432,Sheet1!$A$2:$B$25,2,0)</f>
        <v>0</v>
      </c>
    </row>
    <row r="1433" customFormat="false" ht="15" hidden="false" customHeight="false" outlineLevel="0" collapsed="false">
      <c r="A1433" s="13" t="n">
        <v>44591.8333333333</v>
      </c>
      <c r="B1433" s="12" t="n">
        <v>0</v>
      </c>
      <c r="C1433" s="0" t="n">
        <f aca="false">WEEKDAY(A1433,2)</f>
        <v>7</v>
      </c>
      <c r="D1433" s="0" t="n">
        <f aca="false">DAY(A1433)</f>
        <v>30</v>
      </c>
      <c r="E1433" s="0" t="n">
        <f aca="false">HOUR(A1433)</f>
        <v>20</v>
      </c>
      <c r="F1433" s="0" t="n">
        <f aca="false">IF(C1433&gt;=6,0,1)</f>
        <v>0</v>
      </c>
      <c r="G1433" s="0" t="n">
        <f aca="false">VLOOKUP(E1433,Sheet1!$A$2:$B$25,2,0)</f>
        <v>0</v>
      </c>
    </row>
    <row r="1434" customFormat="false" ht="15" hidden="false" customHeight="false" outlineLevel="0" collapsed="false">
      <c r="A1434" s="13" t="n">
        <v>44591.8541666667</v>
      </c>
      <c r="B1434" s="12" t="n">
        <v>0</v>
      </c>
      <c r="C1434" s="0" t="n">
        <f aca="false">WEEKDAY(A1434,2)</f>
        <v>7</v>
      </c>
      <c r="D1434" s="0" t="n">
        <f aca="false">DAY(A1434)</f>
        <v>30</v>
      </c>
      <c r="E1434" s="0" t="n">
        <f aca="false">HOUR(A1434)</f>
        <v>20</v>
      </c>
      <c r="F1434" s="0" t="n">
        <f aca="false">IF(C1434&gt;=6,0,1)</f>
        <v>0</v>
      </c>
      <c r="G1434" s="0" t="n">
        <f aca="false">VLOOKUP(E1434,Sheet1!$A$2:$B$25,2,0)</f>
        <v>0</v>
      </c>
    </row>
    <row r="1435" customFormat="false" ht="15" hidden="false" customHeight="false" outlineLevel="0" collapsed="false">
      <c r="A1435" s="13" t="n">
        <v>44591.875</v>
      </c>
      <c r="B1435" s="12" t="n">
        <v>0</v>
      </c>
      <c r="C1435" s="0" t="n">
        <f aca="false">WEEKDAY(A1435,2)</f>
        <v>7</v>
      </c>
      <c r="D1435" s="0" t="n">
        <f aca="false">DAY(A1435)</f>
        <v>30</v>
      </c>
      <c r="E1435" s="0" t="n">
        <f aca="false">HOUR(A1435)</f>
        <v>21</v>
      </c>
      <c r="F1435" s="0" t="n">
        <f aca="false">IF(C1435&gt;=6,0,1)</f>
        <v>0</v>
      </c>
      <c r="G1435" s="0" t="n">
        <f aca="false">VLOOKUP(E1435,Sheet1!$A$2:$B$25,2,0)</f>
        <v>0</v>
      </c>
    </row>
    <row r="1436" customFormat="false" ht="15" hidden="false" customHeight="false" outlineLevel="0" collapsed="false">
      <c r="A1436" s="13" t="n">
        <v>44591.8958333333</v>
      </c>
      <c r="B1436" s="12" t="n">
        <v>0</v>
      </c>
      <c r="C1436" s="0" t="n">
        <f aca="false">WEEKDAY(A1436,2)</f>
        <v>7</v>
      </c>
      <c r="D1436" s="0" t="n">
        <f aca="false">DAY(A1436)</f>
        <v>30</v>
      </c>
      <c r="E1436" s="0" t="n">
        <f aca="false">HOUR(A1436)</f>
        <v>21</v>
      </c>
      <c r="F1436" s="0" t="n">
        <f aca="false">IF(C1436&gt;=6,0,1)</f>
        <v>0</v>
      </c>
      <c r="G1436" s="0" t="n">
        <f aca="false">VLOOKUP(E1436,Sheet1!$A$2:$B$25,2,0)</f>
        <v>0</v>
      </c>
    </row>
    <row r="1437" customFormat="false" ht="15" hidden="false" customHeight="false" outlineLevel="0" collapsed="false">
      <c r="A1437" s="13" t="n">
        <v>44591.9166666667</v>
      </c>
      <c r="B1437" s="12" t="n">
        <v>0</v>
      </c>
      <c r="C1437" s="0" t="n">
        <f aca="false">WEEKDAY(A1437,2)</f>
        <v>7</v>
      </c>
      <c r="D1437" s="0" t="n">
        <f aca="false">DAY(A1437)</f>
        <v>30</v>
      </c>
      <c r="E1437" s="0" t="n">
        <f aca="false">HOUR(A1437)</f>
        <v>22</v>
      </c>
      <c r="F1437" s="0" t="n">
        <f aca="false">IF(C1437&gt;=6,0,1)</f>
        <v>0</v>
      </c>
      <c r="G1437" s="0" t="n">
        <f aca="false">VLOOKUP(E1437,Sheet1!$A$2:$B$25,2,0)</f>
        <v>0</v>
      </c>
    </row>
    <row r="1438" customFormat="false" ht="15" hidden="false" customHeight="false" outlineLevel="0" collapsed="false">
      <c r="A1438" s="13" t="n">
        <v>44591.9375</v>
      </c>
      <c r="B1438" s="12" t="n">
        <v>0</v>
      </c>
      <c r="C1438" s="0" t="n">
        <f aca="false">WEEKDAY(A1438,2)</f>
        <v>7</v>
      </c>
      <c r="D1438" s="0" t="n">
        <f aca="false">DAY(A1438)</f>
        <v>30</v>
      </c>
      <c r="E1438" s="0" t="n">
        <f aca="false">HOUR(A1438)</f>
        <v>22</v>
      </c>
      <c r="F1438" s="0" t="n">
        <f aca="false">IF(C1438&gt;=6,0,1)</f>
        <v>0</v>
      </c>
      <c r="G1438" s="0" t="n">
        <f aca="false">VLOOKUP(E1438,Sheet1!$A$2:$B$25,2,0)</f>
        <v>0</v>
      </c>
    </row>
    <row r="1439" customFormat="false" ht="15" hidden="false" customHeight="false" outlineLevel="0" collapsed="false">
      <c r="A1439" s="13" t="n">
        <v>44591.9583333333</v>
      </c>
      <c r="B1439" s="12" t="n">
        <v>0</v>
      </c>
      <c r="C1439" s="0" t="n">
        <f aca="false">WEEKDAY(A1439,2)</f>
        <v>7</v>
      </c>
      <c r="D1439" s="0" t="n">
        <f aca="false">DAY(A1439)</f>
        <v>30</v>
      </c>
      <c r="E1439" s="0" t="n">
        <f aca="false">HOUR(A1439)</f>
        <v>23</v>
      </c>
      <c r="F1439" s="0" t="n">
        <f aca="false">IF(C1439&gt;=6,0,1)</f>
        <v>0</v>
      </c>
      <c r="G1439" s="0" t="n">
        <f aca="false">VLOOKUP(E1439,Sheet1!$A$2:$B$25,2,0)</f>
        <v>0</v>
      </c>
    </row>
    <row r="1440" customFormat="false" ht="15" hidden="false" customHeight="false" outlineLevel="0" collapsed="false">
      <c r="A1440" s="13" t="n">
        <v>44591.9791666667</v>
      </c>
      <c r="B1440" s="12" t="n">
        <v>0</v>
      </c>
      <c r="C1440" s="0" t="n">
        <f aca="false">WEEKDAY(A1440,2)</f>
        <v>7</v>
      </c>
      <c r="D1440" s="0" t="n">
        <f aca="false">DAY(A1440)</f>
        <v>30</v>
      </c>
      <c r="E1440" s="0" t="n">
        <f aca="false">HOUR(A1440)</f>
        <v>23</v>
      </c>
      <c r="F1440" s="0" t="n">
        <f aca="false">IF(C1440&gt;=6,0,1)</f>
        <v>0</v>
      </c>
      <c r="G1440" s="0" t="n">
        <f aca="false">VLOOKUP(E1440,Sheet1!$A$2:$B$25,2,0)</f>
        <v>0</v>
      </c>
    </row>
    <row r="1441" customFormat="false" ht="15" hidden="false" customHeight="false" outlineLevel="0" collapsed="false">
      <c r="A1441" s="13" t="n">
        <v>44592</v>
      </c>
      <c r="B1441" s="12" t="n">
        <v>0</v>
      </c>
      <c r="C1441" s="0" t="n">
        <f aca="false">WEEKDAY(A1441,2)</f>
        <v>1</v>
      </c>
      <c r="D1441" s="0" t="n">
        <f aca="false">DAY(A1441)</f>
        <v>31</v>
      </c>
      <c r="E1441" s="0" t="n">
        <f aca="false">HOUR(A1441)</f>
        <v>0</v>
      </c>
      <c r="F1441" s="0" t="n">
        <f aca="false">IF(C1441&gt;=6,0,1)</f>
        <v>1</v>
      </c>
      <c r="G1441" s="0" t="n">
        <f aca="false">VLOOKUP(E1441,Sheet1!$A$2:$B$25,2,0)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2" min="1" style="2" width="9.14"/>
  </cols>
  <sheetData>
    <row r="1" customFormat="false" ht="15" hidden="false" customHeight="false" outlineLevel="0" collapsed="false">
      <c r="A1" s="2" t="s">
        <v>15</v>
      </c>
      <c r="B1" s="2" t="s">
        <v>20</v>
      </c>
    </row>
    <row r="2" customFormat="false" ht="15" hidden="false" customHeight="false" outlineLevel="0" collapsed="false">
      <c r="A2" s="2" t="n">
        <v>0</v>
      </c>
      <c r="B2" s="2" t="n">
        <v>0</v>
      </c>
    </row>
    <row r="3" customFormat="false" ht="15" hidden="false" customHeight="false" outlineLevel="0" collapsed="false">
      <c r="A3" s="2" t="n">
        <v>1</v>
      </c>
      <c r="B3" s="2" t="n">
        <v>0</v>
      </c>
    </row>
    <row r="4" customFormat="false" ht="15" hidden="false" customHeight="false" outlineLevel="0" collapsed="false">
      <c r="A4" s="2" t="n">
        <v>2</v>
      </c>
      <c r="B4" s="2" t="n">
        <v>0</v>
      </c>
    </row>
    <row r="5" customFormat="false" ht="15" hidden="false" customHeight="false" outlineLevel="0" collapsed="false">
      <c r="A5" s="2" t="n">
        <v>3</v>
      </c>
      <c r="B5" s="2" t="n">
        <v>0</v>
      </c>
    </row>
    <row r="6" customFormat="false" ht="15" hidden="false" customHeight="false" outlineLevel="0" collapsed="false">
      <c r="A6" s="2" t="n">
        <v>4</v>
      </c>
      <c r="B6" s="2" t="n">
        <v>1</v>
      </c>
    </row>
    <row r="7" customFormat="false" ht="15" hidden="false" customHeight="false" outlineLevel="0" collapsed="false">
      <c r="A7" s="2" t="n">
        <v>5</v>
      </c>
      <c r="B7" s="2" t="n">
        <v>1</v>
      </c>
    </row>
    <row r="8" customFormat="false" ht="15" hidden="false" customHeight="false" outlineLevel="0" collapsed="false">
      <c r="A8" s="2" t="n">
        <v>6</v>
      </c>
      <c r="B8" s="2" t="n">
        <v>1</v>
      </c>
    </row>
    <row r="9" customFormat="false" ht="15" hidden="false" customHeight="false" outlineLevel="0" collapsed="false">
      <c r="A9" s="2" t="n">
        <v>7</v>
      </c>
      <c r="B9" s="2" t="n">
        <v>1</v>
      </c>
    </row>
    <row r="10" customFormat="false" ht="15" hidden="false" customHeight="false" outlineLevel="0" collapsed="false">
      <c r="A10" s="2" t="n">
        <v>8</v>
      </c>
      <c r="B10" s="2" t="n">
        <v>1</v>
      </c>
    </row>
    <row r="11" customFormat="false" ht="15" hidden="false" customHeight="false" outlineLevel="0" collapsed="false">
      <c r="A11" s="2" t="n">
        <v>9</v>
      </c>
      <c r="B11" s="2" t="n">
        <v>1</v>
      </c>
    </row>
    <row r="12" customFormat="false" ht="15" hidden="false" customHeight="false" outlineLevel="0" collapsed="false">
      <c r="A12" s="2" t="n">
        <v>10</v>
      </c>
      <c r="B12" s="2" t="n">
        <v>1</v>
      </c>
    </row>
    <row r="13" customFormat="false" ht="15" hidden="false" customHeight="false" outlineLevel="0" collapsed="false">
      <c r="A13" s="2" t="n">
        <v>11</v>
      </c>
      <c r="B13" s="2" t="n">
        <v>1</v>
      </c>
    </row>
    <row r="14" customFormat="false" ht="15" hidden="false" customHeight="false" outlineLevel="0" collapsed="false">
      <c r="A14" s="2" t="n">
        <v>12</v>
      </c>
      <c r="B14" s="2" t="n">
        <v>1</v>
      </c>
    </row>
    <row r="15" customFormat="false" ht="15" hidden="false" customHeight="false" outlineLevel="0" collapsed="false">
      <c r="A15" s="2" t="n">
        <v>13</v>
      </c>
      <c r="B15" s="2" t="n">
        <v>1</v>
      </c>
    </row>
    <row r="16" customFormat="false" ht="15" hidden="false" customHeight="false" outlineLevel="0" collapsed="false">
      <c r="A16" s="2" t="n">
        <v>14</v>
      </c>
      <c r="B16" s="2" t="n">
        <v>1</v>
      </c>
    </row>
    <row r="17" customFormat="false" ht="15" hidden="false" customHeight="false" outlineLevel="0" collapsed="false">
      <c r="A17" s="2" t="n">
        <v>15</v>
      </c>
      <c r="B17" s="2" t="n">
        <v>1</v>
      </c>
    </row>
    <row r="18" customFormat="false" ht="15" hidden="false" customHeight="false" outlineLevel="0" collapsed="false">
      <c r="A18" s="2" t="n">
        <v>16</v>
      </c>
      <c r="B18" s="2" t="n">
        <v>0</v>
      </c>
    </row>
    <row r="19" customFormat="false" ht="15" hidden="false" customHeight="false" outlineLevel="0" collapsed="false">
      <c r="A19" s="2" t="n">
        <v>17</v>
      </c>
      <c r="B19" s="2" t="n">
        <v>0</v>
      </c>
    </row>
    <row r="20" customFormat="false" ht="15" hidden="false" customHeight="false" outlineLevel="0" collapsed="false">
      <c r="A20" s="2" t="n">
        <v>18</v>
      </c>
      <c r="B20" s="2" t="n">
        <v>0</v>
      </c>
    </row>
    <row r="21" customFormat="false" ht="15" hidden="false" customHeight="false" outlineLevel="0" collapsed="false">
      <c r="A21" s="2" t="n">
        <v>19</v>
      </c>
      <c r="B21" s="2" t="n">
        <v>0</v>
      </c>
    </row>
    <row r="22" customFormat="false" ht="15" hidden="false" customHeight="false" outlineLevel="0" collapsed="false">
      <c r="A22" s="2" t="n">
        <v>20</v>
      </c>
      <c r="B22" s="2" t="n">
        <v>0</v>
      </c>
    </row>
    <row r="23" customFormat="false" ht="15" hidden="false" customHeight="false" outlineLevel="0" collapsed="false">
      <c r="A23" s="2" t="n">
        <v>21</v>
      </c>
      <c r="B23" s="2" t="n">
        <v>0</v>
      </c>
    </row>
    <row r="24" customFormat="false" ht="15" hidden="false" customHeight="false" outlineLevel="0" collapsed="false">
      <c r="A24" s="2" t="n">
        <v>22</v>
      </c>
      <c r="B24" s="2" t="n">
        <v>0</v>
      </c>
    </row>
    <row r="25" customFormat="false" ht="15" hidden="false" customHeight="false" outlineLevel="0" collapsed="false">
      <c r="A25" s="2" t="n">
        <v>23</v>
      </c>
      <c r="B25" s="2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2022-02-02T22:01:39Z</dcterms:created>
  <dc:creator>Goetz, Sebastian</dc:creator>
  <dc:description/>
  <dc:language>en-CA</dc:language>
  <cp:lastModifiedBy/>
  <dcterms:modified xsi:type="dcterms:W3CDTF">2022-03-15T11:33:29Z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MSIP_Label_e798273d-f5aa-46da-8e10-241f6dcd5f2d_ActionId">
    <vt:lpwstr>f9c0e5e0-213a-4d23-a65a-51f65ca25ff6</vt:lpwstr>
  </property>
  <property fmtid="{D5CDD505-2E9C-101B-9397-08002B2CF9AE}" pid="4" name="MSIP_Label_e798273d-f5aa-46da-8e10-241f6dcd5f2d_ContentBits">
    <vt:lpwstr>0</vt:lpwstr>
  </property>
  <property fmtid="{D5CDD505-2E9C-101B-9397-08002B2CF9AE}" pid="5" name="MSIP_Label_e798273d-f5aa-46da-8e10-241f6dcd5f2d_Enabled">
    <vt:lpwstr>true</vt:lpwstr>
  </property>
  <property fmtid="{D5CDD505-2E9C-101B-9397-08002B2CF9AE}" pid="6" name="MSIP_Label_e798273d-f5aa-46da-8e10-241f6dcd5f2d_Method">
    <vt:lpwstr>Standard</vt:lpwstr>
  </property>
  <property fmtid="{D5CDD505-2E9C-101B-9397-08002B2CF9AE}" pid="7" name="MSIP_Label_e798273d-f5aa-46da-8e10-241f6dcd5f2d_Name">
    <vt:lpwstr>e798273d-f5aa-46da-8e10-241f6dcd5f2d</vt:lpwstr>
  </property>
  <property fmtid="{D5CDD505-2E9C-101B-9397-08002B2CF9AE}" pid="8" name="MSIP_Label_e798273d-f5aa-46da-8e10-241f6dcd5f2d_SetDate">
    <vt:lpwstr>2022-02-02T20:45:53Z</vt:lpwstr>
  </property>
  <property fmtid="{D5CDD505-2E9C-101B-9397-08002B2CF9AE}" pid="9" name="MSIP_Label_e798273d-f5aa-46da-8e10-241f6dcd5f2d_SiteId">
    <vt:lpwstr>c760270c-f3da-4cfa-9737-03808ef5579f</vt:lpwstr>
  </property>
</Properties>
</file>